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inkPad\Dropbox\workspace\office15\"/>
    </mc:Choice>
  </mc:AlternateContent>
  <bookViews>
    <workbookView xWindow="0" yWindow="0" windowWidth="15345" windowHeight="4740" activeTab="3"/>
  </bookViews>
  <sheets>
    <sheet name="hs300" sheetId="2" r:id="rId1"/>
    <sheet name="volatility_v1" sheetId="1" r:id="rId2"/>
    <sheet name="volatility_v2" sheetId="3" r:id="rId3"/>
    <sheet name="PriceSimulation" sheetId="4" r:id="rId4"/>
  </sheets>
  <definedNames>
    <definedName name="Dt">PriceSimulation!$B$5</definedName>
    <definedName name="hs300_relprice">volatility_v1!$C$17:$C$253</definedName>
    <definedName name="hs300_rr_daily">volatility_v1!$D$17:$D$253</definedName>
    <definedName name="hs300_series">volatility_v1!$B$17:$B$254</definedName>
    <definedName name="m">PriceSimulation!$B$9</definedName>
    <definedName name="Mu">PriceSimulation!$B$6</definedName>
    <definedName name="S0">PriceSimulation!$B$4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volatility_v2!$J$8</definedName>
    <definedName name="solver_typ" localSheetId="2" hidden="1">1</definedName>
    <definedName name="solver_val" localSheetId="2" hidden="1">0</definedName>
    <definedName name="solver_ver" localSheetId="2" hidden="1">3</definedName>
    <definedName name="V">PriceSimulation!$B$7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" l="1"/>
  <c r="D10" i="1"/>
  <c r="E10" i="1"/>
  <c r="C10" i="1"/>
  <c r="B10" i="1"/>
  <c r="D32" i="4" l="1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F31" i="4"/>
  <c r="E30" i="4"/>
  <c r="D31" i="4"/>
  <c r="D30" i="4"/>
  <c r="B32" i="4"/>
  <c r="C32" i="4" s="1"/>
  <c r="B33" i="4"/>
  <c r="C33" i="4" s="1"/>
  <c r="B34" i="4"/>
  <c r="C34" i="4" s="1"/>
  <c r="B35" i="4"/>
  <c r="C35" i="4" s="1"/>
  <c r="B36" i="4"/>
  <c r="C36" i="4" s="1"/>
  <c r="B37" i="4"/>
  <c r="C37" i="4" s="1"/>
  <c r="B38" i="4"/>
  <c r="C38" i="4" s="1"/>
  <c r="B39" i="4"/>
  <c r="C39" i="4" s="1"/>
  <c r="B40" i="4"/>
  <c r="C40" i="4" s="1"/>
  <c r="B41" i="4"/>
  <c r="C41" i="4" s="1"/>
  <c r="B42" i="4"/>
  <c r="C42" i="4" s="1"/>
  <c r="B43" i="4"/>
  <c r="C43" i="4" s="1"/>
  <c r="B44" i="4"/>
  <c r="C44" i="4" s="1"/>
  <c r="B45" i="4"/>
  <c r="C45" i="4" s="1"/>
  <c r="B46" i="4"/>
  <c r="C46" i="4" s="1"/>
  <c r="B47" i="4"/>
  <c r="C47" i="4" s="1"/>
  <c r="B48" i="4"/>
  <c r="C48" i="4" s="1"/>
  <c r="B49" i="4"/>
  <c r="C49" i="4" s="1"/>
  <c r="B50" i="4"/>
  <c r="C50" i="4" s="1"/>
  <c r="B51" i="4"/>
  <c r="C51" i="4" s="1"/>
  <c r="B52" i="4"/>
  <c r="C52" i="4" s="1"/>
  <c r="B53" i="4"/>
  <c r="C53" i="4" s="1"/>
  <c r="B54" i="4"/>
  <c r="C54" i="4" s="1"/>
  <c r="B55" i="4"/>
  <c r="C55" i="4" s="1"/>
  <c r="B56" i="4"/>
  <c r="C56" i="4" s="1"/>
  <c r="B57" i="4"/>
  <c r="C57" i="4" s="1"/>
  <c r="B58" i="4"/>
  <c r="C58" i="4" s="1"/>
  <c r="B59" i="4"/>
  <c r="C59" i="4" s="1"/>
  <c r="B60" i="4"/>
  <c r="C60" i="4" s="1"/>
  <c r="B61" i="4"/>
  <c r="C61" i="4" s="1"/>
  <c r="B62" i="4"/>
  <c r="C62" i="4" s="1"/>
  <c r="B63" i="4"/>
  <c r="C63" i="4" s="1"/>
  <c r="B64" i="4"/>
  <c r="C64" i="4" s="1"/>
  <c r="B65" i="4"/>
  <c r="C65" i="4" s="1"/>
  <c r="B66" i="4"/>
  <c r="C66" i="4" s="1"/>
  <c r="B67" i="4"/>
  <c r="C67" i="4" s="1"/>
  <c r="B68" i="4"/>
  <c r="C68" i="4" s="1"/>
  <c r="B69" i="4"/>
  <c r="C69" i="4" s="1"/>
  <c r="B70" i="4"/>
  <c r="C70" i="4" s="1"/>
  <c r="B71" i="4"/>
  <c r="C71" i="4" s="1"/>
  <c r="B72" i="4"/>
  <c r="C72" i="4" s="1"/>
  <c r="B73" i="4"/>
  <c r="C73" i="4" s="1"/>
  <c r="B74" i="4"/>
  <c r="C74" i="4" s="1"/>
  <c r="B75" i="4"/>
  <c r="C75" i="4" s="1"/>
  <c r="B76" i="4"/>
  <c r="C76" i="4" s="1"/>
  <c r="B77" i="4"/>
  <c r="C77" i="4" s="1"/>
  <c r="B78" i="4"/>
  <c r="C78" i="4" s="1"/>
  <c r="B79" i="4"/>
  <c r="C79" i="4" s="1"/>
  <c r="B80" i="4"/>
  <c r="C80" i="4" s="1"/>
  <c r="B81" i="4"/>
  <c r="C81" i="4" s="1"/>
  <c r="B82" i="4"/>
  <c r="C82" i="4" s="1"/>
  <c r="B83" i="4"/>
  <c r="C83" i="4" s="1"/>
  <c r="B84" i="4"/>
  <c r="C84" i="4" s="1"/>
  <c r="B85" i="4"/>
  <c r="C85" i="4" s="1"/>
  <c r="B86" i="4"/>
  <c r="C86" i="4" s="1"/>
  <c r="B87" i="4"/>
  <c r="C87" i="4" s="1"/>
  <c r="B88" i="4"/>
  <c r="C88" i="4" s="1"/>
  <c r="B89" i="4"/>
  <c r="C89" i="4" s="1"/>
  <c r="B90" i="4"/>
  <c r="C90" i="4" s="1"/>
  <c r="B91" i="4"/>
  <c r="C91" i="4" s="1"/>
  <c r="B92" i="4"/>
  <c r="C92" i="4" s="1"/>
  <c r="B93" i="4"/>
  <c r="C93" i="4" s="1"/>
  <c r="B94" i="4"/>
  <c r="C94" i="4" s="1"/>
  <c r="B95" i="4"/>
  <c r="C95" i="4" s="1"/>
  <c r="B96" i="4"/>
  <c r="C96" i="4" s="1"/>
  <c r="B97" i="4"/>
  <c r="C97" i="4" s="1"/>
  <c r="B98" i="4"/>
  <c r="C98" i="4" s="1"/>
  <c r="B99" i="4"/>
  <c r="C99" i="4" s="1"/>
  <c r="B100" i="4"/>
  <c r="C100" i="4" s="1"/>
  <c r="B101" i="4"/>
  <c r="C101" i="4" s="1"/>
  <c r="B102" i="4"/>
  <c r="C102" i="4" s="1"/>
  <c r="B103" i="4"/>
  <c r="C103" i="4" s="1"/>
  <c r="B104" i="4"/>
  <c r="C104" i="4" s="1"/>
  <c r="B105" i="4"/>
  <c r="C105" i="4" s="1"/>
  <c r="B106" i="4"/>
  <c r="C106" i="4" s="1"/>
  <c r="B107" i="4"/>
  <c r="C107" i="4" s="1"/>
  <c r="B108" i="4"/>
  <c r="C108" i="4" s="1"/>
  <c r="B109" i="4"/>
  <c r="C109" i="4" s="1"/>
  <c r="B110" i="4"/>
  <c r="C110" i="4" s="1"/>
  <c r="B111" i="4"/>
  <c r="C111" i="4" s="1"/>
  <c r="B112" i="4"/>
  <c r="C112" i="4" s="1"/>
  <c r="B113" i="4"/>
  <c r="C113" i="4" s="1"/>
  <c r="B114" i="4"/>
  <c r="C114" i="4" s="1"/>
  <c r="B115" i="4"/>
  <c r="C115" i="4" s="1"/>
  <c r="B116" i="4"/>
  <c r="C116" i="4" s="1"/>
  <c r="B117" i="4"/>
  <c r="C117" i="4" s="1"/>
  <c r="B118" i="4"/>
  <c r="C118" i="4" s="1"/>
  <c r="B119" i="4"/>
  <c r="C119" i="4" s="1"/>
  <c r="B120" i="4"/>
  <c r="C120" i="4" s="1"/>
  <c r="B121" i="4"/>
  <c r="C121" i="4" s="1"/>
  <c r="B122" i="4"/>
  <c r="C122" i="4" s="1"/>
  <c r="B123" i="4"/>
  <c r="C123" i="4" s="1"/>
  <c r="B124" i="4"/>
  <c r="C124" i="4" s="1"/>
  <c r="B125" i="4"/>
  <c r="C125" i="4" s="1"/>
  <c r="B126" i="4"/>
  <c r="C126" i="4" s="1"/>
  <c r="B127" i="4"/>
  <c r="C127" i="4" s="1"/>
  <c r="B128" i="4"/>
  <c r="C128" i="4" s="1"/>
  <c r="B129" i="4"/>
  <c r="C129" i="4" s="1"/>
  <c r="B130" i="4"/>
  <c r="C130" i="4" s="1"/>
  <c r="B131" i="4"/>
  <c r="C131" i="4" s="1"/>
  <c r="B132" i="4"/>
  <c r="C132" i="4" s="1"/>
  <c r="B133" i="4"/>
  <c r="C133" i="4" s="1"/>
  <c r="B134" i="4"/>
  <c r="C134" i="4" s="1"/>
  <c r="B135" i="4"/>
  <c r="C135" i="4" s="1"/>
  <c r="B136" i="4"/>
  <c r="C136" i="4" s="1"/>
  <c r="B137" i="4"/>
  <c r="C137" i="4" s="1"/>
  <c r="B138" i="4"/>
  <c r="C138" i="4" s="1"/>
  <c r="B139" i="4"/>
  <c r="C139" i="4" s="1"/>
  <c r="B140" i="4"/>
  <c r="C140" i="4" s="1"/>
  <c r="B141" i="4"/>
  <c r="C141" i="4" s="1"/>
  <c r="B142" i="4"/>
  <c r="C142" i="4" s="1"/>
  <c r="B143" i="4"/>
  <c r="C143" i="4" s="1"/>
  <c r="B144" i="4"/>
  <c r="C144" i="4" s="1"/>
  <c r="B145" i="4"/>
  <c r="C145" i="4" s="1"/>
  <c r="B146" i="4"/>
  <c r="C146" i="4" s="1"/>
  <c r="B147" i="4"/>
  <c r="C147" i="4" s="1"/>
  <c r="B148" i="4"/>
  <c r="C148" i="4" s="1"/>
  <c r="B149" i="4"/>
  <c r="C149" i="4" s="1"/>
  <c r="B150" i="4"/>
  <c r="C150" i="4" s="1"/>
  <c r="B151" i="4"/>
  <c r="C151" i="4" s="1"/>
  <c r="B152" i="4"/>
  <c r="C152" i="4" s="1"/>
  <c r="B153" i="4"/>
  <c r="C153" i="4" s="1"/>
  <c r="B154" i="4"/>
  <c r="C154" i="4" s="1"/>
  <c r="B155" i="4"/>
  <c r="C155" i="4" s="1"/>
  <c r="B156" i="4"/>
  <c r="C156" i="4" s="1"/>
  <c r="B157" i="4"/>
  <c r="C157" i="4" s="1"/>
  <c r="B158" i="4"/>
  <c r="C158" i="4" s="1"/>
  <c r="B159" i="4"/>
  <c r="C159" i="4" s="1"/>
  <c r="B160" i="4"/>
  <c r="C160" i="4" s="1"/>
  <c r="B161" i="4"/>
  <c r="C161" i="4" s="1"/>
  <c r="B162" i="4"/>
  <c r="C162" i="4" s="1"/>
  <c r="B163" i="4"/>
  <c r="C163" i="4" s="1"/>
  <c r="B164" i="4"/>
  <c r="C164" i="4" s="1"/>
  <c r="B165" i="4"/>
  <c r="C165" i="4" s="1"/>
  <c r="B166" i="4"/>
  <c r="C166" i="4" s="1"/>
  <c r="B167" i="4"/>
  <c r="C167" i="4" s="1"/>
  <c r="B168" i="4"/>
  <c r="C168" i="4" s="1"/>
  <c r="B169" i="4"/>
  <c r="C169" i="4" s="1"/>
  <c r="B170" i="4"/>
  <c r="C170" i="4" s="1"/>
  <c r="B171" i="4"/>
  <c r="C171" i="4" s="1"/>
  <c r="B172" i="4"/>
  <c r="C172" i="4" s="1"/>
  <c r="B173" i="4"/>
  <c r="C173" i="4" s="1"/>
  <c r="B174" i="4"/>
  <c r="C174" i="4" s="1"/>
  <c r="B175" i="4"/>
  <c r="C175" i="4" s="1"/>
  <c r="B176" i="4"/>
  <c r="C176" i="4" s="1"/>
  <c r="B177" i="4"/>
  <c r="C177" i="4" s="1"/>
  <c r="B178" i="4"/>
  <c r="C178" i="4" s="1"/>
  <c r="B179" i="4"/>
  <c r="C179" i="4" s="1"/>
  <c r="B180" i="4"/>
  <c r="C180" i="4" s="1"/>
  <c r="B181" i="4"/>
  <c r="C181" i="4" s="1"/>
  <c r="B182" i="4"/>
  <c r="C182" i="4" s="1"/>
  <c r="B183" i="4"/>
  <c r="C183" i="4" s="1"/>
  <c r="B184" i="4"/>
  <c r="C184" i="4" s="1"/>
  <c r="B185" i="4"/>
  <c r="C185" i="4" s="1"/>
  <c r="B186" i="4"/>
  <c r="C186" i="4" s="1"/>
  <c r="B187" i="4"/>
  <c r="C187" i="4" s="1"/>
  <c r="B188" i="4"/>
  <c r="C188" i="4" s="1"/>
  <c r="B189" i="4"/>
  <c r="C189" i="4" s="1"/>
  <c r="B190" i="4"/>
  <c r="C190" i="4" s="1"/>
  <c r="B191" i="4"/>
  <c r="C191" i="4" s="1"/>
  <c r="B192" i="4"/>
  <c r="C192" i="4" s="1"/>
  <c r="B193" i="4"/>
  <c r="C193" i="4" s="1"/>
  <c r="B194" i="4"/>
  <c r="C194" i="4" s="1"/>
  <c r="B195" i="4"/>
  <c r="C195" i="4" s="1"/>
  <c r="B196" i="4"/>
  <c r="C196" i="4" s="1"/>
  <c r="B197" i="4"/>
  <c r="C197" i="4" s="1"/>
  <c r="B198" i="4"/>
  <c r="C198" i="4" s="1"/>
  <c r="B199" i="4"/>
  <c r="C199" i="4" s="1"/>
  <c r="B200" i="4"/>
  <c r="C200" i="4" s="1"/>
  <c r="B201" i="4"/>
  <c r="C201" i="4" s="1"/>
  <c r="B202" i="4"/>
  <c r="C202" i="4" s="1"/>
  <c r="B203" i="4"/>
  <c r="C203" i="4" s="1"/>
  <c r="B204" i="4"/>
  <c r="C204" i="4" s="1"/>
  <c r="B205" i="4"/>
  <c r="C205" i="4" s="1"/>
  <c r="B206" i="4"/>
  <c r="C206" i="4" s="1"/>
  <c r="B207" i="4"/>
  <c r="C207" i="4" s="1"/>
  <c r="B208" i="4"/>
  <c r="C208" i="4" s="1"/>
  <c r="B209" i="4"/>
  <c r="C209" i="4" s="1"/>
  <c r="B210" i="4"/>
  <c r="C210" i="4" s="1"/>
  <c r="B211" i="4"/>
  <c r="C211" i="4" s="1"/>
  <c r="B212" i="4"/>
  <c r="C212" i="4" s="1"/>
  <c r="B213" i="4"/>
  <c r="C213" i="4" s="1"/>
  <c r="B214" i="4"/>
  <c r="C214" i="4" s="1"/>
  <c r="B215" i="4"/>
  <c r="C215" i="4" s="1"/>
  <c r="B216" i="4"/>
  <c r="C216" i="4" s="1"/>
  <c r="B217" i="4"/>
  <c r="C217" i="4" s="1"/>
  <c r="B218" i="4"/>
  <c r="C218" i="4" s="1"/>
  <c r="B219" i="4"/>
  <c r="C219" i="4" s="1"/>
  <c r="B220" i="4"/>
  <c r="C220" i="4" s="1"/>
  <c r="B221" i="4"/>
  <c r="C221" i="4" s="1"/>
  <c r="B222" i="4"/>
  <c r="C222" i="4" s="1"/>
  <c r="B223" i="4"/>
  <c r="C223" i="4" s="1"/>
  <c r="B224" i="4"/>
  <c r="C224" i="4" s="1"/>
  <c r="B225" i="4"/>
  <c r="C225" i="4" s="1"/>
  <c r="B226" i="4"/>
  <c r="C226" i="4" s="1"/>
  <c r="B227" i="4"/>
  <c r="C227" i="4" s="1"/>
  <c r="B228" i="4"/>
  <c r="C228" i="4" s="1"/>
  <c r="B229" i="4"/>
  <c r="C229" i="4" s="1"/>
  <c r="B230" i="4"/>
  <c r="C230" i="4" s="1"/>
  <c r="B231" i="4"/>
  <c r="C231" i="4" s="1"/>
  <c r="B232" i="4"/>
  <c r="C232" i="4" s="1"/>
  <c r="B233" i="4"/>
  <c r="C233" i="4" s="1"/>
  <c r="B234" i="4"/>
  <c r="C234" i="4" s="1"/>
  <c r="B235" i="4"/>
  <c r="C235" i="4" s="1"/>
  <c r="B236" i="4"/>
  <c r="C236" i="4" s="1"/>
  <c r="B237" i="4"/>
  <c r="C237" i="4" s="1"/>
  <c r="B238" i="4"/>
  <c r="C238" i="4" s="1"/>
  <c r="B239" i="4"/>
  <c r="C239" i="4" s="1"/>
  <c r="B240" i="4"/>
  <c r="C240" i="4" s="1"/>
  <c r="B241" i="4"/>
  <c r="C241" i="4" s="1"/>
  <c r="B242" i="4"/>
  <c r="C242" i="4" s="1"/>
  <c r="B243" i="4"/>
  <c r="C243" i="4" s="1"/>
  <c r="B244" i="4"/>
  <c r="C244" i="4" s="1"/>
  <c r="B245" i="4"/>
  <c r="C245" i="4" s="1"/>
  <c r="B246" i="4"/>
  <c r="C246" i="4" s="1"/>
  <c r="B247" i="4"/>
  <c r="C247" i="4" s="1"/>
  <c r="B248" i="4"/>
  <c r="C248" i="4" s="1"/>
  <c r="B249" i="4"/>
  <c r="C249" i="4" s="1"/>
  <c r="B250" i="4"/>
  <c r="C250" i="4" s="1"/>
  <c r="B251" i="4"/>
  <c r="C251" i="4" s="1"/>
  <c r="B252" i="4"/>
  <c r="C252" i="4" s="1"/>
  <c r="B253" i="4"/>
  <c r="C253" i="4" s="1"/>
  <c r="B254" i="4"/>
  <c r="C254" i="4" s="1"/>
  <c r="B255" i="4"/>
  <c r="C255" i="4" s="1"/>
  <c r="B256" i="4"/>
  <c r="C256" i="4" s="1"/>
  <c r="B257" i="4"/>
  <c r="C257" i="4" s="1"/>
  <c r="B258" i="4"/>
  <c r="C258" i="4" s="1"/>
  <c r="B259" i="4"/>
  <c r="C259" i="4" s="1"/>
  <c r="B260" i="4"/>
  <c r="C260" i="4" s="1"/>
  <c r="B261" i="4"/>
  <c r="C261" i="4" s="1"/>
  <c r="B262" i="4"/>
  <c r="C262" i="4" s="1"/>
  <c r="B263" i="4"/>
  <c r="C263" i="4" s="1"/>
  <c r="B264" i="4"/>
  <c r="C264" i="4" s="1"/>
  <c r="B265" i="4"/>
  <c r="C265" i="4" s="1"/>
  <c r="B266" i="4"/>
  <c r="C266" i="4" s="1"/>
  <c r="B267" i="4"/>
  <c r="C267" i="4" s="1"/>
  <c r="B268" i="4"/>
  <c r="C268" i="4" s="1"/>
  <c r="B269" i="4"/>
  <c r="C269" i="4" s="1"/>
  <c r="B270" i="4"/>
  <c r="C270" i="4" s="1"/>
  <c r="B271" i="4"/>
  <c r="C271" i="4" s="1"/>
  <c r="B272" i="4"/>
  <c r="C272" i="4" s="1"/>
  <c r="B273" i="4"/>
  <c r="C273" i="4" s="1"/>
  <c r="B274" i="4"/>
  <c r="C274" i="4" s="1"/>
  <c r="B275" i="4"/>
  <c r="C275" i="4" s="1"/>
  <c r="B276" i="4"/>
  <c r="C276" i="4" s="1"/>
  <c r="B277" i="4"/>
  <c r="C277" i="4" s="1"/>
  <c r="B278" i="4"/>
  <c r="C278" i="4" s="1"/>
  <c r="B279" i="4"/>
  <c r="C279" i="4" s="1"/>
  <c r="B280" i="4"/>
  <c r="C280" i="4" s="1"/>
  <c r="B31" i="4"/>
  <c r="C31" i="4" s="1"/>
  <c r="B9" i="4"/>
  <c r="B6" i="3"/>
  <c r="E31" i="4" l="1"/>
  <c r="E965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17" i="3"/>
  <c r="E32" i="4" l="1"/>
  <c r="F32" i="4"/>
  <c r="G31" i="4"/>
  <c r="G1958" i="3"/>
  <c r="G1733" i="3"/>
  <c r="G1504" i="3"/>
  <c r="G1276" i="3"/>
  <c r="G1020" i="3"/>
  <c r="G678" i="3"/>
  <c r="G300" i="3"/>
  <c r="E1909" i="3"/>
  <c r="G2129" i="3"/>
  <c r="G1904" i="3"/>
  <c r="G1674" i="3"/>
  <c r="G1446" i="3"/>
  <c r="G1221" i="3"/>
  <c r="G934" i="3"/>
  <c r="G593" i="3"/>
  <c r="E2156" i="3"/>
  <c r="E1589" i="3"/>
  <c r="G2074" i="3"/>
  <c r="G1845" i="3"/>
  <c r="G1617" i="3"/>
  <c r="G1392" i="3"/>
  <c r="G1162" i="3"/>
  <c r="G849" i="3"/>
  <c r="G508" i="3"/>
  <c r="E2113" i="3"/>
  <c r="E1242" i="3"/>
  <c r="G2016" i="3"/>
  <c r="G1788" i="3"/>
  <c r="G1562" i="3"/>
  <c r="G1333" i="3"/>
  <c r="G1105" i="3"/>
  <c r="G764" i="3"/>
  <c r="G412" i="3"/>
  <c r="E2037" i="3"/>
  <c r="E80" i="3"/>
  <c r="G80" i="3" s="1"/>
  <c r="G2118" i="3"/>
  <c r="G2005" i="3"/>
  <c r="G1893" i="3"/>
  <c r="G1777" i="3"/>
  <c r="G1664" i="3"/>
  <c r="G1552" i="3"/>
  <c r="G1436" i="3"/>
  <c r="G1322" i="3"/>
  <c r="G1210" i="3"/>
  <c r="G1093" i="3"/>
  <c r="G922" i="3"/>
  <c r="G752" i="3"/>
  <c r="G581" i="3"/>
  <c r="G396" i="3"/>
  <c r="E2149" i="3"/>
  <c r="E1994" i="3"/>
  <c r="E1508" i="3"/>
  <c r="E1126" i="3"/>
  <c r="G2160" i="3"/>
  <c r="G2101" i="3"/>
  <c r="G2044" i="3"/>
  <c r="G1989" i="3"/>
  <c r="G1930" i="3"/>
  <c r="G1873" i="3"/>
  <c r="G1818" i="3"/>
  <c r="G1760" i="3"/>
  <c r="G1702" i="3"/>
  <c r="G1648" i="3"/>
  <c r="G1589" i="3"/>
  <c r="G1532" i="3"/>
  <c r="G1477" i="3"/>
  <c r="G1418" i="3"/>
  <c r="G1361" i="3"/>
  <c r="G1306" i="3"/>
  <c r="G1248" i="3"/>
  <c r="G1190" i="3"/>
  <c r="G1136" i="3"/>
  <c r="G1062" i="3"/>
  <c r="G977" i="3"/>
  <c r="G892" i="3"/>
  <c r="G806" i="3"/>
  <c r="G721" i="3"/>
  <c r="G636" i="3"/>
  <c r="G550" i="3"/>
  <c r="G465" i="3"/>
  <c r="G357" i="3"/>
  <c r="G241" i="3"/>
  <c r="E2134" i="3"/>
  <c r="E2080" i="3"/>
  <c r="E1974" i="3"/>
  <c r="E1764" i="3"/>
  <c r="E1421" i="3"/>
  <c r="F1002" i="3"/>
  <c r="F1272" i="3"/>
  <c r="F1443" i="3"/>
  <c r="F1578" i="3"/>
  <c r="F1706" i="3"/>
  <c r="F1805" i="3"/>
  <c r="F1890" i="3"/>
  <c r="F1976" i="3"/>
  <c r="F2061" i="3"/>
  <c r="F2139" i="3"/>
  <c r="E77" i="3"/>
  <c r="G77" i="3" s="1"/>
  <c r="E141" i="3"/>
  <c r="G141" i="3" s="1"/>
  <c r="E205" i="3"/>
  <c r="G205" i="3" s="1"/>
  <c r="E269" i="3"/>
  <c r="E316" i="3"/>
  <c r="E359" i="3"/>
  <c r="E401" i="3"/>
  <c r="E444" i="3"/>
  <c r="E487" i="3"/>
  <c r="E529" i="3"/>
  <c r="E572" i="3"/>
  <c r="E615" i="3"/>
  <c r="E657" i="3"/>
  <c r="E700" i="3"/>
  <c r="E733" i="3"/>
  <c r="E765" i="3"/>
  <c r="E797" i="3"/>
  <c r="E829" i="3"/>
  <c r="E861" i="3"/>
  <c r="E893" i="3"/>
  <c r="E925" i="3"/>
  <c r="E954" i="3"/>
  <c r="E975" i="3"/>
  <c r="E997" i="3"/>
  <c r="E1018" i="3"/>
  <c r="E1039" i="3"/>
  <c r="E1061" i="3"/>
  <c r="E1082" i="3"/>
  <c r="E1103" i="3"/>
  <c r="E1125" i="3"/>
  <c r="E1146" i="3"/>
  <c r="E1167" i="3"/>
  <c r="E1189" i="3"/>
  <c r="E1210" i="3"/>
  <c r="E1231" i="3"/>
  <c r="E1253" i="3"/>
  <c r="E1274" i="3"/>
  <c r="E1292" i="3"/>
  <c r="E1308" i="3"/>
  <c r="E1324" i="3"/>
  <c r="E1340" i="3"/>
  <c r="E1356" i="3"/>
  <c r="E1372" i="3"/>
  <c r="E1388" i="3"/>
  <c r="E1404" i="3"/>
  <c r="E1420" i="3"/>
  <c r="E1436" i="3"/>
  <c r="E1452" i="3"/>
  <c r="E1468" i="3"/>
  <c r="E1484" i="3"/>
  <c r="E1500" i="3"/>
  <c r="E1516" i="3"/>
  <c r="E1532" i="3"/>
  <c r="E1548" i="3"/>
  <c r="E1564" i="3"/>
  <c r="E1580" i="3"/>
  <c r="E1596" i="3"/>
  <c r="E1612" i="3"/>
  <c r="E1628" i="3"/>
  <c r="E1644" i="3"/>
  <c r="E1660" i="3"/>
  <c r="E1676" i="3"/>
  <c r="E1692" i="3"/>
  <c r="E1708" i="3"/>
  <c r="E1724" i="3"/>
  <c r="E1740" i="3"/>
  <c r="E1756" i="3"/>
  <c r="E1772" i="3"/>
  <c r="E1788" i="3"/>
  <c r="E1804" i="3"/>
  <c r="E1820" i="3"/>
  <c r="E1836" i="3"/>
  <c r="E1852" i="3"/>
  <c r="E1868" i="3"/>
  <c r="E1882" i="3"/>
  <c r="F793" i="3"/>
  <c r="F1281" i="3"/>
  <c r="F1514" i="3"/>
  <c r="F1649" i="3"/>
  <c r="F1809" i="3"/>
  <c r="F1933" i="3"/>
  <c r="F2022" i="3"/>
  <c r="F2142" i="3"/>
  <c r="E109" i="3"/>
  <c r="G109" i="3" s="1"/>
  <c r="E176" i="3"/>
  <c r="G176" i="3" s="1"/>
  <c r="E272" i="3"/>
  <c r="E337" i="3"/>
  <c r="E381" i="3"/>
  <c r="E445" i="3"/>
  <c r="E508" i="3"/>
  <c r="E552" i="3"/>
  <c r="E616" i="3"/>
  <c r="E679" i="3"/>
  <c r="E718" i="3"/>
  <c r="E766" i="3"/>
  <c r="E813" i="3"/>
  <c r="E846" i="3"/>
  <c r="E894" i="3"/>
  <c r="E941" i="3"/>
  <c r="E966" i="3"/>
  <c r="E998" i="3"/>
  <c r="E1029" i="3"/>
  <c r="E1051" i="3"/>
  <c r="E1083" i="3"/>
  <c r="E1114" i="3"/>
  <c r="E1137" i="3"/>
  <c r="E1169" i="3"/>
  <c r="E1199" i="3"/>
  <c r="E1222" i="3"/>
  <c r="E1254" i="3"/>
  <c r="E1284" i="3"/>
  <c r="E1301" i="3"/>
  <c r="E1325" i="3"/>
  <c r="E1348" i="3"/>
  <c r="E1365" i="3"/>
  <c r="E1389" i="3"/>
  <c r="E1412" i="3"/>
  <c r="E1429" i="3"/>
  <c r="E1453" i="3"/>
  <c r="E1476" i="3"/>
  <c r="E1493" i="3"/>
  <c r="E1517" i="3"/>
  <c r="E1540" i="3"/>
  <c r="E1557" i="3"/>
  <c r="E1581" i="3"/>
  <c r="E1604" i="3"/>
  <c r="E1621" i="3"/>
  <c r="E1645" i="3"/>
  <c r="E1668" i="3"/>
  <c r="E1685" i="3"/>
  <c r="E1709" i="3"/>
  <c r="E1732" i="3"/>
  <c r="E1749" i="3"/>
  <c r="E1773" i="3"/>
  <c r="E1796" i="3"/>
  <c r="E1813" i="3"/>
  <c r="E1837" i="3"/>
  <c r="E1860" i="3"/>
  <c r="E1877" i="3"/>
  <c r="E1893" i="3"/>
  <c r="E1904" i="3"/>
  <c r="E1914" i="3"/>
  <c r="E1925" i="3"/>
  <c r="E1936" i="3"/>
  <c r="E1946" i="3"/>
  <c r="E1957" i="3"/>
  <c r="E1968" i="3"/>
  <c r="E1978" i="3"/>
  <c r="E1989" i="3"/>
  <c r="E2000" i="3"/>
  <c r="E2010" i="3"/>
  <c r="E2021" i="3"/>
  <c r="E2032" i="3"/>
  <c r="E2042" i="3"/>
  <c r="E2053" i="3"/>
  <c r="E2064" i="3"/>
  <c r="E2074" i="3"/>
  <c r="E2085" i="3"/>
  <c r="E2096" i="3"/>
  <c r="E2106" i="3"/>
  <c r="F1022" i="3"/>
  <c r="F1357" i="3"/>
  <c r="F1521" i="3"/>
  <c r="F1713" i="3"/>
  <c r="F1848" i="3"/>
  <c r="F1937" i="3"/>
  <c r="F2065" i="3"/>
  <c r="E45" i="3"/>
  <c r="G45" i="3" s="1"/>
  <c r="E112" i="3"/>
  <c r="G112" i="3" s="1"/>
  <c r="E208" i="3"/>
  <c r="G208" i="3" s="1"/>
  <c r="E295" i="3"/>
  <c r="E339" i="3"/>
  <c r="E403" i="3"/>
  <c r="E465" i="3"/>
  <c r="E509" i="3"/>
  <c r="E573" i="3"/>
  <c r="E636" i="3"/>
  <c r="E680" i="3"/>
  <c r="E734" i="3"/>
  <c r="E781" i="3"/>
  <c r="E814" i="3"/>
  <c r="E862" i="3"/>
  <c r="E909" i="3"/>
  <c r="E942" i="3"/>
  <c r="E977" i="3"/>
  <c r="E1007" i="3"/>
  <c r="E1030" i="3"/>
  <c r="E1062" i="3"/>
  <c r="E1093" i="3"/>
  <c r="E1115" i="3"/>
  <c r="E1147" i="3"/>
  <c r="E1178" i="3"/>
  <c r="E1201" i="3"/>
  <c r="E1233" i="3"/>
  <c r="E1263" i="3"/>
  <c r="E1285" i="3"/>
  <c r="E1309" i="3"/>
  <c r="E1332" i="3"/>
  <c r="E1349" i="3"/>
  <c r="E1373" i="3"/>
  <c r="E1396" i="3"/>
  <c r="E1413" i="3"/>
  <c r="E1437" i="3"/>
  <c r="E1460" i="3"/>
  <c r="E1477" i="3"/>
  <c r="E1501" i="3"/>
  <c r="E1524" i="3"/>
  <c r="E1541" i="3"/>
  <c r="E1565" i="3"/>
  <c r="E1588" i="3"/>
  <c r="E1605" i="3"/>
  <c r="E1629" i="3"/>
  <c r="E1652" i="3"/>
  <c r="E1669" i="3"/>
  <c r="E1693" i="3"/>
  <c r="E1716" i="3"/>
  <c r="E1733" i="3"/>
  <c r="E1757" i="3"/>
  <c r="E1780" i="3"/>
  <c r="E1797" i="3"/>
  <c r="E1821" i="3"/>
  <c r="E1844" i="3"/>
  <c r="E1861" i="3"/>
  <c r="E1884" i="3"/>
  <c r="E1894" i="3"/>
  <c r="E1905" i="3"/>
  <c r="E1916" i="3"/>
  <c r="E1926" i="3"/>
  <c r="E1937" i="3"/>
  <c r="E1948" i="3"/>
  <c r="E1958" i="3"/>
  <c r="E1969" i="3"/>
  <c r="E1980" i="3"/>
  <c r="E1990" i="3"/>
  <c r="E2001" i="3"/>
  <c r="E2012" i="3"/>
  <c r="E2022" i="3"/>
  <c r="E2033" i="3"/>
  <c r="E2044" i="3"/>
  <c r="E2054" i="3"/>
  <c r="E2065" i="3"/>
  <c r="E2076" i="3"/>
  <c r="E2086" i="3"/>
  <c r="E2097" i="3"/>
  <c r="F1173" i="3"/>
  <c r="F1585" i="3"/>
  <c r="F1852" i="3"/>
  <c r="F2104" i="3"/>
  <c r="E144" i="3"/>
  <c r="G144" i="3" s="1"/>
  <c r="E296" i="3"/>
  <c r="E423" i="3"/>
  <c r="E531" i="3"/>
  <c r="E637" i="3"/>
  <c r="E749" i="3"/>
  <c r="E830" i="3"/>
  <c r="E910" i="3"/>
  <c r="E986" i="3"/>
  <c r="E1041" i="3"/>
  <c r="E1094" i="3"/>
  <c r="E1157" i="3"/>
  <c r="E1211" i="3"/>
  <c r="E1265" i="3"/>
  <c r="E1316" i="3"/>
  <c r="E1357" i="3"/>
  <c r="E1397" i="3"/>
  <c r="E1444" i="3"/>
  <c r="E1485" i="3"/>
  <c r="E1525" i="3"/>
  <c r="E1572" i="3"/>
  <c r="E1613" i="3"/>
  <c r="E1653" i="3"/>
  <c r="E1700" i="3"/>
  <c r="E1741" i="3"/>
  <c r="E1781" i="3"/>
  <c r="E1828" i="3"/>
  <c r="E1869" i="3"/>
  <c r="E1898" i="3"/>
  <c r="E1920" i="3"/>
  <c r="E1941" i="3"/>
  <c r="E1962" i="3"/>
  <c r="E1984" i="3"/>
  <c r="E2005" i="3"/>
  <c r="E2026" i="3"/>
  <c r="E2048" i="3"/>
  <c r="E2069" i="3"/>
  <c r="E2090" i="3"/>
  <c r="E2108" i="3"/>
  <c r="E2118" i="3"/>
  <c r="E2129" i="3"/>
  <c r="E2140" i="3"/>
  <c r="E2150" i="3"/>
  <c r="E2161" i="3"/>
  <c r="G229" i="3"/>
  <c r="G257" i="3"/>
  <c r="G284" i="3"/>
  <c r="G314" i="3"/>
  <c r="G342" i="3"/>
  <c r="G369" i="3"/>
  <c r="G400" i="3"/>
  <c r="G428" i="3"/>
  <c r="G454" i="3"/>
  <c r="G476" i="3"/>
  <c r="G497" i="3"/>
  <c r="G518" i="3"/>
  <c r="G540" i="3"/>
  <c r="G561" i="3"/>
  <c r="G582" i="3"/>
  <c r="G604" i="3"/>
  <c r="G625" i="3"/>
  <c r="G646" i="3"/>
  <c r="G668" i="3"/>
  <c r="G689" i="3"/>
  <c r="G710" i="3"/>
  <c r="G732" i="3"/>
  <c r="G753" i="3"/>
  <c r="G774" i="3"/>
  <c r="G796" i="3"/>
  <c r="G817" i="3"/>
  <c r="G838" i="3"/>
  <c r="G860" i="3"/>
  <c r="G881" i="3"/>
  <c r="G902" i="3"/>
  <c r="G924" i="3"/>
  <c r="G945" i="3"/>
  <c r="G966" i="3"/>
  <c r="G988" i="3"/>
  <c r="G1009" i="3"/>
  <c r="G1030" i="3"/>
  <c r="G1052" i="3"/>
  <c r="G1073" i="3"/>
  <c r="G1094" i="3"/>
  <c r="G1114" i="3"/>
  <c r="G1126" i="3"/>
  <c r="G1141" i="3"/>
  <c r="G1157" i="3"/>
  <c r="G1169" i="3"/>
  <c r="G1184" i="3"/>
  <c r="G1200" i="3"/>
  <c r="G1212" i="3"/>
  <c r="G1226" i="3"/>
  <c r="G1242" i="3"/>
  <c r="G1254" i="3"/>
  <c r="G1269" i="3"/>
  <c r="G1285" i="3"/>
  <c r="G1297" i="3"/>
  <c r="G1312" i="3"/>
  <c r="G1328" i="3"/>
  <c r="G1340" i="3"/>
  <c r="G1354" i="3"/>
  <c r="G1370" i="3"/>
  <c r="G1382" i="3"/>
  <c r="G1397" i="3"/>
  <c r="G1413" i="3"/>
  <c r="G1425" i="3"/>
  <c r="G1440" i="3"/>
  <c r="G1456" i="3"/>
  <c r="G1468" i="3"/>
  <c r="G1482" i="3"/>
  <c r="G1498" i="3"/>
  <c r="G1510" i="3"/>
  <c r="G1525" i="3"/>
  <c r="G1541" i="3"/>
  <c r="G1553" i="3"/>
  <c r="G1568" i="3"/>
  <c r="G1584" i="3"/>
  <c r="G1596" i="3"/>
  <c r="G1610" i="3"/>
  <c r="G1626" i="3"/>
  <c r="G1638" i="3"/>
  <c r="G1653" i="3"/>
  <c r="G1669" i="3"/>
  <c r="G1681" i="3"/>
  <c r="G1696" i="3"/>
  <c r="G1712" i="3"/>
  <c r="G1724" i="3"/>
  <c r="G1738" i="3"/>
  <c r="G1754" i="3"/>
  <c r="G1766" i="3"/>
  <c r="G1781" i="3"/>
  <c r="G1797" i="3"/>
  <c r="G1809" i="3"/>
  <c r="G1824" i="3"/>
  <c r="G1840" i="3"/>
  <c r="G1852" i="3"/>
  <c r="G1866" i="3"/>
  <c r="G1882" i="3"/>
  <c r="G1894" i="3"/>
  <c r="G1909" i="3"/>
  <c r="G1925" i="3"/>
  <c r="G1937" i="3"/>
  <c r="G1952" i="3"/>
  <c r="G1968" i="3"/>
  <c r="G1980" i="3"/>
  <c r="G1994" i="3"/>
  <c r="G2010" i="3"/>
  <c r="G2022" i="3"/>
  <c r="G2037" i="3"/>
  <c r="G2053" i="3"/>
  <c r="G2065" i="3"/>
  <c r="G2080" i="3"/>
  <c r="G2096" i="3"/>
  <c r="G2108" i="3"/>
  <c r="G2122" i="3"/>
  <c r="G2138" i="3"/>
  <c r="G2150" i="3"/>
  <c r="G2165" i="3"/>
  <c r="F242" i="3"/>
  <c r="F1762" i="3"/>
  <c r="F1980" i="3"/>
  <c r="E237" i="3"/>
  <c r="E467" i="3"/>
  <c r="E593" i="3"/>
  <c r="E782" i="3"/>
  <c r="E955" i="3"/>
  <c r="F1192" i="3"/>
  <c r="F1642" i="3"/>
  <c r="F1894" i="3"/>
  <c r="F2108" i="3"/>
  <c r="E173" i="3"/>
  <c r="G173" i="3" s="1"/>
  <c r="E317" i="3"/>
  <c r="E424" i="3"/>
  <c r="E551" i="3"/>
  <c r="E659" i="3"/>
  <c r="E750" i="3"/>
  <c r="E845" i="3"/>
  <c r="E926" i="3"/>
  <c r="E987" i="3"/>
  <c r="E1050" i="3"/>
  <c r="E1105" i="3"/>
  <c r="E1158" i="3"/>
  <c r="E1221" i="3"/>
  <c r="E1275" i="3"/>
  <c r="E1317" i="3"/>
  <c r="E1364" i="3"/>
  <c r="E1405" i="3"/>
  <c r="E1445" i="3"/>
  <c r="E1492" i="3"/>
  <c r="E1533" i="3"/>
  <c r="E1573" i="3"/>
  <c r="E1620" i="3"/>
  <c r="E1661" i="3"/>
  <c r="E1701" i="3"/>
  <c r="E1748" i="3"/>
  <c r="E1789" i="3"/>
  <c r="E1829" i="3"/>
  <c r="E1876" i="3"/>
  <c r="E1900" i="3"/>
  <c r="E1921" i="3"/>
  <c r="E1942" i="3"/>
  <c r="E1964" i="3"/>
  <c r="E1985" i="3"/>
  <c r="E2006" i="3"/>
  <c r="E2028" i="3"/>
  <c r="E2049" i="3"/>
  <c r="E2070" i="3"/>
  <c r="E2092" i="3"/>
  <c r="E2112" i="3"/>
  <c r="E2122" i="3"/>
  <c r="E2133" i="3"/>
  <c r="E2144" i="3"/>
  <c r="E2154" i="3"/>
  <c r="E2165" i="3"/>
  <c r="G240" i="3"/>
  <c r="G268" i="3"/>
  <c r="G294" i="3"/>
  <c r="G325" i="3"/>
  <c r="G353" i="3"/>
  <c r="G380" i="3"/>
  <c r="G410" i="3"/>
  <c r="G438" i="3"/>
  <c r="G464" i="3"/>
  <c r="G485" i="3"/>
  <c r="G506" i="3"/>
  <c r="G528" i="3"/>
  <c r="G549" i="3"/>
  <c r="G570" i="3"/>
  <c r="G592" i="3"/>
  <c r="G613" i="3"/>
  <c r="G634" i="3"/>
  <c r="G656" i="3"/>
  <c r="G677" i="3"/>
  <c r="G698" i="3"/>
  <c r="G720" i="3"/>
  <c r="G741" i="3"/>
  <c r="G762" i="3"/>
  <c r="G784" i="3"/>
  <c r="G805" i="3"/>
  <c r="G826" i="3"/>
  <c r="G848" i="3"/>
  <c r="G869" i="3"/>
  <c r="G890" i="3"/>
  <c r="G912" i="3"/>
  <c r="G933" i="3"/>
  <c r="G954" i="3"/>
  <c r="G976" i="3"/>
  <c r="G997" i="3"/>
  <c r="G1018" i="3"/>
  <c r="G1040" i="3"/>
  <c r="G1061" i="3"/>
  <c r="G1082" i="3"/>
  <c r="G1104" i="3"/>
  <c r="G1116" i="3"/>
  <c r="G1130" i="3"/>
  <c r="G1146" i="3"/>
  <c r="G1158" i="3"/>
  <c r="G1173" i="3"/>
  <c r="G1189" i="3"/>
  <c r="G1201" i="3"/>
  <c r="G1216" i="3"/>
  <c r="G1232" i="3"/>
  <c r="G1244" i="3"/>
  <c r="G1258" i="3"/>
  <c r="G1274" i="3"/>
  <c r="G1286" i="3"/>
  <c r="G1301" i="3"/>
  <c r="G1317" i="3"/>
  <c r="G1329" i="3"/>
  <c r="G1344" i="3"/>
  <c r="G1360" i="3"/>
  <c r="G1372" i="3"/>
  <c r="G1386" i="3"/>
  <c r="G1402" i="3"/>
  <c r="G1414" i="3"/>
  <c r="G1429" i="3"/>
  <c r="G1445" i="3"/>
  <c r="G1457" i="3"/>
  <c r="G1472" i="3"/>
  <c r="G1488" i="3"/>
  <c r="G1500" i="3"/>
  <c r="G1514" i="3"/>
  <c r="G1530" i="3"/>
  <c r="G1542" i="3"/>
  <c r="G1557" i="3"/>
  <c r="G1573" i="3"/>
  <c r="G1585" i="3"/>
  <c r="G1600" i="3"/>
  <c r="G1616" i="3"/>
  <c r="G1628" i="3"/>
  <c r="G1642" i="3"/>
  <c r="G1658" i="3"/>
  <c r="G1670" i="3"/>
  <c r="G1685" i="3"/>
  <c r="G1701" i="3"/>
  <c r="G1713" i="3"/>
  <c r="G1728" i="3"/>
  <c r="G1744" i="3"/>
  <c r="G1756" i="3"/>
  <c r="G1770" i="3"/>
  <c r="G1786" i="3"/>
  <c r="G1798" i="3"/>
  <c r="G1813" i="3"/>
  <c r="G1829" i="3"/>
  <c r="G1841" i="3"/>
  <c r="G1856" i="3"/>
  <c r="G1872" i="3"/>
  <c r="G1884" i="3"/>
  <c r="G1898" i="3"/>
  <c r="G1914" i="3"/>
  <c r="G1926" i="3"/>
  <c r="G1941" i="3"/>
  <c r="G1957" i="3"/>
  <c r="G1969" i="3"/>
  <c r="G1984" i="3"/>
  <c r="G2000" i="3"/>
  <c r="G2012" i="3"/>
  <c r="G2026" i="3"/>
  <c r="G2042" i="3"/>
  <c r="G2054" i="3"/>
  <c r="G2069" i="3"/>
  <c r="G2085" i="3"/>
  <c r="G2097" i="3"/>
  <c r="G2112" i="3"/>
  <c r="G2128" i="3"/>
  <c r="G2140" i="3"/>
  <c r="G2154" i="3"/>
  <c r="G217" i="3"/>
  <c r="F1367" i="3"/>
  <c r="E48" i="3"/>
  <c r="G48" i="3" s="1"/>
  <c r="E360" i="3"/>
  <c r="E701" i="3"/>
  <c r="E877" i="3"/>
  <c r="E1009" i="3"/>
  <c r="F1766" i="3"/>
  <c r="E380" i="3"/>
  <c r="E798" i="3"/>
  <c r="E1071" i="3"/>
  <c r="E1179" i="3"/>
  <c r="E1293" i="3"/>
  <c r="E1380" i="3"/>
  <c r="E1461" i="3"/>
  <c r="E1549" i="3"/>
  <c r="E1636" i="3"/>
  <c r="E1717" i="3"/>
  <c r="E1805" i="3"/>
  <c r="E1888" i="3"/>
  <c r="E1930" i="3"/>
  <c r="E1973" i="3"/>
  <c r="E2016" i="3"/>
  <c r="E2058" i="3"/>
  <c r="E2101" i="3"/>
  <c r="E2124" i="3"/>
  <c r="E2145" i="3"/>
  <c r="E17" i="3"/>
  <c r="G272" i="3"/>
  <c r="G326" i="3"/>
  <c r="G385" i="3"/>
  <c r="G442" i="3"/>
  <c r="G486" i="3"/>
  <c r="G529" i="3"/>
  <c r="G572" i="3"/>
  <c r="G614" i="3"/>
  <c r="G657" i="3"/>
  <c r="G700" i="3"/>
  <c r="G742" i="3"/>
  <c r="G785" i="3"/>
  <c r="G828" i="3"/>
  <c r="G870" i="3"/>
  <c r="G913" i="3"/>
  <c r="G956" i="3"/>
  <c r="G998" i="3"/>
  <c r="G1041" i="3"/>
  <c r="G1084" i="3"/>
  <c r="G1120" i="3"/>
  <c r="G1148" i="3"/>
  <c r="G1178" i="3"/>
  <c r="G1205" i="3"/>
  <c r="G1233" i="3"/>
  <c r="G1264" i="3"/>
  <c r="G1290" i="3"/>
  <c r="G1318" i="3"/>
  <c r="G1349" i="3"/>
  <c r="G1376" i="3"/>
  <c r="G1404" i="3"/>
  <c r="G1434" i="3"/>
  <c r="G1461" i="3"/>
  <c r="G1489" i="3"/>
  <c r="G1520" i="3"/>
  <c r="G1546" i="3"/>
  <c r="G1574" i="3"/>
  <c r="G1605" i="3"/>
  <c r="G1632" i="3"/>
  <c r="G1660" i="3"/>
  <c r="G1690" i="3"/>
  <c r="G1717" i="3"/>
  <c r="G1745" i="3"/>
  <c r="G1776" i="3"/>
  <c r="G1802" i="3"/>
  <c r="G1830" i="3"/>
  <c r="G1861" i="3"/>
  <c r="G1888" i="3"/>
  <c r="G1916" i="3"/>
  <c r="G1946" i="3"/>
  <c r="G1973" i="3"/>
  <c r="G2001" i="3"/>
  <c r="G2032" i="3"/>
  <c r="G2058" i="3"/>
  <c r="G2086" i="3"/>
  <c r="G2117" i="3"/>
  <c r="G2144" i="3"/>
  <c r="G218" i="3"/>
  <c r="F2018" i="3"/>
  <c r="E878" i="3"/>
  <c r="E1190" i="3"/>
  <c r="E1381" i="3"/>
  <c r="E1556" i="3"/>
  <c r="E1725" i="3"/>
  <c r="E1932" i="3"/>
  <c r="E2017" i="3"/>
  <c r="F1452" i="3"/>
  <c r="E240" i="3"/>
  <c r="E717" i="3"/>
  <c r="E1019" i="3"/>
  <c r="E1135" i="3"/>
  <c r="E1243" i="3"/>
  <c r="E1341" i="3"/>
  <c r="E1428" i="3"/>
  <c r="E1509" i="3"/>
  <c r="E1597" i="3"/>
  <c r="E1684" i="3"/>
  <c r="E1765" i="3"/>
  <c r="E1853" i="3"/>
  <c r="E1910" i="3"/>
  <c r="E1953" i="3"/>
  <c r="E1996" i="3"/>
  <c r="E2038" i="3"/>
  <c r="E2081" i="3"/>
  <c r="E2117" i="3"/>
  <c r="E2138" i="3"/>
  <c r="E2160" i="3"/>
  <c r="G252" i="3"/>
  <c r="G310" i="3"/>
  <c r="G368" i="3"/>
  <c r="G422" i="3"/>
  <c r="G474" i="3"/>
  <c r="G517" i="3"/>
  <c r="G560" i="3"/>
  <c r="G602" i="3"/>
  <c r="G645" i="3"/>
  <c r="G688" i="3"/>
  <c r="G730" i="3"/>
  <c r="G773" i="3"/>
  <c r="G816" i="3"/>
  <c r="G858" i="3"/>
  <c r="G901" i="3"/>
  <c r="G944" i="3"/>
  <c r="G986" i="3"/>
  <c r="G1029" i="3"/>
  <c r="G1072" i="3"/>
  <c r="G1109" i="3"/>
  <c r="G1137" i="3"/>
  <c r="G1168" i="3"/>
  <c r="G1194" i="3"/>
  <c r="G1222" i="3"/>
  <c r="G1253" i="3"/>
  <c r="G1280" i="3"/>
  <c r="G1308" i="3"/>
  <c r="G1338" i="3"/>
  <c r="G1365" i="3"/>
  <c r="G1393" i="3"/>
  <c r="G1424" i="3"/>
  <c r="G1450" i="3"/>
  <c r="G1478" i="3"/>
  <c r="G1509" i="3"/>
  <c r="G1536" i="3"/>
  <c r="G1564" i="3"/>
  <c r="G1594" i="3"/>
  <c r="G1621" i="3"/>
  <c r="G1649" i="3"/>
  <c r="G1680" i="3"/>
  <c r="G1706" i="3"/>
  <c r="G1734" i="3"/>
  <c r="G1765" i="3"/>
  <c r="G1792" i="3"/>
  <c r="G1820" i="3"/>
  <c r="G1850" i="3"/>
  <c r="G1877" i="3"/>
  <c r="G1905" i="3"/>
  <c r="G1936" i="3"/>
  <c r="G1962" i="3"/>
  <c r="G1990" i="3"/>
  <c r="G2021" i="3"/>
  <c r="G2048" i="3"/>
  <c r="G2076" i="3"/>
  <c r="G2106" i="3"/>
  <c r="G2133" i="3"/>
  <c r="G2161" i="3"/>
  <c r="E488" i="3"/>
  <c r="E1073" i="3"/>
  <c r="E1300" i="3"/>
  <c r="E1469" i="3"/>
  <c r="E1637" i="3"/>
  <c r="E1812" i="3"/>
  <c r="E1889" i="3"/>
  <c r="G2064" i="3"/>
  <c r="G1948" i="3"/>
  <c r="G1834" i="3"/>
  <c r="G1722" i="3"/>
  <c r="G1606" i="3"/>
  <c r="G1493" i="3"/>
  <c r="G1381" i="3"/>
  <c r="G1265" i="3"/>
  <c r="G1152" i="3"/>
  <c r="G1008" i="3"/>
  <c r="G837" i="3"/>
  <c r="G666" i="3"/>
  <c r="G496" i="3"/>
  <c r="G282" i="3"/>
  <c r="E2102" i="3"/>
  <c r="E1845" i="3"/>
  <c r="F754" i="3"/>
  <c r="G2149" i="3"/>
  <c r="G2090" i="3"/>
  <c r="G2033" i="3"/>
  <c r="G1978" i="3"/>
  <c r="G1920" i="3"/>
  <c r="G1862" i="3"/>
  <c r="G1808" i="3"/>
  <c r="G1749" i="3"/>
  <c r="G1692" i="3"/>
  <c r="G1637" i="3"/>
  <c r="G1578" i="3"/>
  <c r="G1521" i="3"/>
  <c r="G1466" i="3"/>
  <c r="G1408" i="3"/>
  <c r="G1350" i="3"/>
  <c r="G1296" i="3"/>
  <c r="G1237" i="3"/>
  <c r="G1180" i="3"/>
  <c r="G1125" i="3"/>
  <c r="G1050" i="3"/>
  <c r="G965" i="3"/>
  <c r="G880" i="3"/>
  <c r="G794" i="3"/>
  <c r="G709" i="3"/>
  <c r="G624" i="3"/>
  <c r="G538" i="3"/>
  <c r="G453" i="3"/>
  <c r="G337" i="3"/>
  <c r="G225" i="3"/>
  <c r="E2128" i="3"/>
  <c r="E2060" i="3"/>
  <c r="E1952" i="3"/>
  <c r="E1677" i="3"/>
  <c r="E1333" i="3"/>
  <c r="E595" i="3"/>
  <c r="F216" i="3"/>
  <c r="F220" i="3"/>
  <c r="F219" i="3"/>
  <c r="F223" i="3"/>
  <c r="F227" i="3"/>
  <c r="F231" i="3"/>
  <c r="F235" i="3"/>
  <c r="F239" i="3"/>
  <c r="F243" i="3"/>
  <c r="F247" i="3"/>
  <c r="F251" i="3"/>
  <c r="F255" i="3"/>
  <c r="F259" i="3"/>
  <c r="F263" i="3"/>
  <c r="F267" i="3"/>
  <c r="F271" i="3"/>
  <c r="F275" i="3"/>
  <c r="F279" i="3"/>
  <c r="F283" i="3"/>
  <c r="F287" i="3"/>
  <c r="F291" i="3"/>
  <c r="F295" i="3"/>
  <c r="F299" i="3"/>
  <c r="F303" i="3"/>
  <c r="F307" i="3"/>
  <c r="F311" i="3"/>
  <c r="F315" i="3"/>
  <c r="F319" i="3"/>
  <c r="F323" i="3"/>
  <c r="F327" i="3"/>
  <c r="F331" i="3"/>
  <c r="F335" i="3"/>
  <c r="F339" i="3"/>
  <c r="F343" i="3"/>
  <c r="F347" i="3"/>
  <c r="F351" i="3"/>
  <c r="F355" i="3"/>
  <c r="F359" i="3"/>
  <c r="F363" i="3"/>
  <c r="F222" i="3"/>
  <c r="F228" i="3"/>
  <c r="F233" i="3"/>
  <c r="F238" i="3"/>
  <c r="F244" i="3"/>
  <c r="F249" i="3"/>
  <c r="F254" i="3"/>
  <c r="F260" i="3"/>
  <c r="F265" i="3"/>
  <c r="F270" i="3"/>
  <c r="F276" i="3"/>
  <c r="F281" i="3"/>
  <c r="F286" i="3"/>
  <c r="F292" i="3"/>
  <c r="F297" i="3"/>
  <c r="F302" i="3"/>
  <c r="F308" i="3"/>
  <c r="F313" i="3"/>
  <c r="F318" i="3"/>
  <c r="F324" i="3"/>
  <c r="F329" i="3"/>
  <c r="F334" i="3"/>
  <c r="F340" i="3"/>
  <c r="F345" i="3"/>
  <c r="F350" i="3"/>
  <c r="F356" i="3"/>
  <c r="F361" i="3"/>
  <c r="F366" i="3"/>
  <c r="F370" i="3"/>
  <c r="F374" i="3"/>
  <c r="F378" i="3"/>
  <c r="F217" i="3"/>
  <c r="F224" i="3"/>
  <c r="F229" i="3"/>
  <c r="F234" i="3"/>
  <c r="F240" i="3"/>
  <c r="F245" i="3"/>
  <c r="F250" i="3"/>
  <c r="F256" i="3"/>
  <c r="F261" i="3"/>
  <c r="F266" i="3"/>
  <c r="F272" i="3"/>
  <c r="F277" i="3"/>
  <c r="F282" i="3"/>
  <c r="F288" i="3"/>
  <c r="F293" i="3"/>
  <c r="F298" i="3"/>
  <c r="F304" i="3"/>
  <c r="F309" i="3"/>
  <c r="F314" i="3"/>
  <c r="F320" i="3"/>
  <c r="F325" i="3"/>
  <c r="F330" i="3"/>
  <c r="F336" i="3"/>
  <c r="F341" i="3"/>
  <c r="F346" i="3"/>
  <c r="F352" i="3"/>
  <c r="F357" i="3"/>
  <c r="F362" i="3"/>
  <c r="F367" i="3"/>
  <c r="F371" i="3"/>
  <c r="F375" i="3"/>
  <c r="F379" i="3"/>
  <c r="F383" i="3"/>
  <c r="F387" i="3"/>
  <c r="F391" i="3"/>
  <c r="F395" i="3"/>
  <c r="F399" i="3"/>
  <c r="F403" i="3"/>
  <c r="F407" i="3"/>
  <c r="F411" i="3"/>
  <c r="F415" i="3"/>
  <c r="F419" i="3"/>
  <c r="F423" i="3"/>
  <c r="F427" i="3"/>
  <c r="F431" i="3"/>
  <c r="F435" i="3"/>
  <c r="F439" i="3"/>
  <c r="F443" i="3"/>
  <c r="F447" i="3"/>
  <c r="F451" i="3"/>
  <c r="F455" i="3"/>
  <c r="F459" i="3"/>
  <c r="F463" i="3"/>
  <c r="F467" i="3"/>
  <c r="F471" i="3"/>
  <c r="F475" i="3"/>
  <c r="F479" i="3"/>
  <c r="F483" i="3"/>
  <c r="F487" i="3"/>
  <c r="F491" i="3"/>
  <c r="F495" i="3"/>
  <c r="F499" i="3"/>
  <c r="F225" i="3"/>
  <c r="F236" i="3"/>
  <c r="F246" i="3"/>
  <c r="F257" i="3"/>
  <c r="F268" i="3"/>
  <c r="F278" i="3"/>
  <c r="F289" i="3"/>
  <c r="F300" i="3"/>
  <c r="F310" i="3"/>
  <c r="F321" i="3"/>
  <c r="F332" i="3"/>
  <c r="F342" i="3"/>
  <c r="F353" i="3"/>
  <c r="F364" i="3"/>
  <c r="F372" i="3"/>
  <c r="F380" i="3"/>
  <c r="F385" i="3"/>
  <c r="F390" i="3"/>
  <c r="F396" i="3"/>
  <c r="F401" i="3"/>
  <c r="F406" i="3"/>
  <c r="F412" i="3"/>
  <c r="F417" i="3"/>
  <c r="F422" i="3"/>
  <c r="F428" i="3"/>
  <c r="F433" i="3"/>
  <c r="F438" i="3"/>
  <c r="F444" i="3"/>
  <c r="F449" i="3"/>
  <c r="F454" i="3"/>
  <c r="F460" i="3"/>
  <c r="F465" i="3"/>
  <c r="F470" i="3"/>
  <c r="F476" i="3"/>
  <c r="F481" i="3"/>
  <c r="F486" i="3"/>
  <c r="F492" i="3"/>
  <c r="F497" i="3"/>
  <c r="F502" i="3"/>
  <c r="F506" i="3"/>
  <c r="F510" i="3"/>
  <c r="F514" i="3"/>
  <c r="F518" i="3"/>
  <c r="F522" i="3"/>
  <c r="F526" i="3"/>
  <c r="F530" i="3"/>
  <c r="F534" i="3"/>
  <c r="F538" i="3"/>
  <c r="F542" i="3"/>
  <c r="F546" i="3"/>
  <c r="F550" i="3"/>
  <c r="F554" i="3"/>
  <c r="F558" i="3"/>
  <c r="F562" i="3"/>
  <c r="F566" i="3"/>
  <c r="F570" i="3"/>
  <c r="F574" i="3"/>
  <c r="F578" i="3"/>
  <c r="F582" i="3"/>
  <c r="F586" i="3"/>
  <c r="F590" i="3"/>
  <c r="F594" i="3"/>
  <c r="F598" i="3"/>
  <c r="F602" i="3"/>
  <c r="F606" i="3"/>
  <c r="F610" i="3"/>
  <c r="F614" i="3"/>
  <c r="F618" i="3"/>
  <c r="F622" i="3"/>
  <c r="F626" i="3"/>
  <c r="F630" i="3"/>
  <c r="F634" i="3"/>
  <c r="F638" i="3"/>
  <c r="F226" i="3"/>
  <c r="F237" i="3"/>
  <c r="F248" i="3"/>
  <c r="F258" i="3"/>
  <c r="F269" i="3"/>
  <c r="F280" i="3"/>
  <c r="F290" i="3"/>
  <c r="F301" i="3"/>
  <c r="F312" i="3"/>
  <c r="F322" i="3"/>
  <c r="F333" i="3"/>
  <c r="F344" i="3"/>
  <c r="F354" i="3"/>
  <c r="F365" i="3"/>
  <c r="F373" i="3"/>
  <c r="F381" i="3"/>
  <c r="F386" i="3"/>
  <c r="F392" i="3"/>
  <c r="F397" i="3"/>
  <c r="F402" i="3"/>
  <c r="F408" i="3"/>
  <c r="F413" i="3"/>
  <c r="F418" i="3"/>
  <c r="F424" i="3"/>
  <c r="F429" i="3"/>
  <c r="F434" i="3"/>
  <c r="F440" i="3"/>
  <c r="F445" i="3"/>
  <c r="F450" i="3"/>
  <c r="F456" i="3"/>
  <c r="F461" i="3"/>
  <c r="F466" i="3"/>
  <c r="F472" i="3"/>
  <c r="F477" i="3"/>
  <c r="F482" i="3"/>
  <c r="F488" i="3"/>
  <c r="F493" i="3"/>
  <c r="F498" i="3"/>
  <c r="F503" i="3"/>
  <c r="F507" i="3"/>
  <c r="F511" i="3"/>
  <c r="F515" i="3"/>
  <c r="F519" i="3"/>
  <c r="F523" i="3"/>
  <c r="F527" i="3"/>
  <c r="F531" i="3"/>
  <c r="F535" i="3"/>
  <c r="F539" i="3"/>
  <c r="F543" i="3"/>
  <c r="F547" i="3"/>
  <c r="F551" i="3"/>
  <c r="F555" i="3"/>
  <c r="F559" i="3"/>
  <c r="F563" i="3"/>
  <c r="F567" i="3"/>
  <c r="F571" i="3"/>
  <c r="F575" i="3"/>
  <c r="F579" i="3"/>
  <c r="F583" i="3"/>
  <c r="F587" i="3"/>
  <c r="F591" i="3"/>
  <c r="F595" i="3"/>
  <c r="F599" i="3"/>
  <c r="F603" i="3"/>
  <c r="F607" i="3"/>
  <c r="F611" i="3"/>
  <c r="F615" i="3"/>
  <c r="F619" i="3"/>
  <c r="F623" i="3"/>
  <c r="F627" i="3"/>
  <c r="F631" i="3"/>
  <c r="F635" i="3"/>
  <c r="F639" i="3"/>
  <c r="F643" i="3"/>
  <c r="F647" i="3"/>
  <c r="F651" i="3"/>
  <c r="F655" i="3"/>
  <c r="F659" i="3"/>
  <c r="F663" i="3"/>
  <c r="F667" i="3"/>
  <c r="F671" i="3"/>
  <c r="F675" i="3"/>
  <c r="F679" i="3"/>
  <c r="F683" i="3"/>
  <c r="F687" i="3"/>
  <c r="F691" i="3"/>
  <c r="F695" i="3"/>
  <c r="F699" i="3"/>
  <c r="F703" i="3"/>
  <c r="F707" i="3"/>
  <c r="F711" i="3"/>
  <c r="F715" i="3"/>
  <c r="F719" i="3"/>
  <c r="F723" i="3"/>
  <c r="F727" i="3"/>
  <c r="F731" i="3"/>
  <c r="F735" i="3"/>
  <c r="F739" i="3"/>
  <c r="F743" i="3"/>
  <c r="F747" i="3"/>
  <c r="F751" i="3"/>
  <c r="F755" i="3"/>
  <c r="F759" i="3"/>
  <c r="F763" i="3"/>
  <c r="F767" i="3"/>
  <c r="F771" i="3"/>
  <c r="F775" i="3"/>
  <c r="F779" i="3"/>
  <c r="F783" i="3"/>
  <c r="F787" i="3"/>
  <c r="F791" i="3"/>
  <c r="F795" i="3"/>
  <c r="F230" i="3"/>
  <c r="F252" i="3"/>
  <c r="F273" i="3"/>
  <c r="F294" i="3"/>
  <c r="F316" i="3"/>
  <c r="F337" i="3"/>
  <c r="F358" i="3"/>
  <c r="F376" i="3"/>
  <c r="F388" i="3"/>
  <c r="F398" i="3"/>
  <c r="F409" i="3"/>
  <c r="F420" i="3"/>
  <c r="F430" i="3"/>
  <c r="F441" i="3"/>
  <c r="F452" i="3"/>
  <c r="F462" i="3"/>
  <c r="F473" i="3"/>
  <c r="F484" i="3"/>
  <c r="F494" i="3"/>
  <c r="F504" i="3"/>
  <c r="F512" i="3"/>
  <c r="F520" i="3"/>
  <c r="F528" i="3"/>
  <c r="F536" i="3"/>
  <c r="F544" i="3"/>
  <c r="F552" i="3"/>
  <c r="F560" i="3"/>
  <c r="F568" i="3"/>
  <c r="F576" i="3"/>
  <c r="F584" i="3"/>
  <c r="F592" i="3"/>
  <c r="F600" i="3"/>
  <c r="F608" i="3"/>
  <c r="F616" i="3"/>
  <c r="F624" i="3"/>
  <c r="F632" i="3"/>
  <c r="F640" i="3"/>
  <c r="F645" i="3"/>
  <c r="F650" i="3"/>
  <c r="F656" i="3"/>
  <c r="F661" i="3"/>
  <c r="F666" i="3"/>
  <c r="F672" i="3"/>
  <c r="F677" i="3"/>
  <c r="F682" i="3"/>
  <c r="F688" i="3"/>
  <c r="F693" i="3"/>
  <c r="F698" i="3"/>
  <c r="F704" i="3"/>
  <c r="F709" i="3"/>
  <c r="F714" i="3"/>
  <c r="F720" i="3"/>
  <c r="F725" i="3"/>
  <c r="F730" i="3"/>
  <c r="F736" i="3"/>
  <c r="F741" i="3"/>
  <c r="F746" i="3"/>
  <c r="F752" i="3"/>
  <c r="F757" i="3"/>
  <c r="F762" i="3"/>
  <c r="F768" i="3"/>
  <c r="F773" i="3"/>
  <c r="F778" i="3"/>
  <c r="F784" i="3"/>
  <c r="F789" i="3"/>
  <c r="F794" i="3"/>
  <c r="F799" i="3"/>
  <c r="F803" i="3"/>
  <c r="F807" i="3"/>
  <c r="F811" i="3"/>
  <c r="F815" i="3"/>
  <c r="F819" i="3"/>
  <c r="F823" i="3"/>
  <c r="F827" i="3"/>
  <c r="F831" i="3"/>
  <c r="F835" i="3"/>
  <c r="F839" i="3"/>
  <c r="F843" i="3"/>
  <c r="F847" i="3"/>
  <c r="F851" i="3"/>
  <c r="F855" i="3"/>
  <c r="F859" i="3"/>
  <c r="F863" i="3"/>
  <c r="F867" i="3"/>
  <c r="F871" i="3"/>
  <c r="F875" i="3"/>
  <c r="F879" i="3"/>
  <c r="F883" i="3"/>
  <c r="F887" i="3"/>
  <c r="F891" i="3"/>
  <c r="F895" i="3"/>
  <c r="F899" i="3"/>
  <c r="F903" i="3"/>
  <c r="F907" i="3"/>
  <c r="F911" i="3"/>
  <c r="F915" i="3"/>
  <c r="F919" i="3"/>
  <c r="F923" i="3"/>
  <c r="F927" i="3"/>
  <c r="F931" i="3"/>
  <c r="F935" i="3"/>
  <c r="F939" i="3"/>
  <c r="F943" i="3"/>
  <c r="F947" i="3"/>
  <c r="F951" i="3"/>
  <c r="F955" i="3"/>
  <c r="F959" i="3"/>
  <c r="F963" i="3"/>
  <c r="F232" i="3"/>
  <c r="F253" i="3"/>
  <c r="F274" i="3"/>
  <c r="F296" i="3"/>
  <c r="F317" i="3"/>
  <c r="F338" i="3"/>
  <c r="F360" i="3"/>
  <c r="F377" i="3"/>
  <c r="F389" i="3"/>
  <c r="F400" i="3"/>
  <c r="F410" i="3"/>
  <c r="F421" i="3"/>
  <c r="F432" i="3"/>
  <c r="F442" i="3"/>
  <c r="F453" i="3"/>
  <c r="F464" i="3"/>
  <c r="F474" i="3"/>
  <c r="F485" i="3"/>
  <c r="F496" i="3"/>
  <c r="F505" i="3"/>
  <c r="F513" i="3"/>
  <c r="F521" i="3"/>
  <c r="F529" i="3"/>
  <c r="F537" i="3"/>
  <c r="F545" i="3"/>
  <c r="F553" i="3"/>
  <c r="F561" i="3"/>
  <c r="F569" i="3"/>
  <c r="F577" i="3"/>
  <c r="F585" i="3"/>
  <c r="F593" i="3"/>
  <c r="F601" i="3"/>
  <c r="F609" i="3"/>
  <c r="F617" i="3"/>
  <c r="F625" i="3"/>
  <c r="F633" i="3"/>
  <c r="F641" i="3"/>
  <c r="F646" i="3"/>
  <c r="F652" i="3"/>
  <c r="F657" i="3"/>
  <c r="F662" i="3"/>
  <c r="F668" i="3"/>
  <c r="F673" i="3"/>
  <c r="F678" i="3"/>
  <c r="F684" i="3"/>
  <c r="F689" i="3"/>
  <c r="F694" i="3"/>
  <c r="F700" i="3"/>
  <c r="F705" i="3"/>
  <c r="F710" i="3"/>
  <c r="F716" i="3"/>
  <c r="F721" i="3"/>
  <c r="F726" i="3"/>
  <c r="F732" i="3"/>
  <c r="F737" i="3"/>
  <c r="F742" i="3"/>
  <c r="F748" i="3"/>
  <c r="F753" i="3"/>
  <c r="F758" i="3"/>
  <c r="F764" i="3"/>
  <c r="F769" i="3"/>
  <c r="F774" i="3"/>
  <c r="F780" i="3"/>
  <c r="F785" i="3"/>
  <c r="F790" i="3"/>
  <c r="F796" i="3"/>
  <c r="F800" i="3"/>
  <c r="F804" i="3"/>
  <c r="F808" i="3"/>
  <c r="F812" i="3"/>
  <c r="F816" i="3"/>
  <c r="F820" i="3"/>
  <c r="F824" i="3"/>
  <c r="F828" i="3"/>
  <c r="F832" i="3"/>
  <c r="F836" i="3"/>
  <c r="F840" i="3"/>
  <c r="F844" i="3"/>
  <c r="F848" i="3"/>
  <c r="F852" i="3"/>
  <c r="F856" i="3"/>
  <c r="F860" i="3"/>
  <c r="F864" i="3"/>
  <c r="F868" i="3"/>
  <c r="F872" i="3"/>
  <c r="F876" i="3"/>
  <c r="F880" i="3"/>
  <c r="F884" i="3"/>
  <c r="F888" i="3"/>
  <c r="F892" i="3"/>
  <c r="F896" i="3"/>
  <c r="F900" i="3"/>
  <c r="F904" i="3"/>
  <c r="F908" i="3"/>
  <c r="F912" i="3"/>
  <c r="F916" i="3"/>
  <c r="F920" i="3"/>
  <c r="F924" i="3"/>
  <c r="F928" i="3"/>
  <c r="F932" i="3"/>
  <c r="F936" i="3"/>
  <c r="F940" i="3"/>
  <c r="F944" i="3"/>
  <c r="F948" i="3"/>
  <c r="F952" i="3"/>
  <c r="F956" i="3"/>
  <c r="F960" i="3"/>
  <c r="F964" i="3"/>
  <c r="F968" i="3"/>
  <c r="F972" i="3"/>
  <c r="F976" i="3"/>
  <c r="F980" i="3"/>
  <c r="F984" i="3"/>
  <c r="F988" i="3"/>
  <c r="F992" i="3"/>
  <c r="F996" i="3"/>
  <c r="F1000" i="3"/>
  <c r="F1004" i="3"/>
  <c r="F1008" i="3"/>
  <c r="F1012" i="3"/>
  <c r="F1016" i="3"/>
  <c r="F1020" i="3"/>
  <c r="F1024" i="3"/>
  <c r="F1028" i="3"/>
  <c r="F1032" i="3"/>
  <c r="F1036" i="3"/>
  <c r="F1040" i="3"/>
  <c r="F1044" i="3"/>
  <c r="F1048" i="3"/>
  <c r="F1052" i="3"/>
  <c r="F1056" i="3"/>
  <c r="F1060" i="3"/>
  <c r="F1064" i="3"/>
  <c r="F1068" i="3"/>
  <c r="F1072" i="3"/>
  <c r="F1076" i="3"/>
  <c r="F1080" i="3"/>
  <c r="F1084" i="3"/>
  <c r="F1088" i="3"/>
  <c r="F1092" i="3"/>
  <c r="F1096" i="3"/>
  <c r="F1100" i="3"/>
  <c r="F1104" i="3"/>
  <c r="F1108" i="3"/>
  <c r="F1112" i="3"/>
  <c r="F1116" i="3"/>
  <c r="F1120" i="3"/>
  <c r="F1124" i="3"/>
  <c r="F1128" i="3"/>
  <c r="F1132" i="3"/>
  <c r="F1136" i="3"/>
  <c r="F1140" i="3"/>
  <c r="F1144" i="3"/>
  <c r="F1148" i="3"/>
  <c r="F1152" i="3"/>
  <c r="F1156" i="3"/>
  <c r="F1160" i="3"/>
  <c r="F1164" i="3"/>
  <c r="F1168" i="3"/>
  <c r="F1172" i="3"/>
  <c r="F1176" i="3"/>
  <c r="F1180" i="3"/>
  <c r="F1184" i="3"/>
  <c r="F1188" i="3"/>
  <c r="F241" i="3"/>
  <c r="F284" i="3"/>
  <c r="F326" i="3"/>
  <c r="F368" i="3"/>
  <c r="F393" i="3"/>
  <c r="F414" i="3"/>
  <c r="F436" i="3"/>
  <c r="F457" i="3"/>
  <c r="F478" i="3"/>
  <c r="F500" i="3"/>
  <c r="F516" i="3"/>
  <c r="F532" i="3"/>
  <c r="F548" i="3"/>
  <c r="F564" i="3"/>
  <c r="F580" i="3"/>
  <c r="F596" i="3"/>
  <c r="F612" i="3"/>
  <c r="F628" i="3"/>
  <c r="F642" i="3"/>
  <c r="F653" i="3"/>
  <c r="F664" i="3"/>
  <c r="F674" i="3"/>
  <c r="F685" i="3"/>
  <c r="F696" i="3"/>
  <c r="F706" i="3"/>
  <c r="F717" i="3"/>
  <c r="F728" i="3"/>
  <c r="F738" i="3"/>
  <c r="F749" i="3"/>
  <c r="F760" i="3"/>
  <c r="F770" i="3"/>
  <c r="F781" i="3"/>
  <c r="F792" i="3"/>
  <c r="F801" i="3"/>
  <c r="F809" i="3"/>
  <c r="F817" i="3"/>
  <c r="F825" i="3"/>
  <c r="F833" i="3"/>
  <c r="F841" i="3"/>
  <c r="F849" i="3"/>
  <c r="F857" i="3"/>
  <c r="F865" i="3"/>
  <c r="F873" i="3"/>
  <c r="F881" i="3"/>
  <c r="F889" i="3"/>
  <c r="F897" i="3"/>
  <c r="F905" i="3"/>
  <c r="F913" i="3"/>
  <c r="F921" i="3"/>
  <c r="F929" i="3"/>
  <c r="F937" i="3"/>
  <c r="F945" i="3"/>
  <c r="F953" i="3"/>
  <c r="F961" i="3"/>
  <c r="F967" i="3"/>
  <c r="F973" i="3"/>
  <c r="F978" i="3"/>
  <c r="F983" i="3"/>
  <c r="F989" i="3"/>
  <c r="F994" i="3"/>
  <c r="F999" i="3"/>
  <c r="F1005" i="3"/>
  <c r="F1010" i="3"/>
  <c r="F1015" i="3"/>
  <c r="F1021" i="3"/>
  <c r="F1026" i="3"/>
  <c r="F1031" i="3"/>
  <c r="F1037" i="3"/>
  <c r="F1042" i="3"/>
  <c r="F1047" i="3"/>
  <c r="F1053" i="3"/>
  <c r="F1058" i="3"/>
  <c r="F1063" i="3"/>
  <c r="F1069" i="3"/>
  <c r="F1074" i="3"/>
  <c r="F1079" i="3"/>
  <c r="F1085" i="3"/>
  <c r="F1090" i="3"/>
  <c r="F1095" i="3"/>
  <c r="F1101" i="3"/>
  <c r="F1106" i="3"/>
  <c r="F1111" i="3"/>
  <c r="F1117" i="3"/>
  <c r="F1122" i="3"/>
  <c r="F1127" i="3"/>
  <c r="F1133" i="3"/>
  <c r="F1138" i="3"/>
  <c r="F1143" i="3"/>
  <c r="F1149" i="3"/>
  <c r="F1154" i="3"/>
  <c r="F1159" i="3"/>
  <c r="F1165" i="3"/>
  <c r="F1170" i="3"/>
  <c r="F1175" i="3"/>
  <c r="F1181" i="3"/>
  <c r="F1186" i="3"/>
  <c r="F1191" i="3"/>
  <c r="F1195" i="3"/>
  <c r="F1199" i="3"/>
  <c r="F1203" i="3"/>
  <c r="F221" i="3"/>
  <c r="F264" i="3"/>
  <c r="F306" i="3"/>
  <c r="F349" i="3"/>
  <c r="F384" i="3"/>
  <c r="F405" i="3"/>
  <c r="F426" i="3"/>
  <c r="F448" i="3"/>
  <c r="F469" i="3"/>
  <c r="F490" i="3"/>
  <c r="F509" i="3"/>
  <c r="F525" i="3"/>
  <c r="F541" i="3"/>
  <c r="F557" i="3"/>
  <c r="F573" i="3"/>
  <c r="F589" i="3"/>
  <c r="F605" i="3"/>
  <c r="F621" i="3"/>
  <c r="F637" i="3"/>
  <c r="F649" i="3"/>
  <c r="F660" i="3"/>
  <c r="F670" i="3"/>
  <c r="F681" i="3"/>
  <c r="F692" i="3"/>
  <c r="F702" i="3"/>
  <c r="F713" i="3"/>
  <c r="F724" i="3"/>
  <c r="F734" i="3"/>
  <c r="F745" i="3"/>
  <c r="F756" i="3"/>
  <c r="F766" i="3"/>
  <c r="F777" i="3"/>
  <c r="F788" i="3"/>
  <c r="F798" i="3"/>
  <c r="F806" i="3"/>
  <c r="F814" i="3"/>
  <c r="F822" i="3"/>
  <c r="F830" i="3"/>
  <c r="F838" i="3"/>
  <c r="F846" i="3"/>
  <c r="F854" i="3"/>
  <c r="F862" i="3"/>
  <c r="F870" i="3"/>
  <c r="F878" i="3"/>
  <c r="F886" i="3"/>
  <c r="F894" i="3"/>
  <c r="F902" i="3"/>
  <c r="F910" i="3"/>
  <c r="F918" i="3"/>
  <c r="F926" i="3"/>
  <c r="F934" i="3"/>
  <c r="F942" i="3"/>
  <c r="F950" i="3"/>
  <c r="F958" i="3"/>
  <c r="F966" i="3"/>
  <c r="F971" i="3"/>
  <c r="F977" i="3"/>
  <c r="F982" i="3"/>
  <c r="F987" i="3"/>
  <c r="F993" i="3"/>
  <c r="F998" i="3"/>
  <c r="F1003" i="3"/>
  <c r="F1009" i="3"/>
  <c r="F1014" i="3"/>
  <c r="F1019" i="3"/>
  <c r="F1025" i="3"/>
  <c r="F1030" i="3"/>
  <c r="F1035" i="3"/>
  <c r="F1041" i="3"/>
  <c r="F1046" i="3"/>
  <c r="F1051" i="3"/>
  <c r="F1057" i="3"/>
  <c r="F1062" i="3"/>
  <c r="F1067" i="3"/>
  <c r="F1073" i="3"/>
  <c r="F1078" i="3"/>
  <c r="F1083" i="3"/>
  <c r="F1089" i="3"/>
  <c r="F1094" i="3"/>
  <c r="F1099" i="3"/>
  <c r="F1105" i="3"/>
  <c r="F1110" i="3"/>
  <c r="F1115" i="3"/>
  <c r="F1121" i="3"/>
  <c r="F1126" i="3"/>
  <c r="F1131" i="3"/>
  <c r="F1137" i="3"/>
  <c r="F1142" i="3"/>
  <c r="F1147" i="3"/>
  <c r="F1153" i="3"/>
  <c r="F1158" i="3"/>
  <c r="F1163" i="3"/>
  <c r="F1169" i="3"/>
  <c r="F1174" i="3"/>
  <c r="F1179" i="3"/>
  <c r="F1185" i="3"/>
  <c r="F1190" i="3"/>
  <c r="F1194" i="3"/>
  <c r="F1198" i="3"/>
  <c r="F1202" i="3"/>
  <c r="F1206" i="3"/>
  <c r="F1210" i="3"/>
  <c r="F1214" i="3"/>
  <c r="F1218" i="3"/>
  <c r="F1222" i="3"/>
  <c r="F1226" i="3"/>
  <c r="F1230" i="3"/>
  <c r="F1234" i="3"/>
  <c r="F1238" i="3"/>
  <c r="F1242" i="3"/>
  <c r="F1246" i="3"/>
  <c r="F1250" i="3"/>
  <c r="F1254" i="3"/>
  <c r="F1258" i="3"/>
  <c r="F1262" i="3"/>
  <c r="F1266" i="3"/>
  <c r="F1270" i="3"/>
  <c r="F1274" i="3"/>
  <c r="F1278" i="3"/>
  <c r="F1282" i="3"/>
  <c r="F1286" i="3"/>
  <c r="F1290" i="3"/>
  <c r="F1294" i="3"/>
  <c r="F1298" i="3"/>
  <c r="F1302" i="3"/>
  <c r="F1306" i="3"/>
  <c r="F1310" i="3"/>
  <c r="F1314" i="3"/>
  <c r="F1318" i="3"/>
  <c r="F1322" i="3"/>
  <c r="F1326" i="3"/>
  <c r="F1330" i="3"/>
  <c r="F1334" i="3"/>
  <c r="F1338" i="3"/>
  <c r="F1342" i="3"/>
  <c r="F1346" i="3"/>
  <c r="F1350" i="3"/>
  <c r="F1354" i="3"/>
  <c r="F1358" i="3"/>
  <c r="F1362" i="3"/>
  <c r="F1366" i="3"/>
  <c r="F1370" i="3"/>
  <c r="F1374" i="3"/>
  <c r="F1378" i="3"/>
  <c r="F1382" i="3"/>
  <c r="F1386" i="3"/>
  <c r="F1390" i="3"/>
  <c r="F1394" i="3"/>
  <c r="F1398" i="3"/>
  <c r="F1402" i="3"/>
  <c r="F1406" i="3"/>
  <c r="F1410" i="3"/>
  <c r="F1414" i="3"/>
  <c r="F1418" i="3"/>
  <c r="F1422" i="3"/>
  <c r="F1426" i="3"/>
  <c r="F1430" i="3"/>
  <c r="F1434" i="3"/>
  <c r="F1438" i="3"/>
  <c r="F1442" i="3"/>
  <c r="F1446" i="3"/>
  <c r="F1450" i="3"/>
  <c r="F1454" i="3"/>
  <c r="F1458" i="3"/>
  <c r="F1462" i="3"/>
  <c r="F1466" i="3"/>
  <c r="F1470" i="3"/>
  <c r="F218" i="3"/>
  <c r="F305" i="3"/>
  <c r="F382" i="3"/>
  <c r="F425" i="3"/>
  <c r="F468" i="3"/>
  <c r="F508" i="3"/>
  <c r="F540" i="3"/>
  <c r="F572" i="3"/>
  <c r="F604" i="3"/>
  <c r="F636" i="3"/>
  <c r="F658" i="3"/>
  <c r="F680" i="3"/>
  <c r="F701" i="3"/>
  <c r="F722" i="3"/>
  <c r="F744" i="3"/>
  <c r="F765" i="3"/>
  <c r="F786" i="3"/>
  <c r="F805" i="3"/>
  <c r="F821" i="3"/>
  <c r="F837" i="3"/>
  <c r="F853" i="3"/>
  <c r="F869" i="3"/>
  <c r="F885" i="3"/>
  <c r="F901" i="3"/>
  <c r="F917" i="3"/>
  <c r="F933" i="3"/>
  <c r="F949" i="3"/>
  <c r="F965" i="3"/>
  <c r="F975" i="3"/>
  <c r="F986" i="3"/>
  <c r="F997" i="3"/>
  <c r="F1007" i="3"/>
  <c r="F1018" i="3"/>
  <c r="F1029" i="3"/>
  <c r="F1039" i="3"/>
  <c r="F1050" i="3"/>
  <c r="F1061" i="3"/>
  <c r="F1071" i="3"/>
  <c r="F1082" i="3"/>
  <c r="F1093" i="3"/>
  <c r="F1103" i="3"/>
  <c r="F1114" i="3"/>
  <c r="F1125" i="3"/>
  <c r="F1135" i="3"/>
  <c r="F1146" i="3"/>
  <c r="F1157" i="3"/>
  <c r="F1167" i="3"/>
  <c r="F1178" i="3"/>
  <c r="F1189" i="3"/>
  <c r="F1197" i="3"/>
  <c r="F1205" i="3"/>
  <c r="F1211" i="3"/>
  <c r="F1216" i="3"/>
  <c r="F1221" i="3"/>
  <c r="F1227" i="3"/>
  <c r="F1232" i="3"/>
  <c r="F1237" i="3"/>
  <c r="F1243" i="3"/>
  <c r="F1248" i="3"/>
  <c r="F1253" i="3"/>
  <c r="F1259" i="3"/>
  <c r="F1264" i="3"/>
  <c r="F1269" i="3"/>
  <c r="F1275" i="3"/>
  <c r="F1280" i="3"/>
  <c r="F1285" i="3"/>
  <c r="F1291" i="3"/>
  <c r="F1296" i="3"/>
  <c r="F1301" i="3"/>
  <c r="F1307" i="3"/>
  <c r="F1312" i="3"/>
  <c r="F1317" i="3"/>
  <c r="F1323" i="3"/>
  <c r="F1328" i="3"/>
  <c r="F1333" i="3"/>
  <c r="F1339" i="3"/>
  <c r="F1344" i="3"/>
  <c r="F1349" i="3"/>
  <c r="F1355" i="3"/>
  <c r="F1360" i="3"/>
  <c r="F1365" i="3"/>
  <c r="F1371" i="3"/>
  <c r="F1376" i="3"/>
  <c r="F1381" i="3"/>
  <c r="F1387" i="3"/>
  <c r="F1392" i="3"/>
  <c r="F1397" i="3"/>
  <c r="F1403" i="3"/>
  <c r="F1408" i="3"/>
  <c r="F1413" i="3"/>
  <c r="F1419" i="3"/>
  <c r="F1424" i="3"/>
  <c r="F1429" i="3"/>
  <c r="F1435" i="3"/>
  <c r="F1440" i="3"/>
  <c r="F1445" i="3"/>
  <c r="F1451" i="3"/>
  <c r="F1456" i="3"/>
  <c r="F1461" i="3"/>
  <c r="F1467" i="3"/>
  <c r="F1472" i="3"/>
  <c r="F1476" i="3"/>
  <c r="F1480" i="3"/>
  <c r="F1484" i="3"/>
  <c r="F1488" i="3"/>
  <c r="F1492" i="3"/>
  <c r="F1496" i="3"/>
  <c r="F1500" i="3"/>
  <c r="F1504" i="3"/>
  <c r="F1508" i="3"/>
  <c r="F1512" i="3"/>
  <c r="F1516" i="3"/>
  <c r="F1520" i="3"/>
  <c r="F1524" i="3"/>
  <c r="F1528" i="3"/>
  <c r="F1532" i="3"/>
  <c r="F1536" i="3"/>
  <c r="F1540" i="3"/>
  <c r="F1544" i="3"/>
  <c r="F1548" i="3"/>
  <c r="F1552" i="3"/>
  <c r="F1556" i="3"/>
  <c r="F1560" i="3"/>
  <c r="F1564" i="3"/>
  <c r="F1568" i="3"/>
  <c r="F1572" i="3"/>
  <c r="F1576" i="3"/>
  <c r="F1580" i="3"/>
  <c r="F1584" i="3"/>
  <c r="F1588" i="3"/>
  <c r="F1592" i="3"/>
  <c r="F1596" i="3"/>
  <c r="F1600" i="3"/>
  <c r="F1604" i="3"/>
  <c r="F1608" i="3"/>
  <c r="F1612" i="3"/>
  <c r="F1616" i="3"/>
  <c r="F1620" i="3"/>
  <c r="F1624" i="3"/>
  <c r="F1628" i="3"/>
  <c r="F1632" i="3"/>
  <c r="F1636" i="3"/>
  <c r="F1640" i="3"/>
  <c r="F1644" i="3"/>
  <c r="F1648" i="3"/>
  <c r="F1652" i="3"/>
  <c r="F1656" i="3"/>
  <c r="F1660" i="3"/>
  <c r="F1664" i="3"/>
  <c r="F1668" i="3"/>
  <c r="F1672" i="3"/>
  <c r="F1676" i="3"/>
  <c r="F1680" i="3"/>
  <c r="F1684" i="3"/>
  <c r="F1688" i="3"/>
  <c r="F1692" i="3"/>
  <c r="F1696" i="3"/>
  <c r="F1700" i="3"/>
  <c r="F1704" i="3"/>
  <c r="F1708" i="3"/>
  <c r="F1712" i="3"/>
  <c r="F1716" i="3"/>
  <c r="F1720" i="3"/>
  <c r="F1724" i="3"/>
  <c r="F1728" i="3"/>
  <c r="F1732" i="3"/>
  <c r="F1736" i="3"/>
  <c r="F1740" i="3"/>
  <c r="F1744" i="3"/>
  <c r="F285" i="3"/>
  <c r="F369" i="3"/>
  <c r="F416" i="3"/>
  <c r="F458" i="3"/>
  <c r="F501" i="3"/>
  <c r="F533" i="3"/>
  <c r="F565" i="3"/>
  <c r="F597" i="3"/>
  <c r="F629" i="3"/>
  <c r="F654" i="3"/>
  <c r="F676" i="3"/>
  <c r="F697" i="3"/>
  <c r="F718" i="3"/>
  <c r="F740" i="3"/>
  <c r="F761" i="3"/>
  <c r="F782" i="3"/>
  <c r="F802" i="3"/>
  <c r="F818" i="3"/>
  <c r="F834" i="3"/>
  <c r="F850" i="3"/>
  <c r="F866" i="3"/>
  <c r="F882" i="3"/>
  <c r="F898" i="3"/>
  <c r="F914" i="3"/>
  <c r="F930" i="3"/>
  <c r="F946" i="3"/>
  <c r="F962" i="3"/>
  <c r="F974" i="3"/>
  <c r="F985" i="3"/>
  <c r="F995" i="3"/>
  <c r="F1006" i="3"/>
  <c r="F1017" i="3"/>
  <c r="F1027" i="3"/>
  <c r="F1038" i="3"/>
  <c r="F1049" i="3"/>
  <c r="F1059" i="3"/>
  <c r="F1070" i="3"/>
  <c r="F1081" i="3"/>
  <c r="F1091" i="3"/>
  <c r="F1102" i="3"/>
  <c r="F1113" i="3"/>
  <c r="F1123" i="3"/>
  <c r="F1134" i="3"/>
  <c r="F1145" i="3"/>
  <c r="F1155" i="3"/>
  <c r="F1166" i="3"/>
  <c r="F1177" i="3"/>
  <c r="F1187" i="3"/>
  <c r="F1196" i="3"/>
  <c r="F1204" i="3"/>
  <c r="F1209" i="3"/>
  <c r="F1215" i="3"/>
  <c r="F1220" i="3"/>
  <c r="F1225" i="3"/>
  <c r="F1231" i="3"/>
  <c r="F1236" i="3"/>
  <c r="F1241" i="3"/>
  <c r="F1247" i="3"/>
  <c r="F1252" i="3"/>
  <c r="F1257" i="3"/>
  <c r="F1263" i="3"/>
  <c r="F1268" i="3"/>
  <c r="F1273" i="3"/>
  <c r="F1279" i="3"/>
  <c r="F1284" i="3"/>
  <c r="F1289" i="3"/>
  <c r="F1295" i="3"/>
  <c r="F1300" i="3"/>
  <c r="F1305" i="3"/>
  <c r="F1311" i="3"/>
  <c r="F1316" i="3"/>
  <c r="F1321" i="3"/>
  <c r="F1327" i="3"/>
  <c r="F1332" i="3"/>
  <c r="F1337" i="3"/>
  <c r="F1343" i="3"/>
  <c r="F1348" i="3"/>
  <c r="F1353" i="3"/>
  <c r="F1359" i="3"/>
  <c r="F1364" i="3"/>
  <c r="F1369" i="3"/>
  <c r="F1375" i="3"/>
  <c r="F1380" i="3"/>
  <c r="F1385" i="3"/>
  <c r="F1391" i="3"/>
  <c r="F1396" i="3"/>
  <c r="F1401" i="3"/>
  <c r="F1407" i="3"/>
  <c r="F1412" i="3"/>
  <c r="F1417" i="3"/>
  <c r="F1423" i="3"/>
  <c r="F1428" i="3"/>
  <c r="F1433" i="3"/>
  <c r="F1439" i="3"/>
  <c r="F1444" i="3"/>
  <c r="F1449" i="3"/>
  <c r="F1455" i="3"/>
  <c r="F1460" i="3"/>
  <c r="F1465" i="3"/>
  <c r="F1471" i="3"/>
  <c r="F1475" i="3"/>
  <c r="F1479" i="3"/>
  <c r="F1483" i="3"/>
  <c r="F1487" i="3"/>
  <c r="F1491" i="3"/>
  <c r="F1495" i="3"/>
  <c r="F1499" i="3"/>
  <c r="F1503" i="3"/>
  <c r="F1507" i="3"/>
  <c r="F1511" i="3"/>
  <c r="F1515" i="3"/>
  <c r="F1519" i="3"/>
  <c r="F1523" i="3"/>
  <c r="F1527" i="3"/>
  <c r="F1531" i="3"/>
  <c r="F1535" i="3"/>
  <c r="F1539" i="3"/>
  <c r="F1543" i="3"/>
  <c r="F1547" i="3"/>
  <c r="F1551" i="3"/>
  <c r="F1555" i="3"/>
  <c r="F1559" i="3"/>
  <c r="F1563" i="3"/>
  <c r="F1567" i="3"/>
  <c r="F1571" i="3"/>
  <c r="F1575" i="3"/>
  <c r="F1579" i="3"/>
  <c r="F1583" i="3"/>
  <c r="F1587" i="3"/>
  <c r="F1591" i="3"/>
  <c r="F1595" i="3"/>
  <c r="F1599" i="3"/>
  <c r="F1603" i="3"/>
  <c r="F1607" i="3"/>
  <c r="F1611" i="3"/>
  <c r="F1615" i="3"/>
  <c r="F1619" i="3"/>
  <c r="F1623" i="3"/>
  <c r="F1627" i="3"/>
  <c r="F1631" i="3"/>
  <c r="F1635" i="3"/>
  <c r="F1639" i="3"/>
  <c r="F1643" i="3"/>
  <c r="F1647" i="3"/>
  <c r="F1651" i="3"/>
  <c r="F1655" i="3"/>
  <c r="F1659" i="3"/>
  <c r="F1663" i="3"/>
  <c r="F1667" i="3"/>
  <c r="F1671" i="3"/>
  <c r="F1675" i="3"/>
  <c r="F1679" i="3"/>
  <c r="F1683" i="3"/>
  <c r="F1687" i="3"/>
  <c r="F1691" i="3"/>
  <c r="F1695" i="3"/>
  <c r="F1699" i="3"/>
  <c r="F1703" i="3"/>
  <c r="F1707" i="3"/>
  <c r="F1711" i="3"/>
  <c r="F1715" i="3"/>
  <c r="F1719" i="3"/>
  <c r="F1723" i="3"/>
  <c r="F1727" i="3"/>
  <c r="F1731" i="3"/>
  <c r="F1735" i="3"/>
  <c r="F1739" i="3"/>
  <c r="F1743" i="3"/>
  <c r="F1747" i="3"/>
  <c r="F1751" i="3"/>
  <c r="F1755" i="3"/>
  <c r="F1759" i="3"/>
  <c r="F1763" i="3"/>
  <c r="F1767" i="3"/>
  <c r="F1771" i="3"/>
  <c r="F1775" i="3"/>
  <c r="F1779" i="3"/>
  <c r="F1783" i="3"/>
  <c r="F1787" i="3"/>
  <c r="F1791" i="3"/>
  <c r="F1795" i="3"/>
  <c r="F1799" i="3"/>
  <c r="F1803" i="3"/>
  <c r="F1807" i="3"/>
  <c r="F1811" i="3"/>
  <c r="F1815" i="3"/>
  <c r="F1819" i="3"/>
  <c r="F1823" i="3"/>
  <c r="F1827" i="3"/>
  <c r="F1831" i="3"/>
  <c r="F1835" i="3"/>
  <c r="F1839" i="3"/>
  <c r="F1843" i="3"/>
  <c r="F1847" i="3"/>
  <c r="F1851" i="3"/>
  <c r="F1855" i="3"/>
  <c r="F1859" i="3"/>
  <c r="F1863" i="3"/>
  <c r="F1867" i="3"/>
  <c r="F1871" i="3"/>
  <c r="F1875" i="3"/>
  <c r="F1879" i="3"/>
  <c r="F1883" i="3"/>
  <c r="F1887" i="3"/>
  <c r="F1891" i="3"/>
  <c r="F1895" i="3"/>
  <c r="F1899" i="3"/>
  <c r="F1903" i="3"/>
  <c r="F1907" i="3"/>
  <c r="F1911" i="3"/>
  <c r="F1915" i="3"/>
  <c r="F1919" i="3"/>
  <c r="F1923" i="3"/>
  <c r="F1927" i="3"/>
  <c r="F1931" i="3"/>
  <c r="F1935" i="3"/>
  <c r="F1939" i="3"/>
  <c r="F1943" i="3"/>
  <c r="F1947" i="3"/>
  <c r="F1951" i="3"/>
  <c r="F1955" i="3"/>
  <c r="F1959" i="3"/>
  <c r="F1963" i="3"/>
  <c r="F1967" i="3"/>
  <c r="F1971" i="3"/>
  <c r="F1975" i="3"/>
  <c r="F1979" i="3"/>
  <c r="F1983" i="3"/>
  <c r="F1987" i="3"/>
  <c r="F1991" i="3"/>
  <c r="F1995" i="3"/>
  <c r="F1999" i="3"/>
  <c r="F2003" i="3"/>
  <c r="F2007" i="3"/>
  <c r="F2011" i="3"/>
  <c r="F2015" i="3"/>
  <c r="F2019" i="3"/>
  <c r="F2023" i="3"/>
  <c r="F2027" i="3"/>
  <c r="F2031" i="3"/>
  <c r="F2035" i="3"/>
  <c r="F2039" i="3"/>
  <c r="F2043" i="3"/>
  <c r="F2047" i="3"/>
  <c r="F2051" i="3"/>
  <c r="F2055" i="3"/>
  <c r="F2059" i="3"/>
  <c r="F2063" i="3"/>
  <c r="F2067" i="3"/>
  <c r="F2071" i="3"/>
  <c r="F2075" i="3"/>
  <c r="F2079" i="3"/>
  <c r="F2083" i="3"/>
  <c r="F2087" i="3"/>
  <c r="F2091" i="3"/>
  <c r="F2095" i="3"/>
  <c r="F2099" i="3"/>
  <c r="F2103" i="3"/>
  <c r="F2107" i="3"/>
  <c r="F2111" i="3"/>
  <c r="F2115" i="3"/>
  <c r="F348" i="3"/>
  <c r="F446" i="3"/>
  <c r="F524" i="3"/>
  <c r="F588" i="3"/>
  <c r="F648" i="3"/>
  <c r="F690" i="3"/>
  <c r="F733" i="3"/>
  <c r="F776" i="3"/>
  <c r="F813" i="3"/>
  <c r="F845" i="3"/>
  <c r="F877" i="3"/>
  <c r="F909" i="3"/>
  <c r="F941" i="3"/>
  <c r="F970" i="3"/>
  <c r="F991" i="3"/>
  <c r="F1013" i="3"/>
  <c r="F1034" i="3"/>
  <c r="F1055" i="3"/>
  <c r="F1077" i="3"/>
  <c r="F1098" i="3"/>
  <c r="F1119" i="3"/>
  <c r="F1141" i="3"/>
  <c r="F1162" i="3"/>
  <c r="F1183" i="3"/>
  <c r="F1201" i="3"/>
  <c r="F1213" i="3"/>
  <c r="F1224" i="3"/>
  <c r="F1235" i="3"/>
  <c r="F1245" i="3"/>
  <c r="F1256" i="3"/>
  <c r="F1267" i="3"/>
  <c r="F1277" i="3"/>
  <c r="F1288" i="3"/>
  <c r="F1299" i="3"/>
  <c r="F1309" i="3"/>
  <c r="F1320" i="3"/>
  <c r="F1331" i="3"/>
  <c r="F1341" i="3"/>
  <c r="F1352" i="3"/>
  <c r="F1363" i="3"/>
  <c r="F1373" i="3"/>
  <c r="F1384" i="3"/>
  <c r="F1395" i="3"/>
  <c r="F1405" i="3"/>
  <c r="F1416" i="3"/>
  <c r="F1427" i="3"/>
  <c r="F1437" i="3"/>
  <c r="F1448" i="3"/>
  <c r="F1459" i="3"/>
  <c r="F1469" i="3"/>
  <c r="F1478" i="3"/>
  <c r="F1486" i="3"/>
  <c r="F1494" i="3"/>
  <c r="F1502" i="3"/>
  <c r="F1510" i="3"/>
  <c r="F1518" i="3"/>
  <c r="F1526" i="3"/>
  <c r="F1534" i="3"/>
  <c r="F1542" i="3"/>
  <c r="F1550" i="3"/>
  <c r="F1558" i="3"/>
  <c r="F1566" i="3"/>
  <c r="F1574" i="3"/>
  <c r="F1582" i="3"/>
  <c r="F1590" i="3"/>
  <c r="F1598" i="3"/>
  <c r="F1606" i="3"/>
  <c r="F1614" i="3"/>
  <c r="F1622" i="3"/>
  <c r="F1630" i="3"/>
  <c r="F1638" i="3"/>
  <c r="F1646" i="3"/>
  <c r="F1654" i="3"/>
  <c r="F1662" i="3"/>
  <c r="F1670" i="3"/>
  <c r="F1678" i="3"/>
  <c r="F1686" i="3"/>
  <c r="F1694" i="3"/>
  <c r="F1702" i="3"/>
  <c r="F1710" i="3"/>
  <c r="F1718" i="3"/>
  <c r="F1726" i="3"/>
  <c r="F1734" i="3"/>
  <c r="F1742" i="3"/>
  <c r="F1749" i="3"/>
  <c r="F1754" i="3"/>
  <c r="F1760" i="3"/>
  <c r="F1765" i="3"/>
  <c r="F1770" i="3"/>
  <c r="F1776" i="3"/>
  <c r="F1781" i="3"/>
  <c r="F1786" i="3"/>
  <c r="F1792" i="3"/>
  <c r="F1797" i="3"/>
  <c r="F1802" i="3"/>
  <c r="F1808" i="3"/>
  <c r="F1813" i="3"/>
  <c r="F1818" i="3"/>
  <c r="F1824" i="3"/>
  <c r="F1829" i="3"/>
  <c r="F1834" i="3"/>
  <c r="F1840" i="3"/>
  <c r="F1845" i="3"/>
  <c r="F1850" i="3"/>
  <c r="F1856" i="3"/>
  <c r="F1861" i="3"/>
  <c r="F1866" i="3"/>
  <c r="F1872" i="3"/>
  <c r="F1877" i="3"/>
  <c r="F1882" i="3"/>
  <c r="F1888" i="3"/>
  <c r="F1893" i="3"/>
  <c r="F1898" i="3"/>
  <c r="F1904" i="3"/>
  <c r="F1909" i="3"/>
  <c r="F1914" i="3"/>
  <c r="F1920" i="3"/>
  <c r="F1925" i="3"/>
  <c r="F1930" i="3"/>
  <c r="F1936" i="3"/>
  <c r="F1941" i="3"/>
  <c r="F1946" i="3"/>
  <c r="F1952" i="3"/>
  <c r="F1957" i="3"/>
  <c r="F1962" i="3"/>
  <c r="F1968" i="3"/>
  <c r="F1973" i="3"/>
  <c r="F1978" i="3"/>
  <c r="F1984" i="3"/>
  <c r="F1989" i="3"/>
  <c r="F1994" i="3"/>
  <c r="F2000" i="3"/>
  <c r="F2005" i="3"/>
  <c r="F2010" i="3"/>
  <c r="F2016" i="3"/>
  <c r="F2021" i="3"/>
  <c r="F2026" i="3"/>
  <c r="F2032" i="3"/>
  <c r="F2037" i="3"/>
  <c r="F2042" i="3"/>
  <c r="F2048" i="3"/>
  <c r="F2053" i="3"/>
  <c r="F2058" i="3"/>
  <c r="F2064" i="3"/>
  <c r="F2069" i="3"/>
  <c r="F2074" i="3"/>
  <c r="F2080" i="3"/>
  <c r="F2085" i="3"/>
  <c r="F2090" i="3"/>
  <c r="F2096" i="3"/>
  <c r="F2101" i="3"/>
  <c r="F2106" i="3"/>
  <c r="F2112" i="3"/>
  <c r="F2117" i="3"/>
  <c r="F2121" i="3"/>
  <c r="F2125" i="3"/>
  <c r="F2129" i="3"/>
  <c r="F2133" i="3"/>
  <c r="F2137" i="3"/>
  <c r="F2141" i="3"/>
  <c r="F2145" i="3"/>
  <c r="F2149" i="3"/>
  <c r="F2153" i="3"/>
  <c r="F2157" i="3"/>
  <c r="F2161" i="3"/>
  <c r="F2165" i="3"/>
  <c r="E19" i="3"/>
  <c r="G19" i="3" s="1"/>
  <c r="E23" i="3"/>
  <c r="E27" i="3"/>
  <c r="G27" i="3" s="1"/>
  <c r="E31" i="3"/>
  <c r="G31" i="3" s="1"/>
  <c r="E35" i="3"/>
  <c r="G35" i="3" s="1"/>
  <c r="E39" i="3"/>
  <c r="E43" i="3"/>
  <c r="G43" i="3" s="1"/>
  <c r="E47" i="3"/>
  <c r="G47" i="3" s="1"/>
  <c r="E51" i="3"/>
  <c r="G51" i="3" s="1"/>
  <c r="E55" i="3"/>
  <c r="E59" i="3"/>
  <c r="G59" i="3" s="1"/>
  <c r="E63" i="3"/>
  <c r="G63" i="3" s="1"/>
  <c r="E67" i="3"/>
  <c r="G67" i="3" s="1"/>
  <c r="E71" i="3"/>
  <c r="E75" i="3"/>
  <c r="G75" i="3" s="1"/>
  <c r="E79" i="3"/>
  <c r="G79" i="3" s="1"/>
  <c r="E83" i="3"/>
  <c r="G83" i="3" s="1"/>
  <c r="E87" i="3"/>
  <c r="E91" i="3"/>
  <c r="G91" i="3" s="1"/>
  <c r="E95" i="3"/>
  <c r="G95" i="3" s="1"/>
  <c r="E99" i="3"/>
  <c r="G99" i="3" s="1"/>
  <c r="E103" i="3"/>
  <c r="G103" i="3" s="1"/>
  <c r="E107" i="3"/>
  <c r="G107" i="3" s="1"/>
  <c r="E111" i="3"/>
  <c r="G111" i="3" s="1"/>
  <c r="E115" i="3"/>
  <c r="G115" i="3" s="1"/>
  <c r="E119" i="3"/>
  <c r="E123" i="3"/>
  <c r="G123" i="3" s="1"/>
  <c r="E127" i="3"/>
  <c r="G127" i="3" s="1"/>
  <c r="E131" i="3"/>
  <c r="G131" i="3" s="1"/>
  <c r="E135" i="3"/>
  <c r="G135" i="3" s="1"/>
  <c r="E139" i="3"/>
  <c r="G139" i="3" s="1"/>
  <c r="E143" i="3"/>
  <c r="G143" i="3" s="1"/>
  <c r="E147" i="3"/>
  <c r="G147" i="3" s="1"/>
  <c r="E151" i="3"/>
  <c r="E155" i="3"/>
  <c r="G155" i="3" s="1"/>
  <c r="E159" i="3"/>
  <c r="G159" i="3" s="1"/>
  <c r="E163" i="3"/>
  <c r="G163" i="3" s="1"/>
  <c r="E167" i="3"/>
  <c r="E171" i="3"/>
  <c r="G171" i="3" s="1"/>
  <c r="E175" i="3"/>
  <c r="G175" i="3" s="1"/>
  <c r="E179" i="3"/>
  <c r="G179" i="3" s="1"/>
  <c r="E183" i="3"/>
  <c r="G183" i="3" s="1"/>
  <c r="E187" i="3"/>
  <c r="G187" i="3" s="1"/>
  <c r="E191" i="3"/>
  <c r="G191" i="3" s="1"/>
  <c r="E195" i="3"/>
  <c r="G195" i="3" s="1"/>
  <c r="E199" i="3"/>
  <c r="E203" i="3"/>
  <c r="G203" i="3" s="1"/>
  <c r="E207" i="3"/>
  <c r="G207" i="3" s="1"/>
  <c r="E211" i="3"/>
  <c r="G211" i="3" s="1"/>
  <c r="E215" i="3"/>
  <c r="E219" i="3"/>
  <c r="E223" i="3"/>
  <c r="E227" i="3"/>
  <c r="E231" i="3"/>
  <c r="E235" i="3"/>
  <c r="E239" i="3"/>
  <c r="E243" i="3"/>
  <c r="E247" i="3"/>
  <c r="E251" i="3"/>
  <c r="E255" i="3"/>
  <c r="E259" i="3"/>
  <c r="E263" i="3"/>
  <c r="E267" i="3"/>
  <c r="E271" i="3"/>
  <c r="E275" i="3"/>
  <c r="E279" i="3"/>
  <c r="F328" i="3"/>
  <c r="F437" i="3"/>
  <c r="F517" i="3"/>
  <c r="F581" i="3"/>
  <c r="F644" i="3"/>
  <c r="F686" i="3"/>
  <c r="F729" i="3"/>
  <c r="F772" i="3"/>
  <c r="F810" i="3"/>
  <c r="F842" i="3"/>
  <c r="F874" i="3"/>
  <c r="F906" i="3"/>
  <c r="F938" i="3"/>
  <c r="F969" i="3"/>
  <c r="F990" i="3"/>
  <c r="F1011" i="3"/>
  <c r="F1033" i="3"/>
  <c r="F1054" i="3"/>
  <c r="F1075" i="3"/>
  <c r="F1097" i="3"/>
  <c r="F1118" i="3"/>
  <c r="F1139" i="3"/>
  <c r="F1161" i="3"/>
  <c r="F1182" i="3"/>
  <c r="F1200" i="3"/>
  <c r="F1212" i="3"/>
  <c r="F1223" i="3"/>
  <c r="F1233" i="3"/>
  <c r="F1244" i="3"/>
  <c r="F1255" i="3"/>
  <c r="F1265" i="3"/>
  <c r="F1276" i="3"/>
  <c r="F1287" i="3"/>
  <c r="F1297" i="3"/>
  <c r="F1308" i="3"/>
  <c r="F1319" i="3"/>
  <c r="F1329" i="3"/>
  <c r="F1340" i="3"/>
  <c r="F1351" i="3"/>
  <c r="F1361" i="3"/>
  <c r="F1372" i="3"/>
  <c r="F1383" i="3"/>
  <c r="F1393" i="3"/>
  <c r="F1404" i="3"/>
  <c r="F1415" i="3"/>
  <c r="F1425" i="3"/>
  <c r="F1436" i="3"/>
  <c r="F1447" i="3"/>
  <c r="F1457" i="3"/>
  <c r="F1468" i="3"/>
  <c r="F1477" i="3"/>
  <c r="F1485" i="3"/>
  <c r="F1493" i="3"/>
  <c r="F1501" i="3"/>
  <c r="F1509" i="3"/>
  <c r="F1517" i="3"/>
  <c r="F1525" i="3"/>
  <c r="F1533" i="3"/>
  <c r="F1541" i="3"/>
  <c r="F1549" i="3"/>
  <c r="F1557" i="3"/>
  <c r="F1565" i="3"/>
  <c r="F1573" i="3"/>
  <c r="F1581" i="3"/>
  <c r="F1589" i="3"/>
  <c r="F1597" i="3"/>
  <c r="F1605" i="3"/>
  <c r="F1613" i="3"/>
  <c r="F1621" i="3"/>
  <c r="F1629" i="3"/>
  <c r="F1637" i="3"/>
  <c r="F1645" i="3"/>
  <c r="F1653" i="3"/>
  <c r="F1661" i="3"/>
  <c r="F1669" i="3"/>
  <c r="F1677" i="3"/>
  <c r="F1685" i="3"/>
  <c r="F1693" i="3"/>
  <c r="F1701" i="3"/>
  <c r="F1709" i="3"/>
  <c r="F1717" i="3"/>
  <c r="F1725" i="3"/>
  <c r="F1733" i="3"/>
  <c r="F1741" i="3"/>
  <c r="F1748" i="3"/>
  <c r="F1753" i="3"/>
  <c r="F1758" i="3"/>
  <c r="F1764" i="3"/>
  <c r="F1769" i="3"/>
  <c r="F1774" i="3"/>
  <c r="F1780" i="3"/>
  <c r="F1785" i="3"/>
  <c r="F1790" i="3"/>
  <c r="F1796" i="3"/>
  <c r="F1801" i="3"/>
  <c r="F1806" i="3"/>
  <c r="F1812" i="3"/>
  <c r="F1817" i="3"/>
  <c r="F1822" i="3"/>
  <c r="F1828" i="3"/>
  <c r="F1833" i="3"/>
  <c r="F1838" i="3"/>
  <c r="F1844" i="3"/>
  <c r="F1849" i="3"/>
  <c r="F1854" i="3"/>
  <c r="F1860" i="3"/>
  <c r="F1865" i="3"/>
  <c r="F1870" i="3"/>
  <c r="F1876" i="3"/>
  <c r="F1881" i="3"/>
  <c r="F1886" i="3"/>
  <c r="F1892" i="3"/>
  <c r="F1897" i="3"/>
  <c r="F1902" i="3"/>
  <c r="F1908" i="3"/>
  <c r="F1913" i="3"/>
  <c r="F1918" i="3"/>
  <c r="F1924" i="3"/>
  <c r="F1929" i="3"/>
  <c r="F1934" i="3"/>
  <c r="F1940" i="3"/>
  <c r="F1945" i="3"/>
  <c r="F1950" i="3"/>
  <c r="F1956" i="3"/>
  <c r="F1961" i="3"/>
  <c r="F1966" i="3"/>
  <c r="F1972" i="3"/>
  <c r="F1977" i="3"/>
  <c r="F1982" i="3"/>
  <c r="F1988" i="3"/>
  <c r="F1993" i="3"/>
  <c r="F1998" i="3"/>
  <c r="F2004" i="3"/>
  <c r="F2009" i="3"/>
  <c r="F2014" i="3"/>
  <c r="F2020" i="3"/>
  <c r="F2025" i="3"/>
  <c r="F2030" i="3"/>
  <c r="F2036" i="3"/>
  <c r="F2041" i="3"/>
  <c r="F2046" i="3"/>
  <c r="F2052" i="3"/>
  <c r="F2057" i="3"/>
  <c r="F2062" i="3"/>
  <c r="F2068" i="3"/>
  <c r="F2073" i="3"/>
  <c r="F2078" i="3"/>
  <c r="F2084" i="3"/>
  <c r="F2089" i="3"/>
  <c r="F2094" i="3"/>
  <c r="F2100" i="3"/>
  <c r="F2105" i="3"/>
  <c r="F2110" i="3"/>
  <c r="F2116" i="3"/>
  <c r="F2120" i="3"/>
  <c r="F2124" i="3"/>
  <c r="F2128" i="3"/>
  <c r="F2132" i="3"/>
  <c r="F2136" i="3"/>
  <c r="F2140" i="3"/>
  <c r="F2144" i="3"/>
  <c r="F2148" i="3"/>
  <c r="F2152" i="3"/>
  <c r="F2156" i="3"/>
  <c r="F2160" i="3"/>
  <c r="F2164" i="3"/>
  <c r="E18" i="3"/>
  <c r="G18" i="3" s="1"/>
  <c r="E22" i="3"/>
  <c r="G22" i="3" s="1"/>
  <c r="E26" i="3"/>
  <c r="E30" i="3"/>
  <c r="G30" i="3" s="1"/>
  <c r="E34" i="3"/>
  <c r="G34" i="3" s="1"/>
  <c r="E38" i="3"/>
  <c r="G38" i="3" s="1"/>
  <c r="E42" i="3"/>
  <c r="G42" i="3" s="1"/>
  <c r="E46" i="3"/>
  <c r="G46" i="3" s="1"/>
  <c r="E50" i="3"/>
  <c r="G50" i="3" s="1"/>
  <c r="E54" i="3"/>
  <c r="G54" i="3" s="1"/>
  <c r="E58" i="3"/>
  <c r="E62" i="3"/>
  <c r="G62" i="3" s="1"/>
  <c r="E66" i="3"/>
  <c r="G66" i="3" s="1"/>
  <c r="E70" i="3"/>
  <c r="G70" i="3" s="1"/>
  <c r="E74" i="3"/>
  <c r="E78" i="3"/>
  <c r="G78" i="3" s="1"/>
  <c r="E82" i="3"/>
  <c r="G82" i="3" s="1"/>
  <c r="E86" i="3"/>
  <c r="G86" i="3" s="1"/>
  <c r="E90" i="3"/>
  <c r="G90" i="3" s="1"/>
  <c r="E94" i="3"/>
  <c r="G94" i="3" s="1"/>
  <c r="E98" i="3"/>
  <c r="G98" i="3" s="1"/>
  <c r="E102" i="3"/>
  <c r="G102" i="3" s="1"/>
  <c r="E106" i="3"/>
  <c r="G106" i="3" s="1"/>
  <c r="E110" i="3"/>
  <c r="G110" i="3" s="1"/>
  <c r="E114" i="3"/>
  <c r="G114" i="3" s="1"/>
  <c r="E118" i="3"/>
  <c r="G118" i="3" s="1"/>
  <c r="E122" i="3"/>
  <c r="E126" i="3"/>
  <c r="G126" i="3" s="1"/>
  <c r="E130" i="3"/>
  <c r="G130" i="3" s="1"/>
  <c r="E134" i="3"/>
  <c r="G134" i="3" s="1"/>
  <c r="E138" i="3"/>
  <c r="G138" i="3" s="1"/>
  <c r="E142" i="3"/>
  <c r="G142" i="3" s="1"/>
  <c r="E146" i="3"/>
  <c r="G146" i="3" s="1"/>
  <c r="E150" i="3"/>
  <c r="G150" i="3" s="1"/>
  <c r="E154" i="3"/>
  <c r="E158" i="3"/>
  <c r="G158" i="3" s="1"/>
  <c r="E162" i="3"/>
  <c r="G162" i="3" s="1"/>
  <c r="E166" i="3"/>
  <c r="G166" i="3" s="1"/>
  <c r="E170" i="3"/>
  <c r="G170" i="3" s="1"/>
  <c r="E174" i="3"/>
  <c r="G174" i="3" s="1"/>
  <c r="E178" i="3"/>
  <c r="G178" i="3" s="1"/>
  <c r="E182" i="3"/>
  <c r="G182" i="3" s="1"/>
  <c r="E186" i="3"/>
  <c r="G186" i="3" s="1"/>
  <c r="E190" i="3"/>
  <c r="G190" i="3" s="1"/>
  <c r="E194" i="3"/>
  <c r="G194" i="3" s="1"/>
  <c r="E198" i="3"/>
  <c r="G198" i="3" s="1"/>
  <c r="E202" i="3"/>
  <c r="E206" i="3"/>
  <c r="G206" i="3" s="1"/>
  <c r="E210" i="3"/>
  <c r="G210" i="3" s="1"/>
  <c r="E214" i="3"/>
  <c r="G214" i="3" s="1"/>
  <c r="E218" i="3"/>
  <c r="E222" i="3"/>
  <c r="E226" i="3"/>
  <c r="E230" i="3"/>
  <c r="E234" i="3"/>
  <c r="E238" i="3"/>
  <c r="E242" i="3"/>
  <c r="E246" i="3"/>
  <c r="E250" i="3"/>
  <c r="E254" i="3"/>
  <c r="E258" i="3"/>
  <c r="E262" i="3"/>
  <c r="E266" i="3"/>
  <c r="E270" i="3"/>
  <c r="E274" i="3"/>
  <c r="E278" i="3"/>
  <c r="E282" i="3"/>
  <c r="E286" i="3"/>
  <c r="E290" i="3"/>
  <c r="E294" i="3"/>
  <c r="E298" i="3"/>
  <c r="E302" i="3"/>
  <c r="E306" i="3"/>
  <c r="E310" i="3"/>
  <c r="E314" i="3"/>
  <c r="E318" i="3"/>
  <c r="E322" i="3"/>
  <c r="E326" i="3"/>
  <c r="E330" i="3"/>
  <c r="E334" i="3"/>
  <c r="E338" i="3"/>
  <c r="E342" i="3"/>
  <c r="E346" i="3"/>
  <c r="E350" i="3"/>
  <c r="E354" i="3"/>
  <c r="E358" i="3"/>
  <c r="E362" i="3"/>
  <c r="E366" i="3"/>
  <c r="E370" i="3"/>
  <c r="E374" i="3"/>
  <c r="E378" i="3"/>
  <c r="E382" i="3"/>
  <c r="E386" i="3"/>
  <c r="E390" i="3"/>
  <c r="E394" i="3"/>
  <c r="E398" i="3"/>
  <c r="E402" i="3"/>
  <c r="E406" i="3"/>
  <c r="E410" i="3"/>
  <c r="E414" i="3"/>
  <c r="E418" i="3"/>
  <c r="E422" i="3"/>
  <c r="E426" i="3"/>
  <c r="E430" i="3"/>
  <c r="E434" i="3"/>
  <c r="E438" i="3"/>
  <c r="E442" i="3"/>
  <c r="E446" i="3"/>
  <c r="E450" i="3"/>
  <c r="E454" i="3"/>
  <c r="E458" i="3"/>
  <c r="E462" i="3"/>
  <c r="E466" i="3"/>
  <c r="E470" i="3"/>
  <c r="E474" i="3"/>
  <c r="E478" i="3"/>
  <c r="E482" i="3"/>
  <c r="E486" i="3"/>
  <c r="E490" i="3"/>
  <c r="E494" i="3"/>
  <c r="E498" i="3"/>
  <c r="E502" i="3"/>
  <c r="E506" i="3"/>
  <c r="E510" i="3"/>
  <c r="E514" i="3"/>
  <c r="E518" i="3"/>
  <c r="E522" i="3"/>
  <c r="E526" i="3"/>
  <c r="E530" i="3"/>
  <c r="E534" i="3"/>
  <c r="E538" i="3"/>
  <c r="E542" i="3"/>
  <c r="E546" i="3"/>
  <c r="E550" i="3"/>
  <c r="E554" i="3"/>
  <c r="E558" i="3"/>
  <c r="E562" i="3"/>
  <c r="E566" i="3"/>
  <c r="E570" i="3"/>
  <c r="E574" i="3"/>
  <c r="E578" i="3"/>
  <c r="E582" i="3"/>
  <c r="E586" i="3"/>
  <c r="E590" i="3"/>
  <c r="E594" i="3"/>
  <c r="E598" i="3"/>
  <c r="E602" i="3"/>
  <c r="E606" i="3"/>
  <c r="E610" i="3"/>
  <c r="E614" i="3"/>
  <c r="E618" i="3"/>
  <c r="E622" i="3"/>
  <c r="E626" i="3"/>
  <c r="E630" i="3"/>
  <c r="E634" i="3"/>
  <c r="E638" i="3"/>
  <c r="E642" i="3"/>
  <c r="E646" i="3"/>
  <c r="E650" i="3"/>
  <c r="E654" i="3"/>
  <c r="E658" i="3"/>
  <c r="E662" i="3"/>
  <c r="E666" i="3"/>
  <c r="E670" i="3"/>
  <c r="E674" i="3"/>
  <c r="E678" i="3"/>
  <c r="E682" i="3"/>
  <c r="E686" i="3"/>
  <c r="E690" i="3"/>
  <c r="E694" i="3"/>
  <c r="E698" i="3"/>
  <c r="E702" i="3"/>
  <c r="F262" i="3"/>
  <c r="F489" i="3"/>
  <c r="F620" i="3"/>
  <c r="F712" i="3"/>
  <c r="F797" i="3"/>
  <c r="F861" i="3"/>
  <c r="F925" i="3"/>
  <c r="F981" i="3"/>
  <c r="F1023" i="3"/>
  <c r="F1066" i="3"/>
  <c r="F1109" i="3"/>
  <c r="F1151" i="3"/>
  <c r="F1193" i="3"/>
  <c r="F1219" i="3"/>
  <c r="F1240" i="3"/>
  <c r="F1261" i="3"/>
  <c r="F1283" i="3"/>
  <c r="F1304" i="3"/>
  <c r="F1325" i="3"/>
  <c r="F1347" i="3"/>
  <c r="F1368" i="3"/>
  <c r="F1389" i="3"/>
  <c r="F1411" i="3"/>
  <c r="F1432" i="3"/>
  <c r="F1453" i="3"/>
  <c r="F1474" i="3"/>
  <c r="F1490" i="3"/>
  <c r="F1506" i="3"/>
  <c r="F1522" i="3"/>
  <c r="F1538" i="3"/>
  <c r="F1554" i="3"/>
  <c r="F1570" i="3"/>
  <c r="F1586" i="3"/>
  <c r="F1602" i="3"/>
  <c r="F1618" i="3"/>
  <c r="F1634" i="3"/>
  <c r="F1650" i="3"/>
  <c r="F1666" i="3"/>
  <c r="F1682" i="3"/>
  <c r="F1698" i="3"/>
  <c r="F1714" i="3"/>
  <c r="F1730" i="3"/>
  <c r="F1746" i="3"/>
  <c r="F1757" i="3"/>
  <c r="F1768" i="3"/>
  <c r="F1778" i="3"/>
  <c r="F1789" i="3"/>
  <c r="F1800" i="3"/>
  <c r="F1810" i="3"/>
  <c r="F1821" i="3"/>
  <c r="F1832" i="3"/>
  <c r="F1842" i="3"/>
  <c r="F1853" i="3"/>
  <c r="F1864" i="3"/>
  <c r="F1874" i="3"/>
  <c r="F1885" i="3"/>
  <c r="F1896" i="3"/>
  <c r="F1906" i="3"/>
  <c r="F1917" i="3"/>
  <c r="F1928" i="3"/>
  <c r="F1938" i="3"/>
  <c r="F1949" i="3"/>
  <c r="F1960" i="3"/>
  <c r="F1970" i="3"/>
  <c r="F1981" i="3"/>
  <c r="F1992" i="3"/>
  <c r="F2002" i="3"/>
  <c r="F2013" i="3"/>
  <c r="F2024" i="3"/>
  <c r="F2034" i="3"/>
  <c r="F2045" i="3"/>
  <c r="F2056" i="3"/>
  <c r="F2066" i="3"/>
  <c r="F2077" i="3"/>
  <c r="F2088" i="3"/>
  <c r="F2098" i="3"/>
  <c r="F2109" i="3"/>
  <c r="F2119" i="3"/>
  <c r="F2127" i="3"/>
  <c r="F2135" i="3"/>
  <c r="F2143" i="3"/>
  <c r="F2151" i="3"/>
  <c r="F2159" i="3"/>
  <c r="E25" i="3"/>
  <c r="G25" i="3" s="1"/>
  <c r="E33" i="3"/>
  <c r="G33" i="3" s="1"/>
  <c r="E41" i="3"/>
  <c r="G41" i="3" s="1"/>
  <c r="E49" i="3"/>
  <c r="G49" i="3" s="1"/>
  <c r="E57" i="3"/>
  <c r="G57" i="3" s="1"/>
  <c r="E65" i="3"/>
  <c r="E73" i="3"/>
  <c r="G73" i="3" s="1"/>
  <c r="E81" i="3"/>
  <c r="G81" i="3" s="1"/>
  <c r="E89" i="3"/>
  <c r="G89" i="3" s="1"/>
  <c r="E97" i="3"/>
  <c r="G97" i="3" s="1"/>
  <c r="E105" i="3"/>
  <c r="G105" i="3" s="1"/>
  <c r="E113" i="3"/>
  <c r="G113" i="3" s="1"/>
  <c r="E121" i="3"/>
  <c r="G121" i="3" s="1"/>
  <c r="E129" i="3"/>
  <c r="E137" i="3"/>
  <c r="G137" i="3" s="1"/>
  <c r="E145" i="3"/>
  <c r="G145" i="3" s="1"/>
  <c r="E153" i="3"/>
  <c r="G153" i="3" s="1"/>
  <c r="E161" i="3"/>
  <c r="E169" i="3"/>
  <c r="G169" i="3" s="1"/>
  <c r="E177" i="3"/>
  <c r="G177" i="3" s="1"/>
  <c r="E185" i="3"/>
  <c r="G185" i="3" s="1"/>
  <c r="E193" i="3"/>
  <c r="G193" i="3" s="1"/>
  <c r="E201" i="3"/>
  <c r="G201" i="3" s="1"/>
  <c r="E209" i="3"/>
  <c r="G209" i="3" s="1"/>
  <c r="E217" i="3"/>
  <c r="E225" i="3"/>
  <c r="E233" i="3"/>
  <c r="E241" i="3"/>
  <c r="E249" i="3"/>
  <c r="E257" i="3"/>
  <c r="E265" i="3"/>
  <c r="E273" i="3"/>
  <c r="E281" i="3"/>
  <c r="E287" i="3"/>
  <c r="E292" i="3"/>
  <c r="E297" i="3"/>
  <c r="E303" i="3"/>
  <c r="E308" i="3"/>
  <c r="E313" i="3"/>
  <c r="E319" i="3"/>
  <c r="E324" i="3"/>
  <c r="E329" i="3"/>
  <c r="E335" i="3"/>
  <c r="E340" i="3"/>
  <c r="E345" i="3"/>
  <c r="E351" i="3"/>
  <c r="E356" i="3"/>
  <c r="E361" i="3"/>
  <c r="E367" i="3"/>
  <c r="E372" i="3"/>
  <c r="E377" i="3"/>
  <c r="E383" i="3"/>
  <c r="E388" i="3"/>
  <c r="E393" i="3"/>
  <c r="E399" i="3"/>
  <c r="E404" i="3"/>
  <c r="E409" i="3"/>
  <c r="E415" i="3"/>
  <c r="E420" i="3"/>
  <c r="E425" i="3"/>
  <c r="E431" i="3"/>
  <c r="E436" i="3"/>
  <c r="E441" i="3"/>
  <c r="E447" i="3"/>
  <c r="E452" i="3"/>
  <c r="E457" i="3"/>
  <c r="E463" i="3"/>
  <c r="E468" i="3"/>
  <c r="E473" i="3"/>
  <c r="E479" i="3"/>
  <c r="E484" i="3"/>
  <c r="E489" i="3"/>
  <c r="E495" i="3"/>
  <c r="E500" i="3"/>
  <c r="E505" i="3"/>
  <c r="E511" i="3"/>
  <c r="E516" i="3"/>
  <c r="E521" i="3"/>
  <c r="E527" i="3"/>
  <c r="E532" i="3"/>
  <c r="E537" i="3"/>
  <c r="E543" i="3"/>
  <c r="E548" i="3"/>
  <c r="E553" i="3"/>
  <c r="E559" i="3"/>
  <c r="E564" i="3"/>
  <c r="E569" i="3"/>
  <c r="E575" i="3"/>
  <c r="E580" i="3"/>
  <c r="E585" i="3"/>
  <c r="E591" i="3"/>
  <c r="E596" i="3"/>
  <c r="E601" i="3"/>
  <c r="E607" i="3"/>
  <c r="E612" i="3"/>
  <c r="E617" i="3"/>
  <c r="E623" i="3"/>
  <c r="E628" i="3"/>
  <c r="E633" i="3"/>
  <c r="E639" i="3"/>
  <c r="E644" i="3"/>
  <c r="E649" i="3"/>
  <c r="E655" i="3"/>
  <c r="E660" i="3"/>
  <c r="E665" i="3"/>
  <c r="E671" i="3"/>
  <c r="E676" i="3"/>
  <c r="E681" i="3"/>
  <c r="E687" i="3"/>
  <c r="E692" i="3"/>
  <c r="E697" i="3"/>
  <c r="E703" i="3"/>
  <c r="E707" i="3"/>
  <c r="E711" i="3"/>
  <c r="E715" i="3"/>
  <c r="E719" i="3"/>
  <c r="E723" i="3"/>
  <c r="E727" i="3"/>
  <c r="E731" i="3"/>
  <c r="E735" i="3"/>
  <c r="E739" i="3"/>
  <c r="E743" i="3"/>
  <c r="E747" i="3"/>
  <c r="E751" i="3"/>
  <c r="E755" i="3"/>
  <c r="E759" i="3"/>
  <c r="E763" i="3"/>
  <c r="E767" i="3"/>
  <c r="E771" i="3"/>
  <c r="E775" i="3"/>
  <c r="E779" i="3"/>
  <c r="E783" i="3"/>
  <c r="E787" i="3"/>
  <c r="E791" i="3"/>
  <c r="E795" i="3"/>
  <c r="E799" i="3"/>
  <c r="E803" i="3"/>
  <c r="E807" i="3"/>
  <c r="E811" i="3"/>
  <c r="E815" i="3"/>
  <c r="E819" i="3"/>
  <c r="E823" i="3"/>
  <c r="E827" i="3"/>
  <c r="E831" i="3"/>
  <c r="E835" i="3"/>
  <c r="E839" i="3"/>
  <c r="E843" i="3"/>
  <c r="E847" i="3"/>
  <c r="E851" i="3"/>
  <c r="E855" i="3"/>
  <c r="E859" i="3"/>
  <c r="E863" i="3"/>
  <c r="E867" i="3"/>
  <c r="E871" i="3"/>
  <c r="E875" i="3"/>
  <c r="E879" i="3"/>
  <c r="E883" i="3"/>
  <c r="E887" i="3"/>
  <c r="E891" i="3"/>
  <c r="E895" i="3"/>
  <c r="E899" i="3"/>
  <c r="E903" i="3"/>
  <c r="E907" i="3"/>
  <c r="E911" i="3"/>
  <c r="E915" i="3"/>
  <c r="E919" i="3"/>
  <c r="E923" i="3"/>
  <c r="E927" i="3"/>
  <c r="E931" i="3"/>
  <c r="E935" i="3"/>
  <c r="E939" i="3"/>
  <c r="E943" i="3"/>
  <c r="E947" i="3"/>
  <c r="F394" i="3"/>
  <c r="F549" i="3"/>
  <c r="F665" i="3"/>
  <c r="F750" i="3"/>
  <c r="F826" i="3"/>
  <c r="F890" i="3"/>
  <c r="F954" i="3"/>
  <c r="F1001" i="3"/>
  <c r="F1043" i="3"/>
  <c r="F1086" i="3"/>
  <c r="F1129" i="3"/>
  <c r="F1171" i="3"/>
  <c r="F1207" i="3"/>
  <c r="F1228" i="3"/>
  <c r="F1249" i="3"/>
  <c r="F1271" i="3"/>
  <c r="F1292" i="3"/>
  <c r="F1313" i="3"/>
  <c r="F1335" i="3"/>
  <c r="F1356" i="3"/>
  <c r="F1377" i="3"/>
  <c r="F1399" i="3"/>
  <c r="F1420" i="3"/>
  <c r="F1441" i="3"/>
  <c r="F1463" i="3"/>
  <c r="F1481" i="3"/>
  <c r="F1497" i="3"/>
  <c r="F1513" i="3"/>
  <c r="F1529" i="3"/>
  <c r="F1545" i="3"/>
  <c r="F1561" i="3"/>
  <c r="F1577" i="3"/>
  <c r="F1593" i="3"/>
  <c r="F1609" i="3"/>
  <c r="F1625" i="3"/>
  <c r="F1641" i="3"/>
  <c r="F1657" i="3"/>
  <c r="F1673" i="3"/>
  <c r="F1689" i="3"/>
  <c r="F1705" i="3"/>
  <c r="F1721" i="3"/>
  <c r="F1737" i="3"/>
  <c r="F1750" i="3"/>
  <c r="F1761" i="3"/>
  <c r="F1772" i="3"/>
  <c r="F1782" i="3"/>
  <c r="F1793" i="3"/>
  <c r="F1804" i="3"/>
  <c r="F1814" i="3"/>
  <c r="F1825" i="3"/>
  <c r="F1836" i="3"/>
  <c r="F1846" i="3"/>
  <c r="F1857" i="3"/>
  <c r="F1868" i="3"/>
  <c r="F1878" i="3"/>
  <c r="F1889" i="3"/>
  <c r="F1900" i="3"/>
  <c r="F1910" i="3"/>
  <c r="F1921" i="3"/>
  <c r="F1932" i="3"/>
  <c r="F1942" i="3"/>
  <c r="F1953" i="3"/>
  <c r="F1964" i="3"/>
  <c r="F1974" i="3"/>
  <c r="F1985" i="3"/>
  <c r="F1996" i="3"/>
  <c r="F2006" i="3"/>
  <c r="F2017" i="3"/>
  <c r="F2028" i="3"/>
  <c r="F2038" i="3"/>
  <c r="F2049" i="3"/>
  <c r="F2060" i="3"/>
  <c r="F2070" i="3"/>
  <c r="F2081" i="3"/>
  <c r="F2092" i="3"/>
  <c r="F2102" i="3"/>
  <c r="F2113" i="3"/>
  <c r="F2122" i="3"/>
  <c r="F2130" i="3"/>
  <c r="F2138" i="3"/>
  <c r="F2146" i="3"/>
  <c r="F2154" i="3"/>
  <c r="F2162" i="3"/>
  <c r="E20" i="3"/>
  <c r="G20" i="3" s="1"/>
  <c r="E28" i="3"/>
  <c r="G28" i="3" s="1"/>
  <c r="E36" i="3"/>
  <c r="G36" i="3" s="1"/>
  <c r="E44" i="3"/>
  <c r="G44" i="3" s="1"/>
  <c r="E52" i="3"/>
  <c r="G52" i="3" s="1"/>
  <c r="E60" i="3"/>
  <c r="G60" i="3" s="1"/>
  <c r="E68" i="3"/>
  <c r="G68" i="3" s="1"/>
  <c r="E76" i="3"/>
  <c r="G76" i="3" s="1"/>
  <c r="E84" i="3"/>
  <c r="G84" i="3" s="1"/>
  <c r="E92" i="3"/>
  <c r="G92" i="3" s="1"/>
  <c r="E100" i="3"/>
  <c r="G100" i="3" s="1"/>
  <c r="E108" i="3"/>
  <c r="G108" i="3" s="1"/>
  <c r="E116" i="3"/>
  <c r="G116" i="3" s="1"/>
  <c r="E124" i="3"/>
  <c r="G124" i="3" s="1"/>
  <c r="E132" i="3"/>
  <c r="G132" i="3" s="1"/>
  <c r="E140" i="3"/>
  <c r="G140" i="3" s="1"/>
  <c r="E148" i="3"/>
  <c r="G148" i="3" s="1"/>
  <c r="E156" i="3"/>
  <c r="G156" i="3" s="1"/>
  <c r="E164" i="3"/>
  <c r="G164" i="3" s="1"/>
  <c r="E172" i="3"/>
  <c r="G172" i="3" s="1"/>
  <c r="E180" i="3"/>
  <c r="G180" i="3" s="1"/>
  <c r="E188" i="3"/>
  <c r="G188" i="3" s="1"/>
  <c r="E196" i="3"/>
  <c r="G196" i="3" s="1"/>
  <c r="E204" i="3"/>
  <c r="G204" i="3" s="1"/>
  <c r="E212" i="3"/>
  <c r="G212" i="3" s="1"/>
  <c r="E220" i="3"/>
  <c r="E228" i="3"/>
  <c r="E236" i="3"/>
  <c r="E244" i="3"/>
  <c r="E252" i="3"/>
  <c r="E260" i="3"/>
  <c r="E268" i="3"/>
  <c r="E276" i="3"/>
  <c r="E283" i="3"/>
  <c r="E288" i="3"/>
  <c r="E293" i="3"/>
  <c r="E299" i="3"/>
  <c r="E304" i="3"/>
  <c r="E309" i="3"/>
  <c r="E315" i="3"/>
  <c r="E320" i="3"/>
  <c r="E325" i="3"/>
  <c r="E331" i="3"/>
  <c r="E336" i="3"/>
  <c r="E341" i="3"/>
  <c r="E347" i="3"/>
  <c r="E352" i="3"/>
  <c r="E357" i="3"/>
  <c r="E363" i="3"/>
  <c r="E368" i="3"/>
  <c r="E373" i="3"/>
  <c r="E379" i="3"/>
  <c r="E384" i="3"/>
  <c r="E389" i="3"/>
  <c r="E395" i="3"/>
  <c r="E400" i="3"/>
  <c r="E405" i="3"/>
  <c r="E411" i="3"/>
  <c r="E416" i="3"/>
  <c r="E421" i="3"/>
  <c r="E427" i="3"/>
  <c r="E432" i="3"/>
  <c r="E437" i="3"/>
  <c r="E443" i="3"/>
  <c r="E448" i="3"/>
  <c r="E453" i="3"/>
  <c r="E459" i="3"/>
  <c r="E464" i="3"/>
  <c r="E469" i="3"/>
  <c r="E475" i="3"/>
  <c r="E480" i="3"/>
  <c r="E485" i="3"/>
  <c r="E491" i="3"/>
  <c r="E496" i="3"/>
  <c r="E501" i="3"/>
  <c r="E507" i="3"/>
  <c r="E512" i="3"/>
  <c r="E517" i="3"/>
  <c r="E523" i="3"/>
  <c r="E528" i="3"/>
  <c r="E533" i="3"/>
  <c r="E539" i="3"/>
  <c r="E544" i="3"/>
  <c r="E549" i="3"/>
  <c r="E555" i="3"/>
  <c r="E560" i="3"/>
  <c r="E565" i="3"/>
  <c r="E571" i="3"/>
  <c r="E576" i="3"/>
  <c r="E581" i="3"/>
  <c r="E587" i="3"/>
  <c r="E592" i="3"/>
  <c r="E597" i="3"/>
  <c r="E603" i="3"/>
  <c r="E608" i="3"/>
  <c r="E613" i="3"/>
  <c r="E619" i="3"/>
  <c r="E624" i="3"/>
  <c r="E629" i="3"/>
  <c r="E635" i="3"/>
  <c r="E640" i="3"/>
  <c r="E645" i="3"/>
  <c r="E651" i="3"/>
  <c r="E656" i="3"/>
  <c r="E661" i="3"/>
  <c r="E667" i="3"/>
  <c r="E672" i="3"/>
  <c r="E677" i="3"/>
  <c r="E683" i="3"/>
  <c r="E688" i="3"/>
  <c r="E693" i="3"/>
  <c r="E699" i="3"/>
  <c r="E704" i="3"/>
  <c r="E708" i="3"/>
  <c r="E712" i="3"/>
  <c r="E716" i="3"/>
  <c r="E720" i="3"/>
  <c r="E724" i="3"/>
  <c r="E728" i="3"/>
  <c r="E732" i="3"/>
  <c r="E736" i="3"/>
  <c r="E740" i="3"/>
  <c r="E744" i="3"/>
  <c r="E748" i="3"/>
  <c r="E752" i="3"/>
  <c r="E756" i="3"/>
  <c r="E760" i="3"/>
  <c r="E764" i="3"/>
  <c r="E768" i="3"/>
  <c r="E772" i="3"/>
  <c r="E776" i="3"/>
  <c r="E780" i="3"/>
  <c r="E784" i="3"/>
  <c r="E788" i="3"/>
  <c r="E792" i="3"/>
  <c r="E796" i="3"/>
  <c r="E800" i="3"/>
  <c r="E804" i="3"/>
  <c r="E808" i="3"/>
  <c r="E812" i="3"/>
  <c r="E816" i="3"/>
  <c r="E820" i="3"/>
  <c r="E824" i="3"/>
  <c r="E828" i="3"/>
  <c r="E832" i="3"/>
  <c r="E836" i="3"/>
  <c r="E840" i="3"/>
  <c r="E844" i="3"/>
  <c r="E848" i="3"/>
  <c r="E852" i="3"/>
  <c r="E856" i="3"/>
  <c r="E860" i="3"/>
  <c r="E864" i="3"/>
  <c r="E868" i="3"/>
  <c r="E872" i="3"/>
  <c r="E876" i="3"/>
  <c r="E880" i="3"/>
  <c r="E884" i="3"/>
  <c r="E888" i="3"/>
  <c r="E892" i="3"/>
  <c r="E896" i="3"/>
  <c r="E900" i="3"/>
  <c r="E904" i="3"/>
  <c r="E908" i="3"/>
  <c r="E912" i="3"/>
  <c r="E916" i="3"/>
  <c r="E920" i="3"/>
  <c r="E924" i="3"/>
  <c r="E928" i="3"/>
  <c r="E932" i="3"/>
  <c r="E936" i="3"/>
  <c r="E940" i="3"/>
  <c r="E944" i="3"/>
  <c r="E948" i="3"/>
  <c r="E952" i="3"/>
  <c r="E956" i="3"/>
  <c r="E960" i="3"/>
  <c r="E964" i="3"/>
  <c r="E968" i="3"/>
  <c r="E972" i="3"/>
  <c r="E976" i="3"/>
  <c r="E980" i="3"/>
  <c r="E984" i="3"/>
  <c r="E988" i="3"/>
  <c r="E992" i="3"/>
  <c r="E996" i="3"/>
  <c r="E1000" i="3"/>
  <c r="E1004" i="3"/>
  <c r="E1008" i="3"/>
  <c r="E1012" i="3"/>
  <c r="E1016" i="3"/>
  <c r="E1020" i="3"/>
  <c r="E1024" i="3"/>
  <c r="E1028" i="3"/>
  <c r="E1032" i="3"/>
  <c r="E1036" i="3"/>
  <c r="E1040" i="3"/>
  <c r="E1044" i="3"/>
  <c r="E1048" i="3"/>
  <c r="E1052" i="3"/>
  <c r="E1056" i="3"/>
  <c r="E1060" i="3"/>
  <c r="E1064" i="3"/>
  <c r="E1068" i="3"/>
  <c r="E1072" i="3"/>
  <c r="E1076" i="3"/>
  <c r="E1080" i="3"/>
  <c r="E1084" i="3"/>
  <c r="E1088" i="3"/>
  <c r="E1092" i="3"/>
  <c r="E1096" i="3"/>
  <c r="E1100" i="3"/>
  <c r="E1104" i="3"/>
  <c r="E1108" i="3"/>
  <c r="E1112" i="3"/>
  <c r="E1116" i="3"/>
  <c r="E1120" i="3"/>
  <c r="E1124" i="3"/>
  <c r="E1128" i="3"/>
  <c r="E1132" i="3"/>
  <c r="E1136" i="3"/>
  <c r="E1140" i="3"/>
  <c r="E1144" i="3"/>
  <c r="E1148" i="3"/>
  <c r="E1152" i="3"/>
  <c r="E1156" i="3"/>
  <c r="E1160" i="3"/>
  <c r="E1164" i="3"/>
  <c r="E1168" i="3"/>
  <c r="E1172" i="3"/>
  <c r="E1176" i="3"/>
  <c r="E1180" i="3"/>
  <c r="E1184" i="3"/>
  <c r="E1188" i="3"/>
  <c r="E1192" i="3"/>
  <c r="E1196" i="3"/>
  <c r="E1200" i="3"/>
  <c r="E1204" i="3"/>
  <c r="E1208" i="3"/>
  <c r="E1212" i="3"/>
  <c r="E1216" i="3"/>
  <c r="E1220" i="3"/>
  <c r="E1224" i="3"/>
  <c r="E1228" i="3"/>
  <c r="E1232" i="3"/>
  <c r="E1236" i="3"/>
  <c r="E1240" i="3"/>
  <c r="E1244" i="3"/>
  <c r="E1248" i="3"/>
  <c r="E1252" i="3"/>
  <c r="E1256" i="3"/>
  <c r="E1260" i="3"/>
  <c r="E1264" i="3"/>
  <c r="E1268" i="3"/>
  <c r="E1272" i="3"/>
  <c r="E1276" i="3"/>
  <c r="E1280" i="3"/>
  <c r="F404" i="3"/>
  <c r="F669" i="3"/>
  <c r="F829" i="3"/>
  <c r="F957" i="3"/>
  <c r="F1045" i="3"/>
  <c r="F1130" i="3"/>
  <c r="F1208" i="3"/>
  <c r="F1251" i="3"/>
  <c r="F1293" i="3"/>
  <c r="F1336" i="3"/>
  <c r="F1379" i="3"/>
  <c r="F1421" i="3"/>
  <c r="F1464" i="3"/>
  <c r="F1498" i="3"/>
  <c r="F1530" i="3"/>
  <c r="F1562" i="3"/>
  <c r="F1594" i="3"/>
  <c r="F1626" i="3"/>
  <c r="F1658" i="3"/>
  <c r="F1690" i="3"/>
  <c r="F1722" i="3"/>
  <c r="F1752" i="3"/>
  <c r="F1773" i="3"/>
  <c r="F1794" i="3"/>
  <c r="F1816" i="3"/>
  <c r="F1837" i="3"/>
  <c r="F1858" i="3"/>
  <c r="F1880" i="3"/>
  <c r="F1901" i="3"/>
  <c r="F1922" i="3"/>
  <c r="F1944" i="3"/>
  <c r="F1965" i="3"/>
  <c r="F1986" i="3"/>
  <c r="F2008" i="3"/>
  <c r="F2029" i="3"/>
  <c r="F2050" i="3"/>
  <c r="F2072" i="3"/>
  <c r="F2093" i="3"/>
  <c r="F2114" i="3"/>
  <c r="F2131" i="3"/>
  <c r="F2147" i="3"/>
  <c r="F2163" i="3"/>
  <c r="E21" i="3"/>
  <c r="E37" i="3"/>
  <c r="E53" i="3"/>
  <c r="E69" i="3"/>
  <c r="G69" i="3" s="1"/>
  <c r="E85" i="3"/>
  <c r="G85" i="3" s="1"/>
  <c r="E101" i="3"/>
  <c r="G101" i="3" s="1"/>
  <c r="E117" i="3"/>
  <c r="G117" i="3" s="1"/>
  <c r="E133" i="3"/>
  <c r="G133" i="3" s="1"/>
  <c r="E149" i="3"/>
  <c r="G149" i="3" s="1"/>
  <c r="E165" i="3"/>
  <c r="E181" i="3"/>
  <c r="G181" i="3" s="1"/>
  <c r="E197" i="3"/>
  <c r="G197" i="3" s="1"/>
  <c r="E213" i="3"/>
  <c r="G213" i="3" s="1"/>
  <c r="E229" i="3"/>
  <c r="E245" i="3"/>
  <c r="E261" i="3"/>
  <c r="E277" i="3"/>
  <c r="E289" i="3"/>
  <c r="E300" i="3"/>
  <c r="E311" i="3"/>
  <c r="E321" i="3"/>
  <c r="E332" i="3"/>
  <c r="E343" i="3"/>
  <c r="E353" i="3"/>
  <c r="E364" i="3"/>
  <c r="E375" i="3"/>
  <c r="E385" i="3"/>
  <c r="E396" i="3"/>
  <c r="E407" i="3"/>
  <c r="E417" i="3"/>
  <c r="E428" i="3"/>
  <c r="E439" i="3"/>
  <c r="E449" i="3"/>
  <c r="E460" i="3"/>
  <c r="E471" i="3"/>
  <c r="E481" i="3"/>
  <c r="E492" i="3"/>
  <c r="E503" i="3"/>
  <c r="E513" i="3"/>
  <c r="E524" i="3"/>
  <c r="E535" i="3"/>
  <c r="E545" i="3"/>
  <c r="E556" i="3"/>
  <c r="E567" i="3"/>
  <c r="E577" i="3"/>
  <c r="E588" i="3"/>
  <c r="E599" i="3"/>
  <c r="E609" i="3"/>
  <c r="E620" i="3"/>
  <c r="E631" i="3"/>
  <c r="E641" i="3"/>
  <c r="E652" i="3"/>
  <c r="E663" i="3"/>
  <c r="E673" i="3"/>
  <c r="E684" i="3"/>
  <c r="E695" i="3"/>
  <c r="E705" i="3"/>
  <c r="E713" i="3"/>
  <c r="E721" i="3"/>
  <c r="E729" i="3"/>
  <c r="E737" i="3"/>
  <c r="E745" i="3"/>
  <c r="E753" i="3"/>
  <c r="E761" i="3"/>
  <c r="E769" i="3"/>
  <c r="E777" i="3"/>
  <c r="E785" i="3"/>
  <c r="E793" i="3"/>
  <c r="E801" i="3"/>
  <c r="E809" i="3"/>
  <c r="E817" i="3"/>
  <c r="E825" i="3"/>
  <c r="E833" i="3"/>
  <c r="E841" i="3"/>
  <c r="E849" i="3"/>
  <c r="E857" i="3"/>
  <c r="E865" i="3"/>
  <c r="E873" i="3"/>
  <c r="E881" i="3"/>
  <c r="E889" i="3"/>
  <c r="E897" i="3"/>
  <c r="E905" i="3"/>
  <c r="E913" i="3"/>
  <c r="E921" i="3"/>
  <c r="E929" i="3"/>
  <c r="E937" i="3"/>
  <c r="E945" i="3"/>
  <c r="E951" i="3"/>
  <c r="E957" i="3"/>
  <c r="E962" i="3"/>
  <c r="E967" i="3"/>
  <c r="E973" i="3"/>
  <c r="E978" i="3"/>
  <c r="E983" i="3"/>
  <c r="E989" i="3"/>
  <c r="E994" i="3"/>
  <c r="E999" i="3"/>
  <c r="E1005" i="3"/>
  <c r="E1010" i="3"/>
  <c r="E1015" i="3"/>
  <c r="E1021" i="3"/>
  <c r="E1026" i="3"/>
  <c r="E1031" i="3"/>
  <c r="E1037" i="3"/>
  <c r="E1042" i="3"/>
  <c r="E1047" i="3"/>
  <c r="E1053" i="3"/>
  <c r="E1058" i="3"/>
  <c r="E1063" i="3"/>
  <c r="E1069" i="3"/>
  <c r="E1074" i="3"/>
  <c r="E1079" i="3"/>
  <c r="E1085" i="3"/>
  <c r="E1090" i="3"/>
  <c r="E1095" i="3"/>
  <c r="E1101" i="3"/>
  <c r="E1106" i="3"/>
  <c r="E1111" i="3"/>
  <c r="E1117" i="3"/>
  <c r="E1122" i="3"/>
  <c r="E1127" i="3"/>
  <c r="E1133" i="3"/>
  <c r="E1138" i="3"/>
  <c r="E1143" i="3"/>
  <c r="E1149" i="3"/>
  <c r="E1154" i="3"/>
  <c r="E1159" i="3"/>
  <c r="E1165" i="3"/>
  <c r="E1170" i="3"/>
  <c r="E1175" i="3"/>
  <c r="E1181" i="3"/>
  <c r="E1186" i="3"/>
  <c r="E1191" i="3"/>
  <c r="E1197" i="3"/>
  <c r="E1202" i="3"/>
  <c r="E1207" i="3"/>
  <c r="E1213" i="3"/>
  <c r="E1218" i="3"/>
  <c r="E1223" i="3"/>
  <c r="E1229" i="3"/>
  <c r="E1234" i="3"/>
  <c r="E1239" i="3"/>
  <c r="E1245" i="3"/>
  <c r="E1250" i="3"/>
  <c r="E1255" i="3"/>
  <c r="E1261" i="3"/>
  <c r="E1266" i="3"/>
  <c r="E1271" i="3"/>
  <c r="E1277" i="3"/>
  <c r="E1282" i="3"/>
  <c r="E1286" i="3"/>
  <c r="E1290" i="3"/>
  <c r="E1294" i="3"/>
  <c r="E1298" i="3"/>
  <c r="E1302" i="3"/>
  <c r="E1306" i="3"/>
  <c r="E1310" i="3"/>
  <c r="E1314" i="3"/>
  <c r="E1318" i="3"/>
  <c r="E1322" i="3"/>
  <c r="E1326" i="3"/>
  <c r="E1330" i="3"/>
  <c r="E1334" i="3"/>
  <c r="E1338" i="3"/>
  <c r="E1342" i="3"/>
  <c r="E1346" i="3"/>
  <c r="E1350" i="3"/>
  <c r="E1354" i="3"/>
  <c r="E1358" i="3"/>
  <c r="E1362" i="3"/>
  <c r="E1366" i="3"/>
  <c r="E1370" i="3"/>
  <c r="E1374" i="3"/>
  <c r="E1378" i="3"/>
  <c r="E1382" i="3"/>
  <c r="E1386" i="3"/>
  <c r="E1390" i="3"/>
  <c r="E1394" i="3"/>
  <c r="E1398" i="3"/>
  <c r="E1402" i="3"/>
  <c r="E1406" i="3"/>
  <c r="E1410" i="3"/>
  <c r="E1414" i="3"/>
  <c r="E1418" i="3"/>
  <c r="E1422" i="3"/>
  <c r="E1426" i="3"/>
  <c r="E1430" i="3"/>
  <c r="E1434" i="3"/>
  <c r="E1438" i="3"/>
  <c r="E1442" i="3"/>
  <c r="E1446" i="3"/>
  <c r="E1450" i="3"/>
  <c r="E1454" i="3"/>
  <c r="E1458" i="3"/>
  <c r="E1462" i="3"/>
  <c r="E1466" i="3"/>
  <c r="E1470" i="3"/>
  <c r="E1474" i="3"/>
  <c r="E1478" i="3"/>
  <c r="E1482" i="3"/>
  <c r="E1486" i="3"/>
  <c r="E1490" i="3"/>
  <c r="E1494" i="3"/>
  <c r="E1498" i="3"/>
  <c r="E1502" i="3"/>
  <c r="E1506" i="3"/>
  <c r="E1510" i="3"/>
  <c r="E1514" i="3"/>
  <c r="E1518" i="3"/>
  <c r="E1522" i="3"/>
  <c r="E1526" i="3"/>
  <c r="E1530" i="3"/>
  <c r="E1534" i="3"/>
  <c r="E1538" i="3"/>
  <c r="E1542" i="3"/>
  <c r="E1546" i="3"/>
  <c r="E1550" i="3"/>
  <c r="E1554" i="3"/>
  <c r="E1558" i="3"/>
  <c r="E1562" i="3"/>
  <c r="E1566" i="3"/>
  <c r="E1570" i="3"/>
  <c r="E1574" i="3"/>
  <c r="E1578" i="3"/>
  <c r="E1582" i="3"/>
  <c r="E1586" i="3"/>
  <c r="E1590" i="3"/>
  <c r="E1594" i="3"/>
  <c r="E1598" i="3"/>
  <c r="E1602" i="3"/>
  <c r="E1606" i="3"/>
  <c r="E1610" i="3"/>
  <c r="E1614" i="3"/>
  <c r="E1618" i="3"/>
  <c r="E1622" i="3"/>
  <c r="E1626" i="3"/>
  <c r="E1630" i="3"/>
  <c r="E1634" i="3"/>
  <c r="E1638" i="3"/>
  <c r="E1642" i="3"/>
  <c r="E1646" i="3"/>
  <c r="E1650" i="3"/>
  <c r="E1654" i="3"/>
  <c r="E1658" i="3"/>
  <c r="E1662" i="3"/>
  <c r="E1666" i="3"/>
  <c r="E1670" i="3"/>
  <c r="E1674" i="3"/>
  <c r="E1678" i="3"/>
  <c r="E1682" i="3"/>
  <c r="E1686" i="3"/>
  <c r="E1690" i="3"/>
  <c r="E1694" i="3"/>
  <c r="E1698" i="3"/>
  <c r="E1702" i="3"/>
  <c r="E1706" i="3"/>
  <c r="E1710" i="3"/>
  <c r="E1714" i="3"/>
  <c r="E1718" i="3"/>
  <c r="E1722" i="3"/>
  <c r="E1726" i="3"/>
  <c r="E1730" i="3"/>
  <c r="E1734" i="3"/>
  <c r="E1738" i="3"/>
  <c r="E1742" i="3"/>
  <c r="E1746" i="3"/>
  <c r="E1750" i="3"/>
  <c r="E1754" i="3"/>
  <c r="E1758" i="3"/>
  <c r="E1762" i="3"/>
  <c r="E1766" i="3"/>
  <c r="E1770" i="3"/>
  <c r="E1774" i="3"/>
  <c r="E1778" i="3"/>
  <c r="E1782" i="3"/>
  <c r="E1786" i="3"/>
  <c r="E1790" i="3"/>
  <c r="E1794" i="3"/>
  <c r="E1798" i="3"/>
  <c r="E1802" i="3"/>
  <c r="E1806" i="3"/>
  <c r="E1810" i="3"/>
  <c r="E1814" i="3"/>
  <c r="E1818" i="3"/>
  <c r="E1822" i="3"/>
  <c r="E1826" i="3"/>
  <c r="E1830" i="3"/>
  <c r="E1834" i="3"/>
  <c r="E1838" i="3"/>
  <c r="E1842" i="3"/>
  <c r="E1846" i="3"/>
  <c r="E1850" i="3"/>
  <c r="E1854" i="3"/>
  <c r="E1858" i="3"/>
  <c r="E1862" i="3"/>
  <c r="E1866" i="3"/>
  <c r="E1870" i="3"/>
  <c r="E1874" i="3"/>
  <c r="E1878" i="3"/>
  <c r="F480" i="3"/>
  <c r="F708" i="3"/>
  <c r="F858" i="3"/>
  <c r="F979" i="3"/>
  <c r="F1065" i="3"/>
  <c r="F1150" i="3"/>
  <c r="F1217" i="3"/>
  <c r="F1260" i="3"/>
  <c r="F1303" i="3"/>
  <c r="F1345" i="3"/>
  <c r="F1388" i="3"/>
  <c r="F1431" i="3"/>
  <c r="F1473" i="3"/>
  <c r="F1505" i="3"/>
  <c r="F1537" i="3"/>
  <c r="F1569" i="3"/>
  <c r="F1601" i="3"/>
  <c r="F1633" i="3"/>
  <c r="F1665" i="3"/>
  <c r="F1697" i="3"/>
  <c r="F1729" i="3"/>
  <c r="F1756" i="3"/>
  <c r="F1777" i="3"/>
  <c r="F1798" i="3"/>
  <c r="F1820" i="3"/>
  <c r="F1841" i="3"/>
  <c r="F1862" i="3"/>
  <c r="F1884" i="3"/>
  <c r="F1905" i="3"/>
  <c r="F1926" i="3"/>
  <c r="F1948" i="3"/>
  <c r="F1969" i="3"/>
  <c r="F1990" i="3"/>
  <c r="F2012" i="3"/>
  <c r="F2033" i="3"/>
  <c r="F2054" i="3"/>
  <c r="F2076" i="3"/>
  <c r="F2097" i="3"/>
  <c r="F2118" i="3"/>
  <c r="F2134" i="3"/>
  <c r="F2150" i="3"/>
  <c r="E24" i="3"/>
  <c r="E40" i="3"/>
  <c r="G40" i="3" s="1"/>
  <c r="E56" i="3"/>
  <c r="G56" i="3" s="1"/>
  <c r="E72" i="3"/>
  <c r="G72" i="3" s="1"/>
  <c r="E88" i="3"/>
  <c r="G88" i="3" s="1"/>
  <c r="E104" i="3"/>
  <c r="G104" i="3" s="1"/>
  <c r="E120" i="3"/>
  <c r="G120" i="3" s="1"/>
  <c r="E136" i="3"/>
  <c r="G136" i="3" s="1"/>
  <c r="E152" i="3"/>
  <c r="G152" i="3" s="1"/>
  <c r="E168" i="3"/>
  <c r="G168" i="3" s="1"/>
  <c r="E184" i="3"/>
  <c r="G184" i="3" s="1"/>
  <c r="E200" i="3"/>
  <c r="G200" i="3" s="1"/>
  <c r="E216" i="3"/>
  <c r="E232" i="3"/>
  <c r="E248" i="3"/>
  <c r="E264" i="3"/>
  <c r="E280" i="3"/>
  <c r="E291" i="3"/>
  <c r="E301" i="3"/>
  <c r="E312" i="3"/>
  <c r="E323" i="3"/>
  <c r="E333" i="3"/>
  <c r="E344" i="3"/>
  <c r="E355" i="3"/>
  <c r="E365" i="3"/>
  <c r="E376" i="3"/>
  <c r="E387" i="3"/>
  <c r="E397" i="3"/>
  <c r="E408" i="3"/>
  <c r="E419" i="3"/>
  <c r="E429" i="3"/>
  <c r="E440" i="3"/>
  <c r="E451" i="3"/>
  <c r="E461" i="3"/>
  <c r="E472" i="3"/>
  <c r="E483" i="3"/>
  <c r="E493" i="3"/>
  <c r="E504" i="3"/>
  <c r="E515" i="3"/>
  <c r="E525" i="3"/>
  <c r="E536" i="3"/>
  <c r="E547" i="3"/>
  <c r="E557" i="3"/>
  <c r="E568" i="3"/>
  <c r="E579" i="3"/>
  <c r="E589" i="3"/>
  <c r="E600" i="3"/>
  <c r="E611" i="3"/>
  <c r="E621" i="3"/>
  <c r="E632" i="3"/>
  <c r="E643" i="3"/>
  <c r="E653" i="3"/>
  <c r="E664" i="3"/>
  <c r="E675" i="3"/>
  <c r="E685" i="3"/>
  <c r="E696" i="3"/>
  <c r="E706" i="3"/>
  <c r="E714" i="3"/>
  <c r="E722" i="3"/>
  <c r="E730" i="3"/>
  <c r="E738" i="3"/>
  <c r="E746" i="3"/>
  <c r="E754" i="3"/>
  <c r="E762" i="3"/>
  <c r="E770" i="3"/>
  <c r="E778" i="3"/>
  <c r="E786" i="3"/>
  <c r="E794" i="3"/>
  <c r="E802" i="3"/>
  <c r="E810" i="3"/>
  <c r="E818" i="3"/>
  <c r="E826" i="3"/>
  <c r="E834" i="3"/>
  <c r="E842" i="3"/>
  <c r="E850" i="3"/>
  <c r="E858" i="3"/>
  <c r="E866" i="3"/>
  <c r="E874" i="3"/>
  <c r="E882" i="3"/>
  <c r="E890" i="3"/>
  <c r="E898" i="3"/>
  <c r="E906" i="3"/>
  <c r="E914" i="3"/>
  <c r="E922" i="3"/>
  <c r="E930" i="3"/>
  <c r="E938" i="3"/>
  <c r="E946" i="3"/>
  <c r="E953" i="3"/>
  <c r="E958" i="3"/>
  <c r="E963" i="3"/>
  <c r="E969" i="3"/>
  <c r="E974" i="3"/>
  <c r="E979" i="3"/>
  <c r="E985" i="3"/>
  <c r="E990" i="3"/>
  <c r="E995" i="3"/>
  <c r="E1001" i="3"/>
  <c r="E1006" i="3"/>
  <c r="E1011" i="3"/>
  <c r="E1017" i="3"/>
  <c r="E1022" i="3"/>
  <c r="E1027" i="3"/>
  <c r="E1033" i="3"/>
  <c r="E1038" i="3"/>
  <c r="E1043" i="3"/>
  <c r="E1049" i="3"/>
  <c r="E1054" i="3"/>
  <c r="E1059" i="3"/>
  <c r="E1065" i="3"/>
  <c r="E1070" i="3"/>
  <c r="E1075" i="3"/>
  <c r="E1081" i="3"/>
  <c r="E1086" i="3"/>
  <c r="E1091" i="3"/>
  <c r="E1097" i="3"/>
  <c r="E1102" i="3"/>
  <c r="E1107" i="3"/>
  <c r="E1113" i="3"/>
  <c r="E1118" i="3"/>
  <c r="E1123" i="3"/>
  <c r="E1129" i="3"/>
  <c r="E1134" i="3"/>
  <c r="E1139" i="3"/>
  <c r="E1145" i="3"/>
  <c r="E1150" i="3"/>
  <c r="E1155" i="3"/>
  <c r="E1161" i="3"/>
  <c r="E1166" i="3"/>
  <c r="E1171" i="3"/>
  <c r="E1177" i="3"/>
  <c r="E1182" i="3"/>
  <c r="E1187" i="3"/>
  <c r="E1193" i="3"/>
  <c r="E1198" i="3"/>
  <c r="E1203" i="3"/>
  <c r="E1209" i="3"/>
  <c r="E1214" i="3"/>
  <c r="E1219" i="3"/>
  <c r="E1225" i="3"/>
  <c r="E1230" i="3"/>
  <c r="E1235" i="3"/>
  <c r="E1241" i="3"/>
  <c r="E1246" i="3"/>
  <c r="E1251" i="3"/>
  <c r="E1257" i="3"/>
  <c r="E1262" i="3"/>
  <c r="E1267" i="3"/>
  <c r="E1273" i="3"/>
  <c r="E1278" i="3"/>
  <c r="E1283" i="3"/>
  <c r="E1287" i="3"/>
  <c r="E1291" i="3"/>
  <c r="E1295" i="3"/>
  <c r="E1299" i="3"/>
  <c r="E1303" i="3"/>
  <c r="E1307" i="3"/>
  <c r="E1311" i="3"/>
  <c r="E1315" i="3"/>
  <c r="E1319" i="3"/>
  <c r="E1323" i="3"/>
  <c r="E1327" i="3"/>
  <c r="E1331" i="3"/>
  <c r="E1335" i="3"/>
  <c r="E1339" i="3"/>
  <c r="E1343" i="3"/>
  <c r="E1347" i="3"/>
  <c r="E1351" i="3"/>
  <c r="E1355" i="3"/>
  <c r="E1359" i="3"/>
  <c r="E1363" i="3"/>
  <c r="E1367" i="3"/>
  <c r="E1371" i="3"/>
  <c r="E1375" i="3"/>
  <c r="E1379" i="3"/>
  <c r="E1383" i="3"/>
  <c r="E1387" i="3"/>
  <c r="E1391" i="3"/>
  <c r="E1395" i="3"/>
  <c r="E1399" i="3"/>
  <c r="E1403" i="3"/>
  <c r="E1407" i="3"/>
  <c r="E1411" i="3"/>
  <c r="E1415" i="3"/>
  <c r="E1419" i="3"/>
  <c r="E1423" i="3"/>
  <c r="E1427" i="3"/>
  <c r="E1431" i="3"/>
  <c r="E1435" i="3"/>
  <c r="E1439" i="3"/>
  <c r="E1443" i="3"/>
  <c r="E1447" i="3"/>
  <c r="E1451" i="3"/>
  <c r="E1455" i="3"/>
  <c r="E1459" i="3"/>
  <c r="E1463" i="3"/>
  <c r="E1467" i="3"/>
  <c r="E1471" i="3"/>
  <c r="E1475" i="3"/>
  <c r="E1479" i="3"/>
  <c r="E1483" i="3"/>
  <c r="E1487" i="3"/>
  <c r="E1491" i="3"/>
  <c r="E1495" i="3"/>
  <c r="E1499" i="3"/>
  <c r="E1503" i="3"/>
  <c r="E1507" i="3"/>
  <c r="E1511" i="3"/>
  <c r="E1515" i="3"/>
  <c r="E1519" i="3"/>
  <c r="E1523" i="3"/>
  <c r="E1527" i="3"/>
  <c r="E1531" i="3"/>
  <c r="E1535" i="3"/>
  <c r="E1539" i="3"/>
  <c r="E1543" i="3"/>
  <c r="E1547" i="3"/>
  <c r="E1551" i="3"/>
  <c r="E1555" i="3"/>
  <c r="E1559" i="3"/>
  <c r="E1563" i="3"/>
  <c r="E1567" i="3"/>
  <c r="E1571" i="3"/>
  <c r="E1575" i="3"/>
  <c r="E1579" i="3"/>
  <c r="E1583" i="3"/>
  <c r="E1587" i="3"/>
  <c r="E1591" i="3"/>
  <c r="E1595" i="3"/>
  <c r="E1599" i="3"/>
  <c r="E1603" i="3"/>
  <c r="E1607" i="3"/>
  <c r="E1611" i="3"/>
  <c r="E1615" i="3"/>
  <c r="E1619" i="3"/>
  <c r="E1623" i="3"/>
  <c r="E1627" i="3"/>
  <c r="E1631" i="3"/>
  <c r="E1635" i="3"/>
  <c r="E1639" i="3"/>
  <c r="E1643" i="3"/>
  <c r="E1647" i="3"/>
  <c r="E1651" i="3"/>
  <c r="E1655" i="3"/>
  <c r="E1659" i="3"/>
  <c r="E1663" i="3"/>
  <c r="E1667" i="3"/>
  <c r="E1671" i="3"/>
  <c r="E1675" i="3"/>
  <c r="E1679" i="3"/>
  <c r="E1683" i="3"/>
  <c r="E1687" i="3"/>
  <c r="E1691" i="3"/>
  <c r="E1695" i="3"/>
  <c r="E1699" i="3"/>
  <c r="E1703" i="3"/>
  <c r="E1707" i="3"/>
  <c r="E1711" i="3"/>
  <c r="E1715" i="3"/>
  <c r="E1719" i="3"/>
  <c r="E1723" i="3"/>
  <c r="E1727" i="3"/>
  <c r="E1731" i="3"/>
  <c r="E1735" i="3"/>
  <c r="E1739" i="3"/>
  <c r="E1743" i="3"/>
  <c r="E1747" i="3"/>
  <c r="E1751" i="3"/>
  <c r="E1755" i="3"/>
  <c r="E1759" i="3"/>
  <c r="E1763" i="3"/>
  <c r="E1767" i="3"/>
  <c r="E1771" i="3"/>
  <c r="E1775" i="3"/>
  <c r="E1779" i="3"/>
  <c r="E1783" i="3"/>
  <c r="E1787" i="3"/>
  <c r="E1791" i="3"/>
  <c r="E1795" i="3"/>
  <c r="E1799" i="3"/>
  <c r="E1803" i="3"/>
  <c r="E1807" i="3"/>
  <c r="E1811" i="3"/>
  <c r="E1815" i="3"/>
  <c r="E1819" i="3"/>
  <c r="E1823" i="3"/>
  <c r="E1827" i="3"/>
  <c r="E1831" i="3"/>
  <c r="E1835" i="3"/>
  <c r="E1839" i="3"/>
  <c r="E1843" i="3"/>
  <c r="E1847" i="3"/>
  <c r="E1851" i="3"/>
  <c r="E1855" i="3"/>
  <c r="E1859" i="3"/>
  <c r="E1863" i="3"/>
  <c r="E1867" i="3"/>
  <c r="E1871" i="3"/>
  <c r="E1875" i="3"/>
  <c r="E1879" i="3"/>
  <c r="E1883" i="3"/>
  <c r="E1887" i="3"/>
  <c r="E1891" i="3"/>
  <c r="E1895" i="3"/>
  <c r="E1899" i="3"/>
  <c r="E1903" i="3"/>
  <c r="E1907" i="3"/>
  <c r="E1911" i="3"/>
  <c r="E1915" i="3"/>
  <c r="E1919" i="3"/>
  <c r="E1923" i="3"/>
  <c r="E1927" i="3"/>
  <c r="E1931" i="3"/>
  <c r="E1935" i="3"/>
  <c r="E1939" i="3"/>
  <c r="E1943" i="3"/>
  <c r="E1947" i="3"/>
  <c r="E1951" i="3"/>
  <c r="E1955" i="3"/>
  <c r="E1959" i="3"/>
  <c r="E1963" i="3"/>
  <c r="E1967" i="3"/>
  <c r="E1971" i="3"/>
  <c r="E1975" i="3"/>
  <c r="E1979" i="3"/>
  <c r="E1983" i="3"/>
  <c r="E1987" i="3"/>
  <c r="E1991" i="3"/>
  <c r="E1995" i="3"/>
  <c r="E1999" i="3"/>
  <c r="E2003" i="3"/>
  <c r="E2007" i="3"/>
  <c r="E2011" i="3"/>
  <c r="E2015" i="3"/>
  <c r="E2019" i="3"/>
  <c r="E2023" i="3"/>
  <c r="E2027" i="3"/>
  <c r="E2031" i="3"/>
  <c r="E2035" i="3"/>
  <c r="E2039" i="3"/>
  <c r="E2043" i="3"/>
  <c r="E2047" i="3"/>
  <c r="E2051" i="3"/>
  <c r="E2055" i="3"/>
  <c r="E2059" i="3"/>
  <c r="E2063" i="3"/>
  <c r="E2067" i="3"/>
  <c r="E2071" i="3"/>
  <c r="E2075" i="3"/>
  <c r="E2079" i="3"/>
  <c r="E2083" i="3"/>
  <c r="E2087" i="3"/>
  <c r="E2091" i="3"/>
  <c r="E2095" i="3"/>
  <c r="E2099" i="3"/>
  <c r="E2103" i="3"/>
  <c r="E2107" i="3"/>
  <c r="E2111" i="3"/>
  <c r="E2115" i="3"/>
  <c r="E2119" i="3"/>
  <c r="E2123" i="3"/>
  <c r="E2127" i="3"/>
  <c r="E2131" i="3"/>
  <c r="E2135" i="3"/>
  <c r="E2139" i="3"/>
  <c r="E2143" i="3"/>
  <c r="E2147" i="3"/>
  <c r="E2151" i="3"/>
  <c r="E2155" i="3"/>
  <c r="E2159" i="3"/>
  <c r="E2163" i="3"/>
  <c r="G53" i="3"/>
  <c r="G224" i="3"/>
  <c r="G234" i="3"/>
  <c r="G245" i="3"/>
  <c r="G256" i="3"/>
  <c r="G266" i="3"/>
  <c r="G277" i="3"/>
  <c r="G288" i="3"/>
  <c r="G298" i="3"/>
  <c r="G309" i="3"/>
  <c r="G320" i="3"/>
  <c r="G330" i="3"/>
  <c r="G341" i="3"/>
  <c r="G352" i="3"/>
  <c r="G362" i="3"/>
  <c r="G373" i="3"/>
  <c r="G384" i="3"/>
  <c r="G394" i="3"/>
  <c r="G405" i="3"/>
  <c r="G416" i="3"/>
  <c r="G426" i="3"/>
  <c r="G437" i="3"/>
  <c r="G448" i="3"/>
  <c r="G2156" i="3"/>
  <c r="G2145" i="3"/>
  <c r="G2134" i="3"/>
  <c r="G2124" i="3"/>
  <c r="G2113" i="3"/>
  <c r="G2102" i="3"/>
  <c r="G2092" i="3"/>
  <c r="G2081" i="3"/>
  <c r="G2070" i="3"/>
  <c r="G2060" i="3"/>
  <c r="G2049" i="3"/>
  <c r="G2038" i="3"/>
  <c r="G2028" i="3"/>
  <c r="G2017" i="3"/>
  <c r="G2006" i="3"/>
  <c r="G1996" i="3"/>
  <c r="G1985" i="3"/>
  <c r="G1974" i="3"/>
  <c r="G1964" i="3"/>
  <c r="G1953" i="3"/>
  <c r="G1942" i="3"/>
  <c r="G1932" i="3"/>
  <c r="G1921" i="3"/>
  <c r="G1910" i="3"/>
  <c r="G1900" i="3"/>
  <c r="G1889" i="3"/>
  <c r="G1878" i="3"/>
  <c r="G1868" i="3"/>
  <c r="G1857" i="3"/>
  <c r="G1846" i="3"/>
  <c r="G1836" i="3"/>
  <c r="G1825" i="3"/>
  <c r="G1814" i="3"/>
  <c r="G1804" i="3"/>
  <c r="G1793" i="3"/>
  <c r="G1782" i="3"/>
  <c r="G1772" i="3"/>
  <c r="G1761" i="3"/>
  <c r="G1750" i="3"/>
  <c r="G1740" i="3"/>
  <c r="G1729" i="3"/>
  <c r="G1718" i="3"/>
  <c r="G1708" i="3"/>
  <c r="G1697" i="3"/>
  <c r="G1686" i="3"/>
  <c r="G1676" i="3"/>
  <c r="G1665" i="3"/>
  <c r="G1654" i="3"/>
  <c r="G1644" i="3"/>
  <c r="G1633" i="3"/>
  <c r="G1622" i="3"/>
  <c r="G1612" i="3"/>
  <c r="G1601" i="3"/>
  <c r="G1590" i="3"/>
  <c r="G1580" i="3"/>
  <c r="G1569" i="3"/>
  <c r="G1558" i="3"/>
  <c r="G1548" i="3"/>
  <c r="G1537" i="3"/>
  <c r="G1526" i="3"/>
  <c r="G1516" i="3"/>
  <c r="G1505" i="3"/>
  <c r="G1494" i="3"/>
  <c r="G1484" i="3"/>
  <c r="G1473" i="3"/>
  <c r="G1462" i="3"/>
  <c r="G1452" i="3"/>
  <c r="G1441" i="3"/>
  <c r="G1430" i="3"/>
  <c r="G1420" i="3"/>
  <c r="G1409" i="3"/>
  <c r="G1398" i="3"/>
  <c r="G1388" i="3"/>
  <c r="G1377" i="3"/>
  <c r="G1366" i="3"/>
  <c r="G1356" i="3"/>
  <c r="G1345" i="3"/>
  <c r="G1334" i="3"/>
  <c r="G1324" i="3"/>
  <c r="G1313" i="3"/>
  <c r="G1302" i="3"/>
  <c r="G1292" i="3"/>
  <c r="G1281" i="3"/>
  <c r="G1270" i="3"/>
  <c r="G1260" i="3"/>
  <c r="G1249" i="3"/>
  <c r="G1238" i="3"/>
  <c r="G1228" i="3"/>
  <c r="G1217" i="3"/>
  <c r="G1206" i="3"/>
  <c r="G1196" i="3"/>
  <c r="G1185" i="3"/>
  <c r="G1174" i="3"/>
  <c r="G1164" i="3"/>
  <c r="G1153" i="3"/>
  <c r="G1142" i="3"/>
  <c r="G1132" i="3"/>
  <c r="G1121" i="3"/>
  <c r="G1110" i="3"/>
  <c r="G1100" i="3"/>
  <c r="G1089" i="3"/>
  <c r="G1078" i="3"/>
  <c r="G1068" i="3"/>
  <c r="G1057" i="3"/>
  <c r="G1046" i="3"/>
  <c r="G1036" i="3"/>
  <c r="G1025" i="3"/>
  <c r="G1014" i="3"/>
  <c r="G1004" i="3"/>
  <c r="G993" i="3"/>
  <c r="G982" i="3"/>
  <c r="G972" i="3"/>
  <c r="G961" i="3"/>
  <c r="G950" i="3"/>
  <c r="G940" i="3"/>
  <c r="G929" i="3"/>
  <c r="G918" i="3"/>
  <c r="G908" i="3"/>
  <c r="G897" i="3"/>
  <c r="G886" i="3"/>
  <c r="G876" i="3"/>
  <c r="G865" i="3"/>
  <c r="G854" i="3"/>
  <c r="G844" i="3"/>
  <c r="G833" i="3"/>
  <c r="G822" i="3"/>
  <c r="G812" i="3"/>
  <c r="G801" i="3"/>
  <c r="G790" i="3"/>
  <c r="G780" i="3"/>
  <c r="G769" i="3"/>
  <c r="G758" i="3"/>
  <c r="G748" i="3"/>
  <c r="G737" i="3"/>
  <c r="G726" i="3"/>
  <c r="G716" i="3"/>
  <c r="G705" i="3"/>
  <c r="G694" i="3"/>
  <c r="G684" i="3"/>
  <c r="G673" i="3"/>
  <c r="G662" i="3"/>
  <c r="G652" i="3"/>
  <c r="G641" i="3"/>
  <c r="G630" i="3"/>
  <c r="G620" i="3"/>
  <c r="G609" i="3"/>
  <c r="G598" i="3"/>
  <c r="G588" i="3"/>
  <c r="G577" i="3"/>
  <c r="G566" i="3"/>
  <c r="G556" i="3"/>
  <c r="G545" i="3"/>
  <c r="G534" i="3"/>
  <c r="G524" i="3"/>
  <c r="G513" i="3"/>
  <c r="G502" i="3"/>
  <c r="G492" i="3"/>
  <c r="G481" i="3"/>
  <c r="G470" i="3"/>
  <c r="G460" i="3"/>
  <c r="G449" i="3"/>
  <c r="G433" i="3"/>
  <c r="G421" i="3"/>
  <c r="G406" i="3"/>
  <c r="G390" i="3"/>
  <c r="G378" i="3"/>
  <c r="G364" i="3"/>
  <c r="G348" i="3"/>
  <c r="G336" i="3"/>
  <c r="G321" i="3"/>
  <c r="G305" i="3"/>
  <c r="G293" i="3"/>
  <c r="G278" i="3"/>
  <c r="G262" i="3"/>
  <c r="G250" i="3"/>
  <c r="G236" i="3"/>
  <c r="G220" i="3"/>
  <c r="E2164" i="3"/>
  <c r="E2158" i="3"/>
  <c r="E2153" i="3"/>
  <c r="E2148" i="3"/>
  <c r="E2142" i="3"/>
  <c r="E2137" i="3"/>
  <c r="E2132" i="3"/>
  <c r="E2126" i="3"/>
  <c r="E2121" i="3"/>
  <c r="E2116" i="3"/>
  <c r="E2110" i="3"/>
  <c r="E2105" i="3"/>
  <c r="E2100" i="3"/>
  <c r="E2094" i="3"/>
  <c r="E2089" i="3"/>
  <c r="E2084" i="3"/>
  <c r="E2078" i="3"/>
  <c r="E2073" i="3"/>
  <c r="E2068" i="3"/>
  <c r="E2062" i="3"/>
  <c r="E2057" i="3"/>
  <c r="E2052" i="3"/>
  <c r="E2046" i="3"/>
  <c r="E2041" i="3"/>
  <c r="E2036" i="3"/>
  <c r="E2030" i="3"/>
  <c r="E2025" i="3"/>
  <c r="E2020" i="3"/>
  <c r="E2014" i="3"/>
  <c r="E2009" i="3"/>
  <c r="E2004" i="3"/>
  <c r="E1998" i="3"/>
  <c r="E1993" i="3"/>
  <c r="E1988" i="3"/>
  <c r="E1982" i="3"/>
  <c r="E1977" i="3"/>
  <c r="E1972" i="3"/>
  <c r="E1966" i="3"/>
  <c r="E1961" i="3"/>
  <c r="E1956" i="3"/>
  <c r="E1950" i="3"/>
  <c r="E1945" i="3"/>
  <c r="E1940" i="3"/>
  <c r="E1934" i="3"/>
  <c r="E1929" i="3"/>
  <c r="E1924" i="3"/>
  <c r="E1918" i="3"/>
  <c r="E1913" i="3"/>
  <c r="E1908" i="3"/>
  <c r="E1902" i="3"/>
  <c r="E1897" i="3"/>
  <c r="E1892" i="3"/>
  <c r="E1886" i="3"/>
  <c r="E1881" i="3"/>
  <c r="E1873" i="3"/>
  <c r="E1865" i="3"/>
  <c r="E1857" i="3"/>
  <c r="E1849" i="3"/>
  <c r="E1841" i="3"/>
  <c r="E1833" i="3"/>
  <c r="E1825" i="3"/>
  <c r="E1817" i="3"/>
  <c r="E1809" i="3"/>
  <c r="E1801" i="3"/>
  <c r="E1793" i="3"/>
  <c r="E1785" i="3"/>
  <c r="E1777" i="3"/>
  <c r="E1769" i="3"/>
  <c r="E1761" i="3"/>
  <c r="E1753" i="3"/>
  <c r="E1745" i="3"/>
  <c r="E1737" i="3"/>
  <c r="E1729" i="3"/>
  <c r="E1721" i="3"/>
  <c r="E1713" i="3"/>
  <c r="E1705" i="3"/>
  <c r="E1697" i="3"/>
  <c r="E1689" i="3"/>
  <c r="E1681" i="3"/>
  <c r="E1673" i="3"/>
  <c r="E1665" i="3"/>
  <c r="E1657" i="3"/>
  <c r="E1649" i="3"/>
  <c r="E1641" i="3"/>
  <c r="E1633" i="3"/>
  <c r="E1625" i="3"/>
  <c r="E1617" i="3"/>
  <c r="E1609" i="3"/>
  <c r="E1601" i="3"/>
  <c r="E1593" i="3"/>
  <c r="E1585" i="3"/>
  <c r="E1577" i="3"/>
  <c r="E1569" i="3"/>
  <c r="E1561" i="3"/>
  <c r="E1553" i="3"/>
  <c r="E1545" i="3"/>
  <c r="E1537" i="3"/>
  <c r="E1529" i="3"/>
  <c r="E1521" i="3"/>
  <c r="E1513" i="3"/>
  <c r="E1505" i="3"/>
  <c r="E1497" i="3"/>
  <c r="E1489" i="3"/>
  <c r="E1481" i="3"/>
  <c r="E1473" i="3"/>
  <c r="E1465" i="3"/>
  <c r="E1457" i="3"/>
  <c r="E1449" i="3"/>
  <c r="E1441" i="3"/>
  <c r="E1433" i="3"/>
  <c r="E1425" i="3"/>
  <c r="E1417" i="3"/>
  <c r="E1409" i="3"/>
  <c r="E1401" i="3"/>
  <c r="E1393" i="3"/>
  <c r="E1385" i="3"/>
  <c r="E1377" i="3"/>
  <c r="E1369" i="3"/>
  <c r="E1361" i="3"/>
  <c r="E1353" i="3"/>
  <c r="E1345" i="3"/>
  <c r="E1337" i="3"/>
  <c r="E1329" i="3"/>
  <c r="E1321" i="3"/>
  <c r="E1313" i="3"/>
  <c r="E1305" i="3"/>
  <c r="E1297" i="3"/>
  <c r="E1289" i="3"/>
  <c r="E1281" i="3"/>
  <c r="E1270" i="3"/>
  <c r="E1259" i="3"/>
  <c r="E1249" i="3"/>
  <c r="E1238" i="3"/>
  <c r="E1227" i="3"/>
  <c r="E1217" i="3"/>
  <c r="E1206" i="3"/>
  <c r="E1195" i="3"/>
  <c r="E1185" i="3"/>
  <c r="E1174" i="3"/>
  <c r="E1163" i="3"/>
  <c r="E1153" i="3"/>
  <c r="E1142" i="3"/>
  <c r="E1131" i="3"/>
  <c r="E1121" i="3"/>
  <c r="E1110" i="3"/>
  <c r="E1099" i="3"/>
  <c r="E1089" i="3"/>
  <c r="E1078" i="3"/>
  <c r="E1067" i="3"/>
  <c r="E1057" i="3"/>
  <c r="E1046" i="3"/>
  <c r="E1035" i="3"/>
  <c r="E1025" i="3"/>
  <c r="E1014" i="3"/>
  <c r="E1003" i="3"/>
  <c r="E993" i="3"/>
  <c r="E982" i="3"/>
  <c r="E971" i="3"/>
  <c r="E961" i="3"/>
  <c r="E950" i="3"/>
  <c r="E934" i="3"/>
  <c r="E918" i="3"/>
  <c r="E902" i="3"/>
  <c r="E886" i="3"/>
  <c r="E870" i="3"/>
  <c r="E854" i="3"/>
  <c r="E838" i="3"/>
  <c r="E822" i="3"/>
  <c r="E806" i="3"/>
  <c r="E790" i="3"/>
  <c r="E774" i="3"/>
  <c r="E758" i="3"/>
  <c r="E742" i="3"/>
  <c r="E726" i="3"/>
  <c r="E710" i="3"/>
  <c r="E691" i="3"/>
  <c r="E669" i="3"/>
  <c r="E648" i="3"/>
  <c r="E627" i="3"/>
  <c r="E605" i="3"/>
  <c r="E584" i="3"/>
  <c r="E563" i="3"/>
  <c r="E541" i="3"/>
  <c r="E520" i="3"/>
  <c r="E499" i="3"/>
  <c r="E477" i="3"/>
  <c r="E456" i="3"/>
  <c r="E435" i="3"/>
  <c r="E413" i="3"/>
  <c r="E392" i="3"/>
  <c r="E371" i="3"/>
  <c r="E349" i="3"/>
  <c r="E328" i="3"/>
  <c r="E307" i="3"/>
  <c r="E285" i="3"/>
  <c r="E256" i="3"/>
  <c r="E224" i="3"/>
  <c r="E192" i="3"/>
  <c r="G192" i="3" s="1"/>
  <c r="E160" i="3"/>
  <c r="G160" i="3" s="1"/>
  <c r="E128" i="3"/>
  <c r="G128" i="3" s="1"/>
  <c r="E96" i="3"/>
  <c r="G96" i="3" s="1"/>
  <c r="E64" i="3"/>
  <c r="G64" i="3" s="1"/>
  <c r="E32" i="3"/>
  <c r="G32" i="3" s="1"/>
  <c r="F2158" i="3"/>
  <c r="F2126" i="3"/>
  <c r="F2086" i="3"/>
  <c r="F2044" i="3"/>
  <c r="F2001" i="3"/>
  <c r="F1958" i="3"/>
  <c r="F1916" i="3"/>
  <c r="F1873" i="3"/>
  <c r="F1830" i="3"/>
  <c r="F1788" i="3"/>
  <c r="F1745" i="3"/>
  <c r="F1681" i="3"/>
  <c r="F1617" i="3"/>
  <c r="F1553" i="3"/>
  <c r="F1489" i="3"/>
  <c r="F1409" i="3"/>
  <c r="F1324" i="3"/>
  <c r="F1239" i="3"/>
  <c r="F1107" i="3"/>
  <c r="F922" i="3"/>
  <c r="F613" i="3"/>
  <c r="G1098" i="3"/>
  <c r="G1088" i="3"/>
  <c r="G1077" i="3"/>
  <c r="G1066" i="3"/>
  <c r="G1056" i="3"/>
  <c r="G1045" i="3"/>
  <c r="G1034" i="3"/>
  <c r="G1024" i="3"/>
  <c r="G1013" i="3"/>
  <c r="G1002" i="3"/>
  <c r="G992" i="3"/>
  <c r="G981" i="3"/>
  <c r="G970" i="3"/>
  <c r="G960" i="3"/>
  <c r="G949" i="3"/>
  <c r="G938" i="3"/>
  <c r="G928" i="3"/>
  <c r="G917" i="3"/>
  <c r="G906" i="3"/>
  <c r="G896" i="3"/>
  <c r="G885" i="3"/>
  <c r="G874" i="3"/>
  <c r="G864" i="3"/>
  <c r="G853" i="3"/>
  <c r="G842" i="3"/>
  <c r="G832" i="3"/>
  <c r="G821" i="3"/>
  <c r="G810" i="3"/>
  <c r="G800" i="3"/>
  <c r="G789" i="3"/>
  <c r="G778" i="3"/>
  <c r="G768" i="3"/>
  <c r="G757" i="3"/>
  <c r="G746" i="3"/>
  <c r="G736" i="3"/>
  <c r="G725" i="3"/>
  <c r="G714" i="3"/>
  <c r="G704" i="3"/>
  <c r="G693" i="3"/>
  <c r="G682" i="3"/>
  <c r="G672" i="3"/>
  <c r="G661" i="3"/>
  <c r="G650" i="3"/>
  <c r="G640" i="3"/>
  <c r="G629" i="3"/>
  <c r="G618" i="3"/>
  <c r="G608" i="3"/>
  <c r="G597" i="3"/>
  <c r="G586" i="3"/>
  <c r="G576" i="3"/>
  <c r="G565" i="3"/>
  <c r="G554" i="3"/>
  <c r="G544" i="3"/>
  <c r="G533" i="3"/>
  <c r="G522" i="3"/>
  <c r="G512" i="3"/>
  <c r="G501" i="3"/>
  <c r="G490" i="3"/>
  <c r="G480" i="3"/>
  <c r="G469" i="3"/>
  <c r="G458" i="3"/>
  <c r="G444" i="3"/>
  <c r="G432" i="3"/>
  <c r="G417" i="3"/>
  <c r="G401" i="3"/>
  <c r="G389" i="3"/>
  <c r="G374" i="3"/>
  <c r="G358" i="3"/>
  <c r="G346" i="3"/>
  <c r="G332" i="3"/>
  <c r="G316" i="3"/>
  <c r="G304" i="3"/>
  <c r="G289" i="3"/>
  <c r="G273" i="3"/>
  <c r="G261" i="3"/>
  <c r="G246" i="3"/>
  <c r="G230" i="3"/>
  <c r="E2162" i="3"/>
  <c r="E2157" i="3"/>
  <c r="E2152" i="3"/>
  <c r="E2146" i="3"/>
  <c r="E2141" i="3"/>
  <c r="E2136" i="3"/>
  <c r="E2130" i="3"/>
  <c r="E2125" i="3"/>
  <c r="E2120" i="3"/>
  <c r="E2114" i="3"/>
  <c r="E2109" i="3"/>
  <c r="E2104" i="3"/>
  <c r="E2098" i="3"/>
  <c r="E2093" i="3"/>
  <c r="E2088" i="3"/>
  <c r="E2082" i="3"/>
  <c r="E2077" i="3"/>
  <c r="E2072" i="3"/>
  <c r="E2066" i="3"/>
  <c r="E2061" i="3"/>
  <c r="E2056" i="3"/>
  <c r="E2050" i="3"/>
  <c r="E2045" i="3"/>
  <c r="E2040" i="3"/>
  <c r="E2034" i="3"/>
  <c r="E2029" i="3"/>
  <c r="E2024" i="3"/>
  <c r="E2018" i="3"/>
  <c r="E2013" i="3"/>
  <c r="E2008" i="3"/>
  <c r="E2002" i="3"/>
  <c r="E1997" i="3"/>
  <c r="E1992" i="3"/>
  <c r="E1986" i="3"/>
  <c r="E1981" i="3"/>
  <c r="E1976" i="3"/>
  <c r="E1970" i="3"/>
  <c r="E1965" i="3"/>
  <c r="E1960" i="3"/>
  <c r="E1954" i="3"/>
  <c r="E1949" i="3"/>
  <c r="E1944" i="3"/>
  <c r="E1938" i="3"/>
  <c r="E1933" i="3"/>
  <c r="E1928" i="3"/>
  <c r="E1922" i="3"/>
  <c r="E1917" i="3"/>
  <c r="E1912" i="3"/>
  <c r="E1906" i="3"/>
  <c r="E1901" i="3"/>
  <c r="E1896" i="3"/>
  <c r="E1890" i="3"/>
  <c r="E1885" i="3"/>
  <c r="E1880" i="3"/>
  <c r="E1872" i="3"/>
  <c r="E1864" i="3"/>
  <c r="E1856" i="3"/>
  <c r="E1848" i="3"/>
  <c r="E1840" i="3"/>
  <c r="E1832" i="3"/>
  <c r="E1824" i="3"/>
  <c r="E1816" i="3"/>
  <c r="E1808" i="3"/>
  <c r="E1800" i="3"/>
  <c r="E1792" i="3"/>
  <c r="E1784" i="3"/>
  <c r="E1776" i="3"/>
  <c r="E1768" i="3"/>
  <c r="E1760" i="3"/>
  <c r="E1752" i="3"/>
  <c r="E1744" i="3"/>
  <c r="E1736" i="3"/>
  <c r="E1728" i="3"/>
  <c r="E1720" i="3"/>
  <c r="E1712" i="3"/>
  <c r="E1704" i="3"/>
  <c r="E1696" i="3"/>
  <c r="E1688" i="3"/>
  <c r="E1680" i="3"/>
  <c r="E1672" i="3"/>
  <c r="E1664" i="3"/>
  <c r="E1656" i="3"/>
  <c r="E1648" i="3"/>
  <c r="E1640" i="3"/>
  <c r="E1632" i="3"/>
  <c r="E1624" i="3"/>
  <c r="E1616" i="3"/>
  <c r="E1608" i="3"/>
  <c r="E1600" i="3"/>
  <c r="E1592" i="3"/>
  <c r="E1584" i="3"/>
  <c r="E1576" i="3"/>
  <c r="E1568" i="3"/>
  <c r="E1560" i="3"/>
  <c r="E1552" i="3"/>
  <c r="E1544" i="3"/>
  <c r="E1536" i="3"/>
  <c r="E1528" i="3"/>
  <c r="E1520" i="3"/>
  <c r="E1512" i="3"/>
  <c r="E1504" i="3"/>
  <c r="E1496" i="3"/>
  <c r="E1488" i="3"/>
  <c r="E1480" i="3"/>
  <c r="E1472" i="3"/>
  <c r="E1464" i="3"/>
  <c r="E1456" i="3"/>
  <c r="E1448" i="3"/>
  <c r="E1440" i="3"/>
  <c r="E1432" i="3"/>
  <c r="E1424" i="3"/>
  <c r="E1416" i="3"/>
  <c r="E1408" i="3"/>
  <c r="E1400" i="3"/>
  <c r="E1392" i="3"/>
  <c r="E1384" i="3"/>
  <c r="E1376" i="3"/>
  <c r="E1368" i="3"/>
  <c r="E1360" i="3"/>
  <c r="E1352" i="3"/>
  <c r="E1344" i="3"/>
  <c r="E1336" i="3"/>
  <c r="E1328" i="3"/>
  <c r="E1320" i="3"/>
  <c r="E1312" i="3"/>
  <c r="E1304" i="3"/>
  <c r="E1296" i="3"/>
  <c r="E1288" i="3"/>
  <c r="E1279" i="3"/>
  <c r="E1269" i="3"/>
  <c r="E1258" i="3"/>
  <c r="E1247" i="3"/>
  <c r="E1237" i="3"/>
  <c r="E1226" i="3"/>
  <c r="E1215" i="3"/>
  <c r="E1205" i="3"/>
  <c r="E1194" i="3"/>
  <c r="E1183" i="3"/>
  <c r="E1173" i="3"/>
  <c r="E1162" i="3"/>
  <c r="E1151" i="3"/>
  <c r="E1141" i="3"/>
  <c r="E1130" i="3"/>
  <c r="E1119" i="3"/>
  <c r="E1109" i="3"/>
  <c r="E1098" i="3"/>
  <c r="E1087" i="3"/>
  <c r="E1077" i="3"/>
  <c r="E1066" i="3"/>
  <c r="E1055" i="3"/>
  <c r="E1045" i="3"/>
  <c r="E1034" i="3"/>
  <c r="E1023" i="3"/>
  <c r="E1013" i="3"/>
  <c r="E1002" i="3"/>
  <c r="E991" i="3"/>
  <c r="E981" i="3"/>
  <c r="E970" i="3"/>
  <c r="E959" i="3"/>
  <c r="E949" i="3"/>
  <c r="E933" i="3"/>
  <c r="E917" i="3"/>
  <c r="E901" i="3"/>
  <c r="E885" i="3"/>
  <c r="E869" i="3"/>
  <c r="E853" i="3"/>
  <c r="E837" i="3"/>
  <c r="E821" i="3"/>
  <c r="E805" i="3"/>
  <c r="E789" i="3"/>
  <c r="E773" i="3"/>
  <c r="E757" i="3"/>
  <c r="E741" i="3"/>
  <c r="E725" i="3"/>
  <c r="E709" i="3"/>
  <c r="E689" i="3"/>
  <c r="E668" i="3"/>
  <c r="E647" i="3"/>
  <c r="E625" i="3"/>
  <c r="E604" i="3"/>
  <c r="E583" i="3"/>
  <c r="E561" i="3"/>
  <c r="E540" i="3"/>
  <c r="E519" i="3"/>
  <c r="E497" i="3"/>
  <c r="E476" i="3"/>
  <c r="E455" i="3"/>
  <c r="E433" i="3"/>
  <c r="E412" i="3"/>
  <c r="E391" i="3"/>
  <c r="E369" i="3"/>
  <c r="E348" i="3"/>
  <c r="E327" i="3"/>
  <c r="E305" i="3"/>
  <c r="E284" i="3"/>
  <c r="E253" i="3"/>
  <c r="E221" i="3"/>
  <c r="E189" i="3"/>
  <c r="G189" i="3" s="1"/>
  <c r="E157" i="3"/>
  <c r="G157" i="3" s="1"/>
  <c r="E125" i="3"/>
  <c r="E93" i="3"/>
  <c r="G93" i="3" s="1"/>
  <c r="E61" i="3"/>
  <c r="G61" i="3" s="1"/>
  <c r="E29" i="3"/>
  <c r="G29" i="3" s="1"/>
  <c r="F2155" i="3"/>
  <c r="F2123" i="3"/>
  <c r="F2082" i="3"/>
  <c r="F2040" i="3"/>
  <c r="F1997" i="3"/>
  <c r="F1954" i="3"/>
  <c r="F1912" i="3"/>
  <c r="F1869" i="3"/>
  <c r="F1826" i="3"/>
  <c r="F1784" i="3"/>
  <c r="F1738" i="3"/>
  <c r="F1674" i="3"/>
  <c r="F1610" i="3"/>
  <c r="F1546" i="3"/>
  <c r="F1482" i="3"/>
  <c r="F1400" i="3"/>
  <c r="F1315" i="3"/>
  <c r="F1229" i="3"/>
  <c r="F1087" i="3"/>
  <c r="F893" i="3"/>
  <c r="F556" i="3"/>
  <c r="G223" i="3"/>
  <c r="G227" i="3"/>
  <c r="G231" i="3"/>
  <c r="G235" i="3"/>
  <c r="G239" i="3"/>
  <c r="G243" i="3"/>
  <c r="G247" i="3"/>
  <c r="G251" i="3"/>
  <c r="G255" i="3"/>
  <c r="G259" i="3"/>
  <c r="G263" i="3"/>
  <c r="G267" i="3"/>
  <c r="G271" i="3"/>
  <c r="G275" i="3"/>
  <c r="G279" i="3"/>
  <c r="G283" i="3"/>
  <c r="G287" i="3"/>
  <c r="G291" i="3"/>
  <c r="G295" i="3"/>
  <c r="G299" i="3"/>
  <c r="G303" i="3"/>
  <c r="G307" i="3"/>
  <c r="G311" i="3"/>
  <c r="G315" i="3"/>
  <c r="G319" i="3"/>
  <c r="G323" i="3"/>
  <c r="G327" i="3"/>
  <c r="G331" i="3"/>
  <c r="G335" i="3"/>
  <c r="G339" i="3"/>
  <c r="G343" i="3"/>
  <c r="G347" i="3"/>
  <c r="G351" i="3"/>
  <c r="G355" i="3"/>
  <c r="G359" i="3"/>
  <c r="G363" i="3"/>
  <c r="G367" i="3"/>
  <c r="G371" i="3"/>
  <c r="G375" i="3"/>
  <c r="G379" i="3"/>
  <c r="G383" i="3"/>
  <c r="G387" i="3"/>
  <c r="G391" i="3"/>
  <c r="G395" i="3"/>
  <c r="G399" i="3"/>
  <c r="G403" i="3"/>
  <c r="G407" i="3"/>
  <c r="G411" i="3"/>
  <c r="G415" i="3"/>
  <c r="G419" i="3"/>
  <c r="G423" i="3"/>
  <c r="G427" i="3"/>
  <c r="G431" i="3"/>
  <c r="G435" i="3"/>
  <c r="G439" i="3"/>
  <c r="G443" i="3"/>
  <c r="G447" i="3"/>
  <c r="G451" i="3"/>
  <c r="G455" i="3"/>
  <c r="G459" i="3"/>
  <c r="G463" i="3"/>
  <c r="G467" i="3"/>
  <c r="G471" i="3"/>
  <c r="G475" i="3"/>
  <c r="G479" i="3"/>
  <c r="G483" i="3"/>
  <c r="G487" i="3"/>
  <c r="G491" i="3"/>
  <c r="G495" i="3"/>
  <c r="G499" i="3"/>
  <c r="G503" i="3"/>
  <c r="G507" i="3"/>
  <c r="G511" i="3"/>
  <c r="G515" i="3"/>
  <c r="G519" i="3"/>
  <c r="G523" i="3"/>
  <c r="G527" i="3"/>
  <c r="G531" i="3"/>
  <c r="G535" i="3"/>
  <c r="G539" i="3"/>
  <c r="G543" i="3"/>
  <c r="G547" i="3"/>
  <c r="G551" i="3"/>
  <c r="G555" i="3"/>
  <c r="G559" i="3"/>
  <c r="G563" i="3"/>
  <c r="G567" i="3"/>
  <c r="G571" i="3"/>
  <c r="G575" i="3"/>
  <c r="G579" i="3"/>
  <c r="G583" i="3"/>
  <c r="G587" i="3"/>
  <c r="G591" i="3"/>
  <c r="G595" i="3"/>
  <c r="G599" i="3"/>
  <c r="G603" i="3"/>
  <c r="G607" i="3"/>
  <c r="G611" i="3"/>
  <c r="G615" i="3"/>
  <c r="G619" i="3"/>
  <c r="G623" i="3"/>
  <c r="G627" i="3"/>
  <c r="G631" i="3"/>
  <c r="G635" i="3"/>
  <c r="G639" i="3"/>
  <c r="G643" i="3"/>
  <c r="G647" i="3"/>
  <c r="G651" i="3"/>
  <c r="G655" i="3"/>
  <c r="G659" i="3"/>
  <c r="G663" i="3"/>
  <c r="G667" i="3"/>
  <c r="G671" i="3"/>
  <c r="G675" i="3"/>
  <c r="G679" i="3"/>
  <c r="G683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G943" i="3"/>
  <c r="G947" i="3"/>
  <c r="G951" i="3"/>
  <c r="G955" i="3"/>
  <c r="G959" i="3"/>
  <c r="G963" i="3"/>
  <c r="G967" i="3"/>
  <c r="G971" i="3"/>
  <c r="G975" i="3"/>
  <c r="G979" i="3"/>
  <c r="G983" i="3"/>
  <c r="G987" i="3"/>
  <c r="G991" i="3"/>
  <c r="G995" i="3"/>
  <c r="G999" i="3"/>
  <c r="G1003" i="3"/>
  <c r="G1007" i="3"/>
  <c r="G1011" i="3"/>
  <c r="G1015" i="3"/>
  <c r="G1019" i="3"/>
  <c r="G1023" i="3"/>
  <c r="G1027" i="3"/>
  <c r="G1031" i="3"/>
  <c r="G1035" i="3"/>
  <c r="G1039" i="3"/>
  <c r="G1043" i="3"/>
  <c r="G1047" i="3"/>
  <c r="G1051" i="3"/>
  <c r="G1055" i="3"/>
  <c r="G1059" i="3"/>
  <c r="G1063" i="3"/>
  <c r="G1067" i="3"/>
  <c r="G1071" i="3"/>
  <c r="G1075" i="3"/>
  <c r="G1079" i="3"/>
  <c r="G1083" i="3"/>
  <c r="G1087" i="3"/>
  <c r="G1091" i="3"/>
  <c r="G1095" i="3"/>
  <c r="G1099" i="3"/>
  <c r="G1103" i="3"/>
  <c r="G1107" i="3"/>
  <c r="G1111" i="3"/>
  <c r="G1115" i="3"/>
  <c r="G1119" i="3"/>
  <c r="G1123" i="3"/>
  <c r="G1127" i="3"/>
  <c r="G1131" i="3"/>
  <c r="G1135" i="3"/>
  <c r="G1139" i="3"/>
  <c r="G1143" i="3"/>
  <c r="G1147" i="3"/>
  <c r="G1151" i="3"/>
  <c r="G1155" i="3"/>
  <c r="G1159" i="3"/>
  <c r="G1163" i="3"/>
  <c r="G1167" i="3"/>
  <c r="G1171" i="3"/>
  <c r="G1175" i="3"/>
  <c r="G1179" i="3"/>
  <c r="G1183" i="3"/>
  <c r="G1187" i="3"/>
  <c r="G1191" i="3"/>
  <c r="G1195" i="3"/>
  <c r="G1199" i="3"/>
  <c r="G1203" i="3"/>
  <c r="G1207" i="3"/>
  <c r="G1211" i="3"/>
  <c r="G1215" i="3"/>
  <c r="G1219" i="3"/>
  <c r="G1223" i="3"/>
  <c r="G1227" i="3"/>
  <c r="G1231" i="3"/>
  <c r="G1235" i="3"/>
  <c r="G1239" i="3"/>
  <c r="G1243" i="3"/>
  <c r="G1247" i="3"/>
  <c r="G1251" i="3"/>
  <c r="G1255" i="3"/>
  <c r="G1259" i="3"/>
  <c r="G1263" i="3"/>
  <c r="G1267" i="3"/>
  <c r="G1271" i="3"/>
  <c r="G1275" i="3"/>
  <c r="G1279" i="3"/>
  <c r="G1283" i="3"/>
  <c r="G1287" i="3"/>
  <c r="G1291" i="3"/>
  <c r="G1295" i="3"/>
  <c r="G1299" i="3"/>
  <c r="G1303" i="3"/>
  <c r="G1307" i="3"/>
  <c r="G1311" i="3"/>
  <c r="G1315" i="3"/>
  <c r="G1319" i="3"/>
  <c r="G1323" i="3"/>
  <c r="G1327" i="3"/>
  <c r="G1331" i="3"/>
  <c r="G1335" i="3"/>
  <c r="G1339" i="3"/>
  <c r="G1343" i="3"/>
  <c r="G1347" i="3"/>
  <c r="G1351" i="3"/>
  <c r="G1355" i="3"/>
  <c r="G1359" i="3"/>
  <c r="G1363" i="3"/>
  <c r="G1367" i="3"/>
  <c r="G1371" i="3"/>
  <c r="G1375" i="3"/>
  <c r="G1379" i="3"/>
  <c r="G1383" i="3"/>
  <c r="G1387" i="3"/>
  <c r="G1391" i="3"/>
  <c r="G1395" i="3"/>
  <c r="G1399" i="3"/>
  <c r="G1403" i="3"/>
  <c r="G1407" i="3"/>
  <c r="G1411" i="3"/>
  <c r="G1415" i="3"/>
  <c r="G1419" i="3"/>
  <c r="G1423" i="3"/>
  <c r="G1427" i="3"/>
  <c r="G1431" i="3"/>
  <c r="G1435" i="3"/>
  <c r="G1439" i="3"/>
  <c r="G1443" i="3"/>
  <c r="G1447" i="3"/>
  <c r="G1451" i="3"/>
  <c r="G1455" i="3"/>
  <c r="G1459" i="3"/>
  <c r="G1463" i="3"/>
  <c r="G1467" i="3"/>
  <c r="G1471" i="3"/>
  <c r="G1475" i="3"/>
  <c r="G1479" i="3"/>
  <c r="G1483" i="3"/>
  <c r="G1487" i="3"/>
  <c r="G1491" i="3"/>
  <c r="G1495" i="3"/>
  <c r="G1499" i="3"/>
  <c r="G1503" i="3"/>
  <c r="G1507" i="3"/>
  <c r="G1511" i="3"/>
  <c r="G1515" i="3"/>
  <c r="G1519" i="3"/>
  <c r="G1523" i="3"/>
  <c r="G1527" i="3"/>
  <c r="G1531" i="3"/>
  <c r="G1535" i="3"/>
  <c r="G1539" i="3"/>
  <c r="G1543" i="3"/>
  <c r="G1547" i="3"/>
  <c r="G1551" i="3"/>
  <c r="G1555" i="3"/>
  <c r="G1559" i="3"/>
  <c r="G1563" i="3"/>
  <c r="G1567" i="3"/>
  <c r="G1571" i="3"/>
  <c r="G1575" i="3"/>
  <c r="G1579" i="3"/>
  <c r="G1583" i="3"/>
  <c r="G1587" i="3"/>
  <c r="G1591" i="3"/>
  <c r="G1595" i="3"/>
  <c r="G1599" i="3"/>
  <c r="G1603" i="3"/>
  <c r="G1607" i="3"/>
  <c r="G1611" i="3"/>
  <c r="G1615" i="3"/>
  <c r="G1619" i="3"/>
  <c r="G1623" i="3"/>
  <c r="G1627" i="3"/>
  <c r="G1631" i="3"/>
  <c r="G1635" i="3"/>
  <c r="G1639" i="3"/>
  <c r="G1643" i="3"/>
  <c r="G1647" i="3"/>
  <c r="G1651" i="3"/>
  <c r="G1655" i="3"/>
  <c r="G1659" i="3"/>
  <c r="G1663" i="3"/>
  <c r="G1667" i="3"/>
  <c r="G1671" i="3"/>
  <c r="G1675" i="3"/>
  <c r="G1679" i="3"/>
  <c r="G1683" i="3"/>
  <c r="G1687" i="3"/>
  <c r="G1691" i="3"/>
  <c r="G1695" i="3"/>
  <c r="G1699" i="3"/>
  <c r="G1703" i="3"/>
  <c r="G1707" i="3"/>
  <c r="G1711" i="3"/>
  <c r="G1715" i="3"/>
  <c r="G1719" i="3"/>
  <c r="G1723" i="3"/>
  <c r="G1727" i="3"/>
  <c r="G1731" i="3"/>
  <c r="G1735" i="3"/>
  <c r="G1739" i="3"/>
  <c r="G1743" i="3"/>
  <c r="G1747" i="3"/>
  <c r="G1751" i="3"/>
  <c r="G1755" i="3"/>
  <c r="G1759" i="3"/>
  <c r="G1763" i="3"/>
  <c r="G1767" i="3"/>
  <c r="G1771" i="3"/>
  <c r="G1775" i="3"/>
  <c r="G1779" i="3"/>
  <c r="G1783" i="3"/>
  <c r="G1787" i="3"/>
  <c r="G1791" i="3"/>
  <c r="G1795" i="3"/>
  <c r="G1799" i="3"/>
  <c r="G1803" i="3"/>
  <c r="G1807" i="3"/>
  <c r="G1811" i="3"/>
  <c r="G1815" i="3"/>
  <c r="G1819" i="3"/>
  <c r="G1823" i="3"/>
  <c r="G1827" i="3"/>
  <c r="G1831" i="3"/>
  <c r="G1835" i="3"/>
  <c r="G1839" i="3"/>
  <c r="G1843" i="3"/>
  <c r="G1847" i="3"/>
  <c r="G1851" i="3"/>
  <c r="G1855" i="3"/>
  <c r="G1859" i="3"/>
  <c r="G1863" i="3"/>
  <c r="G1867" i="3"/>
  <c r="G1871" i="3"/>
  <c r="G1875" i="3"/>
  <c r="G1879" i="3"/>
  <c r="G1883" i="3"/>
  <c r="G1887" i="3"/>
  <c r="G1891" i="3"/>
  <c r="G1895" i="3"/>
  <c r="G1899" i="3"/>
  <c r="G1903" i="3"/>
  <c r="G1907" i="3"/>
  <c r="G1911" i="3"/>
  <c r="G1915" i="3"/>
  <c r="G1919" i="3"/>
  <c r="G1923" i="3"/>
  <c r="G1927" i="3"/>
  <c r="G1931" i="3"/>
  <c r="G1935" i="3"/>
  <c r="G1939" i="3"/>
  <c r="G1943" i="3"/>
  <c r="G1947" i="3"/>
  <c r="G1951" i="3"/>
  <c r="G1955" i="3"/>
  <c r="G1959" i="3"/>
  <c r="G1963" i="3"/>
  <c r="G1967" i="3"/>
  <c r="G1971" i="3"/>
  <c r="G1975" i="3"/>
  <c r="G1979" i="3"/>
  <c r="G1983" i="3"/>
  <c r="G1987" i="3"/>
  <c r="G1991" i="3"/>
  <c r="G1995" i="3"/>
  <c r="G1999" i="3"/>
  <c r="G2003" i="3"/>
  <c r="G2007" i="3"/>
  <c r="G2011" i="3"/>
  <c r="G2015" i="3"/>
  <c r="G2019" i="3"/>
  <c r="G2023" i="3"/>
  <c r="G2027" i="3"/>
  <c r="G2031" i="3"/>
  <c r="G2035" i="3"/>
  <c r="G2039" i="3"/>
  <c r="G2043" i="3"/>
  <c r="G2047" i="3"/>
  <c r="G2051" i="3"/>
  <c r="G2055" i="3"/>
  <c r="G2059" i="3"/>
  <c r="G2063" i="3"/>
  <c r="G2067" i="3"/>
  <c r="G2071" i="3"/>
  <c r="G2075" i="3"/>
  <c r="G2079" i="3"/>
  <c r="G2083" i="3"/>
  <c r="G2087" i="3"/>
  <c r="G2091" i="3"/>
  <c r="G2095" i="3"/>
  <c r="G2099" i="3"/>
  <c r="G2103" i="3"/>
  <c r="G2107" i="3"/>
  <c r="G2111" i="3"/>
  <c r="G2115" i="3"/>
  <c r="G2119" i="3"/>
  <c r="G2123" i="3"/>
  <c r="G2127" i="3"/>
  <c r="G2131" i="3"/>
  <c r="G2135" i="3"/>
  <c r="G2139" i="3"/>
  <c r="G2143" i="3"/>
  <c r="G2147" i="3"/>
  <c r="G2151" i="3"/>
  <c r="G2155" i="3"/>
  <c r="G2159" i="3"/>
  <c r="G2163" i="3"/>
  <c r="G216" i="3"/>
  <c r="G2164" i="3"/>
  <c r="G2158" i="3"/>
  <c r="G2153" i="3"/>
  <c r="G2148" i="3"/>
  <c r="G2142" i="3"/>
  <c r="G2137" i="3"/>
  <c r="G2132" i="3"/>
  <c r="G2126" i="3"/>
  <c r="G2121" i="3"/>
  <c r="G2116" i="3"/>
  <c r="G2110" i="3"/>
  <c r="G2105" i="3"/>
  <c r="G2100" i="3"/>
  <c r="G2094" i="3"/>
  <c r="G2089" i="3"/>
  <c r="G2084" i="3"/>
  <c r="G2078" i="3"/>
  <c r="G2073" i="3"/>
  <c r="G2068" i="3"/>
  <c r="G2062" i="3"/>
  <c r="G2057" i="3"/>
  <c r="G2052" i="3"/>
  <c r="G2046" i="3"/>
  <c r="G2041" i="3"/>
  <c r="G2036" i="3"/>
  <c r="G2030" i="3"/>
  <c r="G2025" i="3"/>
  <c r="G2020" i="3"/>
  <c r="G2014" i="3"/>
  <c r="G2009" i="3"/>
  <c r="G2004" i="3"/>
  <c r="G1998" i="3"/>
  <c r="G1993" i="3"/>
  <c r="G1988" i="3"/>
  <c r="G1982" i="3"/>
  <c r="G1977" i="3"/>
  <c r="G1972" i="3"/>
  <c r="G1966" i="3"/>
  <c r="G1961" i="3"/>
  <c r="G1956" i="3"/>
  <c r="G1950" i="3"/>
  <c r="G1945" i="3"/>
  <c r="G1940" i="3"/>
  <c r="G1934" i="3"/>
  <c r="G1929" i="3"/>
  <c r="G1924" i="3"/>
  <c r="G1918" i="3"/>
  <c r="G1913" i="3"/>
  <c r="G1908" i="3"/>
  <c r="G1902" i="3"/>
  <c r="G1897" i="3"/>
  <c r="G1892" i="3"/>
  <c r="G1886" i="3"/>
  <c r="G1881" i="3"/>
  <c r="G1876" i="3"/>
  <c r="G1870" i="3"/>
  <c r="G1865" i="3"/>
  <c r="G1860" i="3"/>
  <c r="G1854" i="3"/>
  <c r="G1849" i="3"/>
  <c r="G1844" i="3"/>
  <c r="G1838" i="3"/>
  <c r="G1833" i="3"/>
  <c r="G1828" i="3"/>
  <c r="G1822" i="3"/>
  <c r="G1817" i="3"/>
  <c r="G1812" i="3"/>
  <c r="G1806" i="3"/>
  <c r="G1801" i="3"/>
  <c r="G1796" i="3"/>
  <c r="G1790" i="3"/>
  <c r="G1785" i="3"/>
  <c r="G1780" i="3"/>
  <c r="G1774" i="3"/>
  <c r="G1769" i="3"/>
  <c r="G1764" i="3"/>
  <c r="G1758" i="3"/>
  <c r="G1753" i="3"/>
  <c r="G1748" i="3"/>
  <c r="G1742" i="3"/>
  <c r="G1737" i="3"/>
  <c r="G1732" i="3"/>
  <c r="G1726" i="3"/>
  <c r="G1721" i="3"/>
  <c r="G1716" i="3"/>
  <c r="G1710" i="3"/>
  <c r="G1705" i="3"/>
  <c r="G1700" i="3"/>
  <c r="G1694" i="3"/>
  <c r="G1689" i="3"/>
  <c r="G1684" i="3"/>
  <c r="G1678" i="3"/>
  <c r="G1673" i="3"/>
  <c r="G1668" i="3"/>
  <c r="G1662" i="3"/>
  <c r="G1657" i="3"/>
  <c r="G1652" i="3"/>
  <c r="G1646" i="3"/>
  <c r="G1641" i="3"/>
  <c r="G1636" i="3"/>
  <c r="G1630" i="3"/>
  <c r="G1625" i="3"/>
  <c r="G1620" i="3"/>
  <c r="G1614" i="3"/>
  <c r="G1609" i="3"/>
  <c r="G1604" i="3"/>
  <c r="G1598" i="3"/>
  <c r="G1593" i="3"/>
  <c r="G1588" i="3"/>
  <c r="G1582" i="3"/>
  <c r="G1577" i="3"/>
  <c r="G1572" i="3"/>
  <c r="G1566" i="3"/>
  <c r="G1561" i="3"/>
  <c r="G1556" i="3"/>
  <c r="G1550" i="3"/>
  <c r="G1545" i="3"/>
  <c r="G1540" i="3"/>
  <c r="G1534" i="3"/>
  <c r="G1529" i="3"/>
  <c r="G1524" i="3"/>
  <c r="G1518" i="3"/>
  <c r="G1513" i="3"/>
  <c r="G1508" i="3"/>
  <c r="G1502" i="3"/>
  <c r="G1497" i="3"/>
  <c r="G1492" i="3"/>
  <c r="G1486" i="3"/>
  <c r="G1481" i="3"/>
  <c r="G1476" i="3"/>
  <c r="G1470" i="3"/>
  <c r="G1465" i="3"/>
  <c r="G1460" i="3"/>
  <c r="G1454" i="3"/>
  <c r="G1449" i="3"/>
  <c r="G1444" i="3"/>
  <c r="G1438" i="3"/>
  <c r="G1433" i="3"/>
  <c r="G1428" i="3"/>
  <c r="G1422" i="3"/>
  <c r="G1417" i="3"/>
  <c r="G1412" i="3"/>
  <c r="G1406" i="3"/>
  <c r="G1401" i="3"/>
  <c r="G1396" i="3"/>
  <c r="G1390" i="3"/>
  <c r="G1385" i="3"/>
  <c r="G1380" i="3"/>
  <c r="G1374" i="3"/>
  <c r="G1369" i="3"/>
  <c r="G1364" i="3"/>
  <c r="G1358" i="3"/>
  <c r="G1353" i="3"/>
  <c r="G1348" i="3"/>
  <c r="G1342" i="3"/>
  <c r="G1337" i="3"/>
  <c r="G1332" i="3"/>
  <c r="G1326" i="3"/>
  <c r="G1321" i="3"/>
  <c r="G1316" i="3"/>
  <c r="G1310" i="3"/>
  <c r="G1305" i="3"/>
  <c r="G1300" i="3"/>
  <c r="G1294" i="3"/>
  <c r="G1289" i="3"/>
  <c r="G1284" i="3"/>
  <c r="G1278" i="3"/>
  <c r="G1273" i="3"/>
  <c r="G1268" i="3"/>
  <c r="G1262" i="3"/>
  <c r="G1257" i="3"/>
  <c r="G1252" i="3"/>
  <c r="G1246" i="3"/>
  <c r="G1241" i="3"/>
  <c r="G1236" i="3"/>
  <c r="G1230" i="3"/>
  <c r="G1225" i="3"/>
  <c r="G1220" i="3"/>
  <c r="G1214" i="3"/>
  <c r="G1209" i="3"/>
  <c r="G1204" i="3"/>
  <c r="G1198" i="3"/>
  <c r="G1193" i="3"/>
  <c r="G1188" i="3"/>
  <c r="G1182" i="3"/>
  <c r="G1177" i="3"/>
  <c r="G1172" i="3"/>
  <c r="G1166" i="3"/>
  <c r="G1161" i="3"/>
  <c r="G1156" i="3"/>
  <c r="G1150" i="3"/>
  <c r="G1145" i="3"/>
  <c r="G1140" i="3"/>
  <c r="G1134" i="3"/>
  <c r="G1129" i="3"/>
  <c r="G1124" i="3"/>
  <c r="G1118" i="3"/>
  <c r="G1113" i="3"/>
  <c r="G1108" i="3"/>
  <c r="G1102" i="3"/>
  <c r="G1097" i="3"/>
  <c r="G1092" i="3"/>
  <c r="G1086" i="3"/>
  <c r="G1081" i="3"/>
  <c r="G1076" i="3"/>
  <c r="G1070" i="3"/>
  <c r="G1065" i="3"/>
  <c r="G1060" i="3"/>
  <c r="G1054" i="3"/>
  <c r="G1049" i="3"/>
  <c r="G1044" i="3"/>
  <c r="G1038" i="3"/>
  <c r="G1033" i="3"/>
  <c r="G1028" i="3"/>
  <c r="G1022" i="3"/>
  <c r="G1017" i="3"/>
  <c r="G1012" i="3"/>
  <c r="G1006" i="3"/>
  <c r="G1001" i="3"/>
  <c r="G996" i="3"/>
  <c r="G990" i="3"/>
  <c r="G985" i="3"/>
  <c r="G980" i="3"/>
  <c r="G974" i="3"/>
  <c r="G969" i="3"/>
  <c r="G964" i="3"/>
  <c r="G958" i="3"/>
  <c r="G953" i="3"/>
  <c r="G948" i="3"/>
  <c r="G942" i="3"/>
  <c r="G937" i="3"/>
  <c r="G932" i="3"/>
  <c r="G926" i="3"/>
  <c r="G921" i="3"/>
  <c r="G916" i="3"/>
  <c r="G910" i="3"/>
  <c r="G905" i="3"/>
  <c r="G900" i="3"/>
  <c r="G894" i="3"/>
  <c r="G889" i="3"/>
  <c r="G884" i="3"/>
  <c r="G878" i="3"/>
  <c r="G873" i="3"/>
  <c r="G868" i="3"/>
  <c r="G862" i="3"/>
  <c r="G857" i="3"/>
  <c r="G852" i="3"/>
  <c r="G846" i="3"/>
  <c r="G841" i="3"/>
  <c r="G836" i="3"/>
  <c r="G830" i="3"/>
  <c r="G825" i="3"/>
  <c r="G820" i="3"/>
  <c r="G814" i="3"/>
  <c r="G809" i="3"/>
  <c r="G804" i="3"/>
  <c r="G798" i="3"/>
  <c r="G793" i="3"/>
  <c r="G788" i="3"/>
  <c r="G782" i="3"/>
  <c r="G777" i="3"/>
  <c r="G772" i="3"/>
  <c r="G766" i="3"/>
  <c r="G761" i="3"/>
  <c r="G756" i="3"/>
  <c r="G750" i="3"/>
  <c r="G745" i="3"/>
  <c r="G740" i="3"/>
  <c r="G734" i="3"/>
  <c r="G729" i="3"/>
  <c r="G724" i="3"/>
  <c r="G718" i="3"/>
  <c r="G713" i="3"/>
  <c r="G708" i="3"/>
  <c r="G702" i="3"/>
  <c r="G697" i="3"/>
  <c r="G692" i="3"/>
  <c r="G686" i="3"/>
  <c r="G681" i="3"/>
  <c r="G676" i="3"/>
  <c r="G670" i="3"/>
  <c r="G665" i="3"/>
  <c r="G660" i="3"/>
  <c r="G654" i="3"/>
  <c r="G649" i="3"/>
  <c r="G644" i="3"/>
  <c r="G638" i="3"/>
  <c r="G633" i="3"/>
  <c r="G628" i="3"/>
  <c r="G622" i="3"/>
  <c r="G617" i="3"/>
  <c r="G612" i="3"/>
  <c r="G606" i="3"/>
  <c r="G601" i="3"/>
  <c r="G596" i="3"/>
  <c r="G590" i="3"/>
  <c r="G585" i="3"/>
  <c r="G580" i="3"/>
  <c r="G574" i="3"/>
  <c r="G569" i="3"/>
  <c r="G564" i="3"/>
  <c r="G558" i="3"/>
  <c r="G553" i="3"/>
  <c r="G548" i="3"/>
  <c r="G542" i="3"/>
  <c r="G537" i="3"/>
  <c r="G532" i="3"/>
  <c r="G526" i="3"/>
  <c r="G521" i="3"/>
  <c r="G516" i="3"/>
  <c r="G510" i="3"/>
  <c r="G505" i="3"/>
  <c r="G500" i="3"/>
  <c r="G494" i="3"/>
  <c r="G489" i="3"/>
  <c r="G484" i="3"/>
  <c r="G478" i="3"/>
  <c r="G473" i="3"/>
  <c r="G468" i="3"/>
  <c r="G462" i="3"/>
  <c r="G457" i="3"/>
  <c r="G452" i="3"/>
  <c r="G446" i="3"/>
  <c r="G441" i="3"/>
  <c r="G436" i="3"/>
  <c r="G430" i="3"/>
  <c r="G425" i="3"/>
  <c r="G420" i="3"/>
  <c r="G414" i="3"/>
  <c r="G409" i="3"/>
  <c r="G404" i="3"/>
  <c r="G398" i="3"/>
  <c r="G393" i="3"/>
  <c r="G388" i="3"/>
  <c r="G382" i="3"/>
  <c r="G377" i="3"/>
  <c r="G372" i="3"/>
  <c r="G366" i="3"/>
  <c r="G361" i="3"/>
  <c r="G356" i="3"/>
  <c r="G350" i="3"/>
  <c r="G345" i="3"/>
  <c r="G340" i="3"/>
  <c r="G334" i="3"/>
  <c r="G329" i="3"/>
  <c r="G324" i="3"/>
  <c r="G318" i="3"/>
  <c r="G313" i="3"/>
  <c r="G308" i="3"/>
  <c r="G302" i="3"/>
  <c r="G297" i="3"/>
  <c r="G292" i="3"/>
  <c r="G286" i="3"/>
  <c r="G281" i="3"/>
  <c r="G276" i="3"/>
  <c r="G270" i="3"/>
  <c r="G265" i="3"/>
  <c r="G260" i="3"/>
  <c r="G254" i="3"/>
  <c r="G249" i="3"/>
  <c r="G244" i="3"/>
  <c r="G238" i="3"/>
  <c r="G233" i="3"/>
  <c r="G228" i="3"/>
  <c r="G222" i="3"/>
  <c r="G219" i="3"/>
  <c r="G2162" i="3"/>
  <c r="G2157" i="3"/>
  <c r="G2152" i="3"/>
  <c r="G2146" i="3"/>
  <c r="G2141" i="3"/>
  <c r="G2136" i="3"/>
  <c r="G2130" i="3"/>
  <c r="G2125" i="3"/>
  <c r="G2120" i="3"/>
  <c r="G2114" i="3"/>
  <c r="G2109" i="3"/>
  <c r="G2104" i="3"/>
  <c r="G2098" i="3"/>
  <c r="G2093" i="3"/>
  <c r="G2088" i="3"/>
  <c r="G2082" i="3"/>
  <c r="G2077" i="3"/>
  <c r="G2072" i="3"/>
  <c r="G2066" i="3"/>
  <c r="G2061" i="3"/>
  <c r="G2056" i="3"/>
  <c r="G2050" i="3"/>
  <c r="G2045" i="3"/>
  <c r="G2040" i="3"/>
  <c r="G2034" i="3"/>
  <c r="G2029" i="3"/>
  <c r="G2024" i="3"/>
  <c r="G2018" i="3"/>
  <c r="G2013" i="3"/>
  <c r="G2008" i="3"/>
  <c r="G2002" i="3"/>
  <c r="G1997" i="3"/>
  <c r="G1992" i="3"/>
  <c r="G1986" i="3"/>
  <c r="G1981" i="3"/>
  <c r="G1976" i="3"/>
  <c r="G1970" i="3"/>
  <c r="G1965" i="3"/>
  <c r="G1960" i="3"/>
  <c r="G1954" i="3"/>
  <c r="G1949" i="3"/>
  <c r="G1944" i="3"/>
  <c r="G1938" i="3"/>
  <c r="G1933" i="3"/>
  <c r="G1928" i="3"/>
  <c r="G1922" i="3"/>
  <c r="G1917" i="3"/>
  <c r="G1912" i="3"/>
  <c r="G1906" i="3"/>
  <c r="G1901" i="3"/>
  <c r="G1896" i="3"/>
  <c r="G1890" i="3"/>
  <c r="G1885" i="3"/>
  <c r="G1880" i="3"/>
  <c r="G1874" i="3"/>
  <c r="G1869" i="3"/>
  <c r="G1864" i="3"/>
  <c r="G1858" i="3"/>
  <c r="G1853" i="3"/>
  <c r="G1848" i="3"/>
  <c r="G1842" i="3"/>
  <c r="G1837" i="3"/>
  <c r="G1832" i="3"/>
  <c r="G1826" i="3"/>
  <c r="G1821" i="3"/>
  <c r="G1816" i="3"/>
  <c r="G1810" i="3"/>
  <c r="G1805" i="3"/>
  <c r="G1800" i="3"/>
  <c r="G1794" i="3"/>
  <c r="G1789" i="3"/>
  <c r="G1784" i="3"/>
  <c r="G1778" i="3"/>
  <c r="G1773" i="3"/>
  <c r="G1768" i="3"/>
  <c r="G1762" i="3"/>
  <c r="G1757" i="3"/>
  <c r="G1752" i="3"/>
  <c r="G1746" i="3"/>
  <c r="G1741" i="3"/>
  <c r="G1736" i="3"/>
  <c r="G1730" i="3"/>
  <c r="G1725" i="3"/>
  <c r="G1720" i="3"/>
  <c r="G1714" i="3"/>
  <c r="G1709" i="3"/>
  <c r="G1704" i="3"/>
  <c r="G1698" i="3"/>
  <c r="G1693" i="3"/>
  <c r="G1688" i="3"/>
  <c r="G1682" i="3"/>
  <c r="G1677" i="3"/>
  <c r="G1672" i="3"/>
  <c r="G1666" i="3"/>
  <c r="G1661" i="3"/>
  <c r="G1656" i="3"/>
  <c r="G1650" i="3"/>
  <c r="G1645" i="3"/>
  <c r="G1640" i="3"/>
  <c r="G1634" i="3"/>
  <c r="G1629" i="3"/>
  <c r="G1624" i="3"/>
  <c r="G1618" i="3"/>
  <c r="G1613" i="3"/>
  <c r="G1608" i="3"/>
  <c r="G1602" i="3"/>
  <c r="G1597" i="3"/>
  <c r="G1592" i="3"/>
  <c r="G1586" i="3"/>
  <c r="G1581" i="3"/>
  <c r="G1576" i="3"/>
  <c r="G1570" i="3"/>
  <c r="G1565" i="3"/>
  <c r="G1560" i="3"/>
  <c r="G1554" i="3"/>
  <c r="G1549" i="3"/>
  <c r="G1544" i="3"/>
  <c r="G1538" i="3"/>
  <c r="G1533" i="3"/>
  <c r="G1528" i="3"/>
  <c r="G1522" i="3"/>
  <c r="G1517" i="3"/>
  <c r="G1512" i="3"/>
  <c r="G1506" i="3"/>
  <c r="G1501" i="3"/>
  <c r="G1496" i="3"/>
  <c r="G1490" i="3"/>
  <c r="G1485" i="3"/>
  <c r="G1480" i="3"/>
  <c r="G1474" i="3"/>
  <c r="G1469" i="3"/>
  <c r="G1464" i="3"/>
  <c r="G1458" i="3"/>
  <c r="G1453" i="3"/>
  <c r="G1448" i="3"/>
  <c r="G1442" i="3"/>
  <c r="G1437" i="3"/>
  <c r="G1432" i="3"/>
  <c r="G1426" i="3"/>
  <c r="G1421" i="3"/>
  <c r="G1416" i="3"/>
  <c r="G1410" i="3"/>
  <c r="G1405" i="3"/>
  <c r="G1400" i="3"/>
  <c r="G1394" i="3"/>
  <c r="G1389" i="3"/>
  <c r="G1384" i="3"/>
  <c r="G1378" i="3"/>
  <c r="G1373" i="3"/>
  <c r="G1368" i="3"/>
  <c r="G1362" i="3"/>
  <c r="G1357" i="3"/>
  <c r="G1352" i="3"/>
  <c r="G1346" i="3"/>
  <c r="G1341" i="3"/>
  <c r="G1336" i="3"/>
  <c r="G1330" i="3"/>
  <c r="G1325" i="3"/>
  <c r="G1320" i="3"/>
  <c r="G1314" i="3"/>
  <c r="G1309" i="3"/>
  <c r="G1304" i="3"/>
  <c r="G1298" i="3"/>
  <c r="G1293" i="3"/>
  <c r="G1288" i="3"/>
  <c r="G1282" i="3"/>
  <c r="G1277" i="3"/>
  <c r="G1272" i="3"/>
  <c r="G1266" i="3"/>
  <c r="G1261" i="3"/>
  <c r="G1256" i="3"/>
  <c r="G1250" i="3"/>
  <c r="G1245" i="3"/>
  <c r="G1240" i="3"/>
  <c r="G1234" i="3"/>
  <c r="G1229" i="3"/>
  <c r="G1224" i="3"/>
  <c r="G1218" i="3"/>
  <c r="G1213" i="3"/>
  <c r="G1208" i="3"/>
  <c r="G1202" i="3"/>
  <c r="G1197" i="3"/>
  <c r="G1192" i="3"/>
  <c r="G1186" i="3"/>
  <c r="G1181" i="3"/>
  <c r="G1176" i="3"/>
  <c r="G1170" i="3"/>
  <c r="G1165" i="3"/>
  <c r="G1160" i="3"/>
  <c r="G1154" i="3"/>
  <c r="G1149" i="3"/>
  <c r="G1144" i="3"/>
  <c r="G1138" i="3"/>
  <c r="G1133" i="3"/>
  <c r="G1128" i="3"/>
  <c r="G1122" i="3"/>
  <c r="G1117" i="3"/>
  <c r="G1112" i="3"/>
  <c r="G1106" i="3"/>
  <c r="G1101" i="3"/>
  <c r="G1096" i="3"/>
  <c r="G1090" i="3"/>
  <c r="G1085" i="3"/>
  <c r="G1080" i="3"/>
  <c r="G1074" i="3"/>
  <c r="G1069" i="3"/>
  <c r="G1064" i="3"/>
  <c r="G1058" i="3"/>
  <c r="G1053" i="3"/>
  <c r="G1048" i="3"/>
  <c r="G1042" i="3"/>
  <c r="G1037" i="3"/>
  <c r="G1032" i="3"/>
  <c r="G1026" i="3"/>
  <c r="G1021" i="3"/>
  <c r="G1016" i="3"/>
  <c r="G1010" i="3"/>
  <c r="G1005" i="3"/>
  <c r="G1000" i="3"/>
  <c r="G994" i="3"/>
  <c r="G989" i="3"/>
  <c r="G984" i="3"/>
  <c r="G978" i="3"/>
  <c r="G973" i="3"/>
  <c r="G968" i="3"/>
  <c r="G962" i="3"/>
  <c r="G957" i="3"/>
  <c r="G952" i="3"/>
  <c r="G946" i="3"/>
  <c r="G941" i="3"/>
  <c r="G936" i="3"/>
  <c r="G930" i="3"/>
  <c r="G925" i="3"/>
  <c r="G920" i="3"/>
  <c r="G914" i="3"/>
  <c r="G909" i="3"/>
  <c r="G904" i="3"/>
  <c r="G898" i="3"/>
  <c r="G893" i="3"/>
  <c r="G888" i="3"/>
  <c r="G882" i="3"/>
  <c r="G877" i="3"/>
  <c r="G872" i="3"/>
  <c r="G866" i="3"/>
  <c r="G861" i="3"/>
  <c r="G856" i="3"/>
  <c r="G850" i="3"/>
  <c r="G845" i="3"/>
  <c r="G840" i="3"/>
  <c r="G834" i="3"/>
  <c r="G829" i="3"/>
  <c r="G824" i="3"/>
  <c r="G818" i="3"/>
  <c r="G813" i="3"/>
  <c r="G808" i="3"/>
  <c r="G802" i="3"/>
  <c r="G797" i="3"/>
  <c r="G792" i="3"/>
  <c r="G786" i="3"/>
  <c r="G781" i="3"/>
  <c r="G776" i="3"/>
  <c r="G770" i="3"/>
  <c r="G765" i="3"/>
  <c r="G760" i="3"/>
  <c r="G754" i="3"/>
  <c r="G749" i="3"/>
  <c r="G744" i="3"/>
  <c r="G738" i="3"/>
  <c r="G733" i="3"/>
  <c r="G728" i="3"/>
  <c r="G722" i="3"/>
  <c r="G717" i="3"/>
  <c r="G712" i="3"/>
  <c r="G706" i="3"/>
  <c r="G701" i="3"/>
  <c r="G696" i="3"/>
  <c r="G690" i="3"/>
  <c r="G685" i="3"/>
  <c r="G680" i="3"/>
  <c r="G674" i="3"/>
  <c r="G669" i="3"/>
  <c r="G664" i="3"/>
  <c r="G658" i="3"/>
  <c r="G653" i="3"/>
  <c r="G648" i="3"/>
  <c r="G642" i="3"/>
  <c r="G637" i="3"/>
  <c r="G632" i="3"/>
  <c r="G626" i="3"/>
  <c r="G621" i="3"/>
  <c r="G616" i="3"/>
  <c r="G610" i="3"/>
  <c r="G605" i="3"/>
  <c r="G600" i="3"/>
  <c r="G594" i="3"/>
  <c r="G589" i="3"/>
  <c r="G584" i="3"/>
  <c r="G578" i="3"/>
  <c r="G573" i="3"/>
  <c r="G568" i="3"/>
  <c r="G562" i="3"/>
  <c r="G557" i="3"/>
  <c r="G552" i="3"/>
  <c r="G546" i="3"/>
  <c r="G541" i="3"/>
  <c r="G536" i="3"/>
  <c r="G530" i="3"/>
  <c r="G525" i="3"/>
  <c r="G520" i="3"/>
  <c r="G514" i="3"/>
  <c r="G509" i="3"/>
  <c r="G504" i="3"/>
  <c r="G498" i="3"/>
  <c r="G493" i="3"/>
  <c r="G488" i="3"/>
  <c r="G482" i="3"/>
  <c r="G477" i="3"/>
  <c r="G472" i="3"/>
  <c r="G466" i="3"/>
  <c r="G461" i="3"/>
  <c r="G456" i="3"/>
  <c r="G450" i="3"/>
  <c r="G445" i="3"/>
  <c r="G440" i="3"/>
  <c r="G434" i="3"/>
  <c r="G429" i="3"/>
  <c r="G424" i="3"/>
  <c r="G418" i="3"/>
  <c r="G413" i="3"/>
  <c r="G408" i="3"/>
  <c r="G402" i="3"/>
  <c r="G397" i="3"/>
  <c r="G392" i="3"/>
  <c r="G386" i="3"/>
  <c r="G381" i="3"/>
  <c r="G376" i="3"/>
  <c r="G370" i="3"/>
  <c r="G365" i="3"/>
  <c r="G360" i="3"/>
  <c r="G354" i="3"/>
  <c r="G349" i="3"/>
  <c r="G344" i="3"/>
  <c r="G338" i="3"/>
  <c r="G333" i="3"/>
  <c r="G328" i="3"/>
  <c r="G322" i="3"/>
  <c r="G317" i="3"/>
  <c r="G312" i="3"/>
  <c r="G306" i="3"/>
  <c r="G301" i="3"/>
  <c r="G296" i="3"/>
  <c r="G290" i="3"/>
  <c r="G285" i="3"/>
  <c r="G280" i="3"/>
  <c r="G274" i="3"/>
  <c r="G269" i="3"/>
  <c r="G264" i="3"/>
  <c r="G258" i="3"/>
  <c r="G253" i="3"/>
  <c r="G248" i="3"/>
  <c r="G242" i="3"/>
  <c r="G237" i="3"/>
  <c r="G232" i="3"/>
  <c r="G226" i="3"/>
  <c r="G221" i="3"/>
  <c r="C9" i="1"/>
  <c r="C8" i="1"/>
  <c r="B9" i="1"/>
  <c r="B8" i="1"/>
  <c r="C7" i="1"/>
  <c r="D25" i="1"/>
  <c r="D29" i="1"/>
  <c r="D57" i="1"/>
  <c r="D61" i="1"/>
  <c r="D89" i="1"/>
  <c r="D93" i="1"/>
  <c r="D115" i="1"/>
  <c r="D117" i="1"/>
  <c r="D119" i="1"/>
  <c r="D129" i="1"/>
  <c r="D135" i="1"/>
  <c r="D136" i="1"/>
  <c r="D147" i="1"/>
  <c r="D151" i="1"/>
  <c r="D152" i="1"/>
  <c r="D163" i="1"/>
  <c r="D165" i="1"/>
  <c r="D179" i="1"/>
  <c r="D181" i="1"/>
  <c r="D183" i="1"/>
  <c r="D193" i="1"/>
  <c r="D199" i="1"/>
  <c r="D200" i="1"/>
  <c r="D211" i="1"/>
  <c r="D215" i="1"/>
  <c r="D216" i="1"/>
  <c r="D227" i="1"/>
  <c r="D229" i="1"/>
  <c r="D243" i="1"/>
  <c r="D245" i="1"/>
  <c r="D247" i="1"/>
  <c r="C18" i="1"/>
  <c r="D18" i="1" s="1"/>
  <c r="C19" i="1"/>
  <c r="D19" i="1" s="1"/>
  <c r="C20" i="1"/>
  <c r="D20" i="1" s="1"/>
  <c r="C21" i="1"/>
  <c r="D21" i="1" s="1"/>
  <c r="C22" i="1"/>
  <c r="D22" i="1" s="1"/>
  <c r="C23" i="1"/>
  <c r="D23" i="1" s="1"/>
  <c r="C24" i="1"/>
  <c r="D24" i="1" s="1"/>
  <c r="C25" i="1"/>
  <c r="C26" i="1"/>
  <c r="D26" i="1" s="1"/>
  <c r="C27" i="1"/>
  <c r="D27" i="1" s="1"/>
  <c r="C28" i="1"/>
  <c r="D28" i="1" s="1"/>
  <c r="C29" i="1"/>
  <c r="C30" i="1"/>
  <c r="D30" i="1" s="1"/>
  <c r="C31" i="1"/>
  <c r="D31" i="1" s="1"/>
  <c r="C32" i="1"/>
  <c r="D32" i="1" s="1"/>
  <c r="C33" i="1"/>
  <c r="D33" i="1" s="1"/>
  <c r="C34" i="1"/>
  <c r="D34" i="1" s="1"/>
  <c r="C35" i="1"/>
  <c r="D35" i="1" s="1"/>
  <c r="C36" i="1"/>
  <c r="D36" i="1" s="1"/>
  <c r="C37" i="1"/>
  <c r="D37" i="1" s="1"/>
  <c r="C38" i="1"/>
  <c r="D38" i="1" s="1"/>
  <c r="C39" i="1"/>
  <c r="D39" i="1" s="1"/>
  <c r="C40" i="1"/>
  <c r="D40" i="1" s="1"/>
  <c r="C41" i="1"/>
  <c r="D41" i="1" s="1"/>
  <c r="C42" i="1"/>
  <c r="D42" i="1" s="1"/>
  <c r="C43" i="1"/>
  <c r="D43" i="1" s="1"/>
  <c r="C44" i="1"/>
  <c r="D44" i="1" s="1"/>
  <c r="C45" i="1"/>
  <c r="D45" i="1" s="1"/>
  <c r="C46" i="1"/>
  <c r="D46" i="1" s="1"/>
  <c r="C47" i="1"/>
  <c r="D47" i="1" s="1"/>
  <c r="C48" i="1"/>
  <c r="D48" i="1" s="1"/>
  <c r="C49" i="1"/>
  <c r="D49" i="1" s="1"/>
  <c r="C50" i="1"/>
  <c r="D50" i="1" s="1"/>
  <c r="C51" i="1"/>
  <c r="D51" i="1" s="1"/>
  <c r="C52" i="1"/>
  <c r="D52" i="1" s="1"/>
  <c r="C53" i="1"/>
  <c r="D53" i="1" s="1"/>
  <c r="C54" i="1"/>
  <c r="D54" i="1" s="1"/>
  <c r="C55" i="1"/>
  <c r="D55" i="1" s="1"/>
  <c r="C56" i="1"/>
  <c r="D56" i="1" s="1"/>
  <c r="C57" i="1"/>
  <c r="C58" i="1"/>
  <c r="D58" i="1" s="1"/>
  <c r="C59" i="1"/>
  <c r="D59" i="1" s="1"/>
  <c r="C60" i="1"/>
  <c r="D60" i="1" s="1"/>
  <c r="C61" i="1"/>
  <c r="C62" i="1"/>
  <c r="D62" i="1" s="1"/>
  <c r="C63" i="1"/>
  <c r="D63" i="1" s="1"/>
  <c r="C64" i="1"/>
  <c r="D64" i="1" s="1"/>
  <c r="C65" i="1"/>
  <c r="D65" i="1" s="1"/>
  <c r="C66" i="1"/>
  <c r="D66" i="1" s="1"/>
  <c r="C67" i="1"/>
  <c r="D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C75" i="1"/>
  <c r="D75" i="1" s="1"/>
  <c r="C76" i="1"/>
  <c r="D76" i="1" s="1"/>
  <c r="C77" i="1"/>
  <c r="D77" i="1" s="1"/>
  <c r="C78" i="1"/>
  <c r="D78" i="1" s="1"/>
  <c r="C79" i="1"/>
  <c r="D79" i="1" s="1"/>
  <c r="C80" i="1"/>
  <c r="D80" i="1" s="1"/>
  <c r="C81" i="1"/>
  <c r="D81" i="1" s="1"/>
  <c r="C82" i="1"/>
  <c r="D82" i="1" s="1"/>
  <c r="C83" i="1"/>
  <c r="D83" i="1" s="1"/>
  <c r="C84" i="1"/>
  <c r="D84" i="1" s="1"/>
  <c r="C85" i="1"/>
  <c r="D85" i="1" s="1"/>
  <c r="C86" i="1"/>
  <c r="D86" i="1" s="1"/>
  <c r="C87" i="1"/>
  <c r="D87" i="1" s="1"/>
  <c r="C88" i="1"/>
  <c r="D88" i="1" s="1"/>
  <c r="C89" i="1"/>
  <c r="C90" i="1"/>
  <c r="D90" i="1" s="1"/>
  <c r="C91" i="1"/>
  <c r="D91" i="1" s="1"/>
  <c r="C92" i="1"/>
  <c r="D92" i="1" s="1"/>
  <c r="C93" i="1"/>
  <c r="C94" i="1"/>
  <c r="D94" i="1" s="1"/>
  <c r="C95" i="1"/>
  <c r="D95" i="1" s="1"/>
  <c r="C96" i="1"/>
  <c r="D96" i="1" s="1"/>
  <c r="C97" i="1"/>
  <c r="D97" i="1" s="1"/>
  <c r="C98" i="1"/>
  <c r="D98" i="1" s="1"/>
  <c r="C99" i="1"/>
  <c r="D99" i="1" s="1"/>
  <c r="C100" i="1"/>
  <c r="D100" i="1" s="1"/>
  <c r="C101" i="1"/>
  <c r="D101" i="1" s="1"/>
  <c r="C102" i="1"/>
  <c r="D102" i="1" s="1"/>
  <c r="C103" i="1"/>
  <c r="D103" i="1" s="1"/>
  <c r="C104" i="1"/>
  <c r="D104" i="1" s="1"/>
  <c r="C105" i="1"/>
  <c r="D105" i="1" s="1"/>
  <c r="C106" i="1"/>
  <c r="D106" i="1" s="1"/>
  <c r="C107" i="1"/>
  <c r="D107" i="1" s="1"/>
  <c r="C108" i="1"/>
  <c r="D108" i="1" s="1"/>
  <c r="C109" i="1"/>
  <c r="D109" i="1" s="1"/>
  <c r="C110" i="1"/>
  <c r="D110" i="1" s="1"/>
  <c r="C111" i="1"/>
  <c r="D111" i="1" s="1"/>
  <c r="C112" i="1"/>
  <c r="D112" i="1" s="1"/>
  <c r="C113" i="1"/>
  <c r="D113" i="1" s="1"/>
  <c r="C114" i="1"/>
  <c r="D114" i="1" s="1"/>
  <c r="C115" i="1"/>
  <c r="C116" i="1"/>
  <c r="D116" i="1" s="1"/>
  <c r="C117" i="1"/>
  <c r="C118" i="1"/>
  <c r="D118" i="1" s="1"/>
  <c r="C119" i="1"/>
  <c r="C120" i="1"/>
  <c r="D120" i="1" s="1"/>
  <c r="C121" i="1"/>
  <c r="D121" i="1" s="1"/>
  <c r="C122" i="1"/>
  <c r="D122" i="1" s="1"/>
  <c r="C123" i="1"/>
  <c r="D123" i="1" s="1"/>
  <c r="C124" i="1"/>
  <c r="D124" i="1" s="1"/>
  <c r="C125" i="1"/>
  <c r="D125" i="1" s="1"/>
  <c r="C126" i="1"/>
  <c r="D126" i="1" s="1"/>
  <c r="C127" i="1"/>
  <c r="D127" i="1" s="1"/>
  <c r="C128" i="1"/>
  <c r="D128" i="1" s="1"/>
  <c r="C129" i="1"/>
  <c r="C130" i="1"/>
  <c r="D130" i="1" s="1"/>
  <c r="C131" i="1"/>
  <c r="D131" i="1" s="1"/>
  <c r="C132" i="1"/>
  <c r="D132" i="1" s="1"/>
  <c r="C133" i="1"/>
  <c r="D133" i="1" s="1"/>
  <c r="C134" i="1"/>
  <c r="D134" i="1" s="1"/>
  <c r="C135" i="1"/>
  <c r="C136" i="1"/>
  <c r="C137" i="1"/>
  <c r="D137" i="1" s="1"/>
  <c r="C138" i="1"/>
  <c r="D138" i="1" s="1"/>
  <c r="C139" i="1"/>
  <c r="D139" i="1" s="1"/>
  <c r="C140" i="1"/>
  <c r="D140" i="1" s="1"/>
  <c r="C141" i="1"/>
  <c r="D141" i="1" s="1"/>
  <c r="C142" i="1"/>
  <c r="D142" i="1" s="1"/>
  <c r="C143" i="1"/>
  <c r="D143" i="1" s="1"/>
  <c r="C144" i="1"/>
  <c r="D144" i="1" s="1"/>
  <c r="C145" i="1"/>
  <c r="D145" i="1" s="1"/>
  <c r="C146" i="1"/>
  <c r="D146" i="1" s="1"/>
  <c r="C147" i="1"/>
  <c r="C148" i="1"/>
  <c r="D148" i="1" s="1"/>
  <c r="C149" i="1"/>
  <c r="D149" i="1" s="1"/>
  <c r="C150" i="1"/>
  <c r="D150" i="1" s="1"/>
  <c r="C151" i="1"/>
  <c r="C152" i="1"/>
  <c r="C153" i="1"/>
  <c r="D153" i="1" s="1"/>
  <c r="C154" i="1"/>
  <c r="D154" i="1" s="1"/>
  <c r="C155" i="1"/>
  <c r="D155" i="1" s="1"/>
  <c r="C156" i="1"/>
  <c r="D156" i="1" s="1"/>
  <c r="C157" i="1"/>
  <c r="D157" i="1" s="1"/>
  <c r="C158" i="1"/>
  <c r="D158" i="1" s="1"/>
  <c r="C159" i="1"/>
  <c r="D159" i="1" s="1"/>
  <c r="C160" i="1"/>
  <c r="D160" i="1" s="1"/>
  <c r="C161" i="1"/>
  <c r="D161" i="1" s="1"/>
  <c r="C162" i="1"/>
  <c r="D162" i="1" s="1"/>
  <c r="C163" i="1"/>
  <c r="C164" i="1"/>
  <c r="D164" i="1" s="1"/>
  <c r="C165" i="1"/>
  <c r="C166" i="1"/>
  <c r="D166" i="1" s="1"/>
  <c r="C167" i="1"/>
  <c r="D167" i="1" s="1"/>
  <c r="C168" i="1"/>
  <c r="D168" i="1" s="1"/>
  <c r="C169" i="1"/>
  <c r="D169" i="1" s="1"/>
  <c r="C170" i="1"/>
  <c r="D170" i="1" s="1"/>
  <c r="C171" i="1"/>
  <c r="D171" i="1" s="1"/>
  <c r="C172" i="1"/>
  <c r="D172" i="1" s="1"/>
  <c r="C173" i="1"/>
  <c r="D173" i="1" s="1"/>
  <c r="C174" i="1"/>
  <c r="D174" i="1" s="1"/>
  <c r="C175" i="1"/>
  <c r="D175" i="1" s="1"/>
  <c r="C176" i="1"/>
  <c r="D176" i="1" s="1"/>
  <c r="C177" i="1"/>
  <c r="D177" i="1" s="1"/>
  <c r="C178" i="1"/>
  <c r="D178" i="1" s="1"/>
  <c r="C179" i="1"/>
  <c r="C180" i="1"/>
  <c r="D180" i="1" s="1"/>
  <c r="C181" i="1"/>
  <c r="C182" i="1"/>
  <c r="D182" i="1" s="1"/>
  <c r="C183" i="1"/>
  <c r="C184" i="1"/>
  <c r="D184" i="1" s="1"/>
  <c r="C185" i="1"/>
  <c r="D185" i="1" s="1"/>
  <c r="C186" i="1"/>
  <c r="D186" i="1" s="1"/>
  <c r="C187" i="1"/>
  <c r="D187" i="1" s="1"/>
  <c r="C188" i="1"/>
  <c r="D188" i="1" s="1"/>
  <c r="C189" i="1"/>
  <c r="D189" i="1" s="1"/>
  <c r="C190" i="1"/>
  <c r="D190" i="1" s="1"/>
  <c r="C191" i="1"/>
  <c r="D191" i="1" s="1"/>
  <c r="C192" i="1"/>
  <c r="D192" i="1" s="1"/>
  <c r="C193" i="1"/>
  <c r="C194" i="1"/>
  <c r="D194" i="1" s="1"/>
  <c r="C195" i="1"/>
  <c r="D195" i="1" s="1"/>
  <c r="C196" i="1"/>
  <c r="D196" i="1" s="1"/>
  <c r="C197" i="1"/>
  <c r="D197" i="1" s="1"/>
  <c r="C198" i="1"/>
  <c r="D198" i="1" s="1"/>
  <c r="C199" i="1"/>
  <c r="C200" i="1"/>
  <c r="C201" i="1"/>
  <c r="D201" i="1" s="1"/>
  <c r="C202" i="1"/>
  <c r="D202" i="1" s="1"/>
  <c r="C203" i="1"/>
  <c r="D203" i="1" s="1"/>
  <c r="C204" i="1"/>
  <c r="D204" i="1" s="1"/>
  <c r="C205" i="1"/>
  <c r="D205" i="1" s="1"/>
  <c r="C206" i="1"/>
  <c r="D206" i="1" s="1"/>
  <c r="C207" i="1"/>
  <c r="D207" i="1" s="1"/>
  <c r="C208" i="1"/>
  <c r="D208" i="1" s="1"/>
  <c r="C209" i="1"/>
  <c r="D209" i="1" s="1"/>
  <c r="C210" i="1"/>
  <c r="D210" i="1" s="1"/>
  <c r="C211" i="1"/>
  <c r="C212" i="1"/>
  <c r="D212" i="1" s="1"/>
  <c r="C213" i="1"/>
  <c r="D213" i="1" s="1"/>
  <c r="C214" i="1"/>
  <c r="D214" i="1" s="1"/>
  <c r="C215" i="1"/>
  <c r="C216" i="1"/>
  <c r="C217" i="1"/>
  <c r="D217" i="1" s="1"/>
  <c r="C218" i="1"/>
  <c r="D218" i="1" s="1"/>
  <c r="C219" i="1"/>
  <c r="D219" i="1" s="1"/>
  <c r="C220" i="1"/>
  <c r="D220" i="1" s="1"/>
  <c r="C221" i="1"/>
  <c r="D221" i="1" s="1"/>
  <c r="C222" i="1"/>
  <c r="D222" i="1" s="1"/>
  <c r="C223" i="1"/>
  <c r="D223" i="1" s="1"/>
  <c r="C224" i="1"/>
  <c r="D224" i="1" s="1"/>
  <c r="C225" i="1"/>
  <c r="D225" i="1" s="1"/>
  <c r="C226" i="1"/>
  <c r="D226" i="1" s="1"/>
  <c r="C227" i="1"/>
  <c r="C228" i="1"/>
  <c r="D228" i="1" s="1"/>
  <c r="C229" i="1"/>
  <c r="C230" i="1"/>
  <c r="D230" i="1" s="1"/>
  <c r="C231" i="1"/>
  <c r="D231" i="1" s="1"/>
  <c r="C232" i="1"/>
  <c r="D232" i="1" s="1"/>
  <c r="C233" i="1"/>
  <c r="D233" i="1" s="1"/>
  <c r="C234" i="1"/>
  <c r="D234" i="1" s="1"/>
  <c r="C235" i="1"/>
  <c r="D235" i="1" s="1"/>
  <c r="C236" i="1"/>
  <c r="D236" i="1" s="1"/>
  <c r="C237" i="1"/>
  <c r="D237" i="1" s="1"/>
  <c r="C238" i="1"/>
  <c r="D238" i="1" s="1"/>
  <c r="C239" i="1"/>
  <c r="D239" i="1" s="1"/>
  <c r="C240" i="1"/>
  <c r="D240" i="1" s="1"/>
  <c r="C241" i="1"/>
  <c r="D241" i="1" s="1"/>
  <c r="C242" i="1"/>
  <c r="D242" i="1" s="1"/>
  <c r="C243" i="1"/>
  <c r="C244" i="1"/>
  <c r="D244" i="1" s="1"/>
  <c r="C245" i="1"/>
  <c r="C246" i="1"/>
  <c r="D246" i="1" s="1"/>
  <c r="C247" i="1"/>
  <c r="C248" i="1"/>
  <c r="D248" i="1" s="1"/>
  <c r="C249" i="1"/>
  <c r="D249" i="1" s="1"/>
  <c r="C250" i="1"/>
  <c r="D250" i="1" s="1"/>
  <c r="C251" i="1"/>
  <c r="D251" i="1" s="1"/>
  <c r="C252" i="1"/>
  <c r="D252" i="1" s="1"/>
  <c r="C253" i="1"/>
  <c r="D253" i="1" s="1"/>
  <c r="C17" i="1"/>
  <c r="D17" i="1" s="1"/>
  <c r="B5" i="1"/>
  <c r="C5" i="1" s="1"/>
  <c r="E33" i="4" l="1"/>
  <c r="G32" i="4"/>
  <c r="F33" i="4"/>
  <c r="G119" i="3"/>
  <c r="G58" i="3"/>
  <c r="G39" i="3"/>
  <c r="G151" i="3"/>
  <c r="G37" i="3"/>
  <c r="G65" i="3"/>
  <c r="G129" i="3"/>
  <c r="G165" i="3"/>
  <c r="G215" i="3"/>
  <c r="G125" i="3"/>
  <c r="G71" i="3"/>
  <c r="G24" i="3"/>
  <c r="G161" i="3"/>
  <c r="G74" i="3"/>
  <c r="G154" i="3"/>
  <c r="G26" i="3"/>
  <c r="G122" i="3"/>
  <c r="G199" i="3"/>
  <c r="G23" i="3"/>
  <c r="G21" i="3"/>
  <c r="G55" i="3"/>
  <c r="G167" i="3"/>
  <c r="G87" i="3"/>
  <c r="G202" i="3"/>
  <c r="G17" i="3"/>
  <c r="B7" i="3"/>
  <c r="F78" i="3" s="1"/>
  <c r="F38" i="1"/>
  <c r="F131" i="1"/>
  <c r="F75" i="1"/>
  <c r="F47" i="1"/>
  <c r="E7" i="1"/>
  <c r="F134" i="1"/>
  <c r="F126" i="1"/>
  <c r="F106" i="1"/>
  <c r="F94" i="1"/>
  <c r="F90" i="1"/>
  <c r="F78" i="1"/>
  <c r="F70" i="1"/>
  <c r="F62" i="1"/>
  <c r="F54" i="1"/>
  <c r="F42" i="1"/>
  <c r="F30" i="1"/>
  <c r="F22" i="1"/>
  <c r="E9" i="1"/>
  <c r="F132" i="1"/>
  <c r="F112" i="1"/>
  <c r="F104" i="1"/>
  <c r="F96" i="1"/>
  <c r="F68" i="1"/>
  <c r="F56" i="1"/>
  <c r="F48" i="1"/>
  <c r="F32" i="1"/>
  <c r="F20" i="1"/>
  <c r="E8" i="1"/>
  <c r="F25" i="1"/>
  <c r="F29" i="1"/>
  <c r="F33" i="1"/>
  <c r="F41" i="1"/>
  <c r="F45" i="1"/>
  <c r="F49" i="1"/>
  <c r="F57" i="1"/>
  <c r="F61" i="1"/>
  <c r="F65" i="1"/>
  <c r="F73" i="1"/>
  <c r="F77" i="1"/>
  <c r="F81" i="1"/>
  <c r="F89" i="1"/>
  <c r="F93" i="1"/>
  <c r="F97" i="1"/>
  <c r="F105" i="1"/>
  <c r="F109" i="1"/>
  <c r="F113" i="1"/>
  <c r="F121" i="1"/>
  <c r="F125" i="1"/>
  <c r="F129" i="1"/>
  <c r="F17" i="1"/>
  <c r="F130" i="1"/>
  <c r="F124" i="1"/>
  <c r="F114" i="1"/>
  <c r="F108" i="1"/>
  <c r="F103" i="1"/>
  <c r="F92" i="1"/>
  <c r="F87" i="1"/>
  <c r="F82" i="1"/>
  <c r="F71" i="1"/>
  <c r="F66" i="1"/>
  <c r="F60" i="1"/>
  <c r="F50" i="1"/>
  <c r="F44" i="1"/>
  <c r="F39" i="1"/>
  <c r="F28" i="1"/>
  <c r="F23" i="1"/>
  <c r="F18" i="1"/>
  <c r="D5" i="1"/>
  <c r="D6" i="1" s="1"/>
  <c r="B6" i="1"/>
  <c r="B7" i="1" s="1"/>
  <c r="D9" i="1"/>
  <c r="D8" i="1"/>
  <c r="D7" i="1"/>
  <c r="C6" i="1"/>
  <c r="E5" i="1"/>
  <c r="E6" i="1" s="1"/>
  <c r="G7" i="1" s="1"/>
  <c r="E34" i="4" l="1"/>
  <c r="G33" i="4"/>
  <c r="F34" i="4"/>
  <c r="F69" i="3"/>
  <c r="F25" i="3"/>
  <c r="F130" i="3"/>
  <c r="F128" i="3"/>
  <c r="F55" i="3"/>
  <c r="F27" i="3"/>
  <c r="F186" i="3"/>
  <c r="F52" i="3"/>
  <c r="F170" i="3"/>
  <c r="F180" i="3"/>
  <c r="F65" i="3"/>
  <c r="F149" i="3"/>
  <c r="F119" i="3"/>
  <c r="F107" i="3"/>
  <c r="F140" i="3"/>
  <c r="F214" i="3"/>
  <c r="F152" i="3"/>
  <c r="F60" i="3"/>
  <c r="F206" i="3"/>
  <c r="F183" i="3"/>
  <c r="F171" i="3"/>
  <c r="F213" i="3"/>
  <c r="F174" i="3"/>
  <c r="F26" i="3"/>
  <c r="F188" i="3"/>
  <c r="F165" i="3"/>
  <c r="F150" i="3"/>
  <c r="F74" i="3"/>
  <c r="F141" i="3"/>
  <c r="F169" i="3"/>
  <c r="F34" i="3"/>
  <c r="F162" i="3"/>
  <c r="F77" i="3"/>
  <c r="F22" i="3"/>
  <c r="F18" i="3"/>
  <c r="F40" i="3"/>
  <c r="F38" i="3"/>
  <c r="F102" i="3"/>
  <c r="F166" i="3"/>
  <c r="F81" i="3"/>
  <c r="F145" i="3"/>
  <c r="F209" i="3"/>
  <c r="F50" i="3"/>
  <c r="F178" i="3"/>
  <c r="F93" i="3"/>
  <c r="F48" i="3"/>
  <c r="F80" i="3"/>
  <c r="F112" i="3"/>
  <c r="F144" i="3"/>
  <c r="F176" i="3"/>
  <c r="F208" i="3"/>
  <c r="F45" i="3"/>
  <c r="F173" i="3"/>
  <c r="F17" i="3"/>
  <c r="F36" i="3"/>
  <c r="F68" i="3"/>
  <c r="F100" i="3"/>
  <c r="F132" i="3"/>
  <c r="F164" i="3"/>
  <c r="F196" i="3"/>
  <c r="F31" i="3"/>
  <c r="F47" i="3"/>
  <c r="F63" i="3"/>
  <c r="F79" i="3"/>
  <c r="F95" i="3"/>
  <c r="F111" i="3"/>
  <c r="F127" i="3"/>
  <c r="F143" i="3"/>
  <c r="F159" i="3"/>
  <c r="F175" i="3"/>
  <c r="F191" i="3"/>
  <c r="F207" i="3"/>
  <c r="F30" i="3"/>
  <c r="F62" i="3"/>
  <c r="F94" i="3"/>
  <c r="F126" i="3"/>
  <c r="F158" i="3"/>
  <c r="F190" i="3"/>
  <c r="F41" i="3"/>
  <c r="F73" i="3"/>
  <c r="F105" i="3"/>
  <c r="F137" i="3"/>
  <c r="F201" i="3"/>
  <c r="F98" i="3"/>
  <c r="F205" i="3"/>
  <c r="F56" i="3"/>
  <c r="F72" i="3"/>
  <c r="F104" i="3"/>
  <c r="F120" i="3"/>
  <c r="F136" i="3"/>
  <c r="F168" i="3"/>
  <c r="F184" i="3"/>
  <c r="F200" i="3"/>
  <c r="F35" i="3"/>
  <c r="F51" i="3"/>
  <c r="F67" i="3"/>
  <c r="F83" i="3"/>
  <c r="F99" i="3"/>
  <c r="F115" i="3"/>
  <c r="F131" i="3"/>
  <c r="F147" i="3"/>
  <c r="F163" i="3"/>
  <c r="F179" i="3"/>
  <c r="F195" i="3"/>
  <c r="F211" i="3"/>
  <c r="F70" i="3"/>
  <c r="F134" i="3"/>
  <c r="F198" i="3"/>
  <c r="F49" i="3"/>
  <c r="F113" i="3"/>
  <c r="F177" i="3"/>
  <c r="F114" i="3"/>
  <c r="F109" i="3"/>
  <c r="F189" i="3"/>
  <c r="F89" i="3"/>
  <c r="F20" i="3"/>
  <c r="F33" i="3"/>
  <c r="F133" i="3"/>
  <c r="F84" i="3"/>
  <c r="F212" i="3"/>
  <c r="F101" i="3"/>
  <c r="F19" i="3"/>
  <c r="F146" i="3"/>
  <c r="F129" i="3"/>
  <c r="F92" i="3"/>
  <c r="F53" i="3"/>
  <c r="F75" i="3"/>
  <c r="F192" i="3"/>
  <c r="F57" i="3"/>
  <c r="F160" i="3"/>
  <c r="F71" i="3"/>
  <c r="F135" i="3"/>
  <c r="F199" i="3"/>
  <c r="F182" i="3"/>
  <c r="F43" i="3"/>
  <c r="F123" i="3"/>
  <c r="F187" i="3"/>
  <c r="F90" i="3"/>
  <c r="F202" i="3"/>
  <c r="F172" i="3"/>
  <c r="F24" i="3"/>
  <c r="F142" i="3"/>
  <c r="F153" i="3"/>
  <c r="F54" i="3"/>
  <c r="F97" i="3"/>
  <c r="F197" i="3"/>
  <c r="F116" i="3"/>
  <c r="F138" i="3"/>
  <c r="F42" i="3"/>
  <c r="F66" i="3"/>
  <c r="F194" i="3"/>
  <c r="F161" i="3"/>
  <c r="F124" i="3"/>
  <c r="F117" i="3"/>
  <c r="F108" i="3"/>
  <c r="F157" i="3"/>
  <c r="F121" i="3"/>
  <c r="F125" i="3"/>
  <c r="F87" i="3"/>
  <c r="F151" i="3"/>
  <c r="F215" i="3"/>
  <c r="F96" i="3"/>
  <c r="F59" i="3"/>
  <c r="F139" i="3"/>
  <c r="F203" i="3"/>
  <c r="F122" i="3"/>
  <c r="F44" i="3"/>
  <c r="F204" i="3"/>
  <c r="F64" i="3"/>
  <c r="F185" i="3"/>
  <c r="F46" i="3"/>
  <c r="F118" i="3"/>
  <c r="F193" i="3"/>
  <c r="F106" i="3"/>
  <c r="F148" i="3"/>
  <c r="F88" i="3"/>
  <c r="F23" i="3"/>
  <c r="F82" i="3"/>
  <c r="F210" i="3"/>
  <c r="F28" i="3"/>
  <c r="F156" i="3"/>
  <c r="F181" i="3"/>
  <c r="F21" i="3"/>
  <c r="F110" i="3"/>
  <c r="F37" i="3"/>
  <c r="F39" i="3"/>
  <c r="F103" i="3"/>
  <c r="F167" i="3"/>
  <c r="F86" i="3"/>
  <c r="F61" i="3"/>
  <c r="F91" i="3"/>
  <c r="F155" i="3"/>
  <c r="F58" i="3"/>
  <c r="F154" i="3"/>
  <c r="F76" i="3"/>
  <c r="F85" i="3"/>
  <c r="F29" i="3"/>
  <c r="F32" i="3"/>
  <c r="C7" i="3"/>
  <c r="C8" i="3"/>
  <c r="C9" i="3" s="1"/>
  <c r="C10" i="3" s="1"/>
  <c r="K33" i="3" s="1"/>
  <c r="F27" i="1"/>
  <c r="F35" i="1"/>
  <c r="F63" i="1"/>
  <c r="F91" i="1"/>
  <c r="F99" i="1"/>
  <c r="F127" i="1"/>
  <c r="F36" i="1"/>
  <c r="F43" i="1"/>
  <c r="F51" i="1"/>
  <c r="F64" i="1"/>
  <c r="F72" i="1"/>
  <c r="F79" i="1"/>
  <c r="F100" i="1"/>
  <c r="F24" i="1"/>
  <c r="F52" i="1"/>
  <c r="F80" i="1"/>
  <c r="F107" i="1"/>
  <c r="F31" i="1"/>
  <c r="F59" i="1"/>
  <c r="F88" i="1"/>
  <c r="F123" i="1"/>
  <c r="F67" i="1"/>
  <c r="F95" i="1"/>
  <c r="F115" i="1"/>
  <c r="F128" i="1"/>
  <c r="F46" i="1"/>
  <c r="F74" i="1"/>
  <c r="F102" i="1"/>
  <c r="F116" i="1"/>
  <c r="F83" i="1"/>
  <c r="F110" i="1"/>
  <c r="F34" i="1"/>
  <c r="F55" i="1"/>
  <c r="F76" i="1"/>
  <c r="F98" i="1"/>
  <c r="F119" i="1"/>
  <c r="F133" i="1"/>
  <c r="F117" i="1"/>
  <c r="F101" i="1"/>
  <c r="F85" i="1"/>
  <c r="F69" i="1"/>
  <c r="F53" i="1"/>
  <c r="F37" i="1"/>
  <c r="F21" i="1"/>
  <c r="F40" i="1"/>
  <c r="F84" i="1"/>
  <c r="F120" i="1"/>
  <c r="F26" i="1"/>
  <c r="F58" i="1"/>
  <c r="F86" i="1"/>
  <c r="F118" i="1"/>
  <c r="F19" i="1"/>
  <c r="F111" i="1"/>
  <c r="F122" i="1"/>
  <c r="E17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199" i="1"/>
  <c r="E203" i="1"/>
  <c r="E207" i="1"/>
  <c r="E211" i="1"/>
  <c r="E215" i="1"/>
  <c r="E219" i="1"/>
  <c r="E223" i="1"/>
  <c r="E227" i="1"/>
  <c r="E231" i="1"/>
  <c r="E22" i="1"/>
  <c r="E28" i="1"/>
  <c r="E33" i="1"/>
  <c r="E38" i="1"/>
  <c r="E44" i="1"/>
  <c r="E49" i="1"/>
  <c r="E54" i="1"/>
  <c r="E60" i="1"/>
  <c r="E65" i="1"/>
  <c r="E70" i="1"/>
  <c r="E76" i="1"/>
  <c r="E81" i="1"/>
  <c r="E86" i="1"/>
  <c r="E92" i="1"/>
  <c r="E97" i="1"/>
  <c r="E102" i="1"/>
  <c r="E108" i="1"/>
  <c r="E113" i="1"/>
  <c r="E118" i="1"/>
  <c r="E124" i="1"/>
  <c r="E129" i="1"/>
  <c r="E134" i="1"/>
  <c r="E140" i="1"/>
  <c r="E145" i="1"/>
  <c r="E150" i="1"/>
  <c r="E156" i="1"/>
  <c r="E161" i="1"/>
  <c r="E166" i="1"/>
  <c r="E172" i="1"/>
  <c r="E177" i="1"/>
  <c r="E182" i="1"/>
  <c r="E188" i="1"/>
  <c r="E193" i="1"/>
  <c r="E198" i="1"/>
  <c r="E204" i="1"/>
  <c r="E209" i="1"/>
  <c r="E214" i="1"/>
  <c r="E220" i="1"/>
  <c r="E225" i="1"/>
  <c r="E230" i="1"/>
  <c r="E235" i="1"/>
  <c r="E239" i="1"/>
  <c r="E243" i="1"/>
  <c r="E247" i="1"/>
  <c r="E251" i="1"/>
  <c r="E18" i="1"/>
  <c r="E24" i="1"/>
  <c r="E29" i="1"/>
  <c r="E34" i="1"/>
  <c r="E40" i="1"/>
  <c r="E45" i="1"/>
  <c r="E50" i="1"/>
  <c r="E56" i="1"/>
  <c r="E61" i="1"/>
  <c r="E66" i="1"/>
  <c r="E72" i="1"/>
  <c r="E77" i="1"/>
  <c r="E82" i="1"/>
  <c r="E88" i="1"/>
  <c r="E93" i="1"/>
  <c r="E98" i="1"/>
  <c r="E104" i="1"/>
  <c r="E109" i="1"/>
  <c r="E114" i="1"/>
  <c r="E120" i="1"/>
  <c r="E125" i="1"/>
  <c r="E130" i="1"/>
  <c r="E136" i="1"/>
  <c r="E141" i="1"/>
  <c r="E146" i="1"/>
  <c r="E152" i="1"/>
  <c r="E157" i="1"/>
  <c r="E162" i="1"/>
  <c r="E168" i="1"/>
  <c r="E173" i="1"/>
  <c r="E178" i="1"/>
  <c r="E184" i="1"/>
  <c r="E189" i="1"/>
  <c r="E194" i="1"/>
  <c r="E200" i="1"/>
  <c r="E205" i="1"/>
  <c r="E210" i="1"/>
  <c r="E216" i="1"/>
  <c r="E221" i="1"/>
  <c r="E226" i="1"/>
  <c r="E232" i="1"/>
  <c r="E236" i="1"/>
  <c r="E240" i="1"/>
  <c r="E244" i="1"/>
  <c r="E248" i="1"/>
  <c r="E252" i="1"/>
  <c r="E20" i="1"/>
  <c r="E25" i="1"/>
  <c r="E30" i="1"/>
  <c r="E36" i="1"/>
  <c r="E41" i="1"/>
  <c r="E46" i="1"/>
  <c r="E52" i="1"/>
  <c r="E57" i="1"/>
  <c r="E62" i="1"/>
  <c r="E68" i="1"/>
  <c r="E73" i="1"/>
  <c r="E78" i="1"/>
  <c r="E84" i="1"/>
  <c r="E89" i="1"/>
  <c r="E94" i="1"/>
  <c r="E100" i="1"/>
  <c r="E105" i="1"/>
  <c r="E110" i="1"/>
  <c r="E116" i="1"/>
  <c r="E121" i="1"/>
  <c r="E126" i="1"/>
  <c r="E132" i="1"/>
  <c r="E137" i="1"/>
  <c r="E142" i="1"/>
  <c r="E148" i="1"/>
  <c r="E153" i="1"/>
  <c r="E158" i="1"/>
  <c r="E164" i="1"/>
  <c r="E169" i="1"/>
  <c r="E174" i="1"/>
  <c r="E180" i="1"/>
  <c r="E185" i="1"/>
  <c r="E190" i="1"/>
  <c r="E196" i="1"/>
  <c r="E201" i="1"/>
  <c r="E206" i="1"/>
  <c r="E212" i="1"/>
  <c r="E217" i="1"/>
  <c r="E222" i="1"/>
  <c r="E228" i="1"/>
  <c r="E233" i="1"/>
  <c r="E237" i="1"/>
  <c r="E241" i="1"/>
  <c r="E245" i="1"/>
  <c r="E249" i="1"/>
  <c r="E253" i="1"/>
  <c r="E21" i="1"/>
  <c r="E26" i="1"/>
  <c r="E32" i="1"/>
  <c r="E37" i="1"/>
  <c r="E42" i="1"/>
  <c r="E48" i="1"/>
  <c r="E53" i="1"/>
  <c r="E58" i="1"/>
  <c r="E64" i="1"/>
  <c r="E85" i="1"/>
  <c r="E106" i="1"/>
  <c r="E128" i="1"/>
  <c r="E149" i="1"/>
  <c r="E170" i="1"/>
  <c r="E192" i="1"/>
  <c r="E213" i="1"/>
  <c r="E234" i="1"/>
  <c r="E250" i="1"/>
  <c r="E69" i="1"/>
  <c r="E90" i="1"/>
  <c r="E112" i="1"/>
  <c r="E133" i="1"/>
  <c r="E154" i="1"/>
  <c r="E176" i="1"/>
  <c r="E197" i="1"/>
  <c r="E218" i="1"/>
  <c r="E238" i="1"/>
  <c r="E74" i="1"/>
  <c r="E96" i="1"/>
  <c r="E117" i="1"/>
  <c r="E138" i="1"/>
  <c r="E160" i="1"/>
  <c r="E181" i="1"/>
  <c r="E202" i="1"/>
  <c r="E224" i="1"/>
  <c r="E242" i="1"/>
  <c r="E80" i="1"/>
  <c r="E101" i="1"/>
  <c r="E122" i="1"/>
  <c r="E144" i="1"/>
  <c r="E165" i="1"/>
  <c r="E186" i="1"/>
  <c r="E208" i="1"/>
  <c r="E229" i="1"/>
  <c r="E246" i="1"/>
  <c r="E35" i="4" l="1"/>
  <c r="G34" i="4"/>
  <c r="F35" i="4"/>
  <c r="B8" i="3"/>
  <c r="B9" i="3" s="1"/>
  <c r="B10" i="3" s="1"/>
  <c r="E36" i="4" l="1"/>
  <c r="F36" i="4"/>
  <c r="G35" i="4"/>
  <c r="E37" i="4" l="1"/>
  <c r="F37" i="4"/>
  <c r="G36" i="4"/>
  <c r="E38" i="4" l="1"/>
  <c r="G37" i="4"/>
  <c r="F38" i="4"/>
  <c r="E39" i="4" l="1"/>
  <c r="F39" i="4"/>
  <c r="G38" i="4"/>
  <c r="E40" i="4" l="1"/>
  <c r="F40" i="4"/>
  <c r="G39" i="4"/>
  <c r="E41" i="4" l="1"/>
  <c r="G40" i="4"/>
  <c r="F41" i="4"/>
  <c r="E42" i="4" l="1"/>
  <c r="G41" i="4"/>
  <c r="F42" i="4"/>
  <c r="E43" i="4" l="1"/>
  <c r="G42" i="4"/>
  <c r="F43" i="4"/>
  <c r="E44" i="4" l="1"/>
  <c r="F44" i="4"/>
  <c r="G43" i="4"/>
  <c r="E45" i="4" l="1"/>
  <c r="F45" i="4"/>
  <c r="G44" i="4"/>
  <c r="E46" i="4" l="1"/>
  <c r="G45" i="4"/>
  <c r="F46" i="4"/>
  <c r="E47" i="4" l="1"/>
  <c r="F47" i="4"/>
  <c r="G46" i="4"/>
  <c r="E48" i="4" l="1"/>
  <c r="F48" i="4"/>
  <c r="G47" i="4"/>
  <c r="E49" i="4" l="1"/>
  <c r="G48" i="4"/>
  <c r="F49" i="4"/>
  <c r="E50" i="4" l="1"/>
  <c r="G49" i="4"/>
  <c r="F50" i="4"/>
  <c r="E51" i="4" l="1"/>
  <c r="G50" i="4"/>
  <c r="F51" i="4"/>
  <c r="E52" i="4" l="1"/>
  <c r="F52" i="4"/>
  <c r="G51" i="4"/>
  <c r="E53" i="4" l="1"/>
  <c r="F53" i="4"/>
  <c r="G52" i="4"/>
  <c r="E54" i="4" l="1"/>
  <c r="G53" i="4"/>
  <c r="F54" i="4"/>
  <c r="E55" i="4" l="1"/>
  <c r="F55" i="4"/>
  <c r="G54" i="4"/>
  <c r="E56" i="4" l="1"/>
  <c r="F56" i="4"/>
  <c r="G55" i="4"/>
  <c r="E57" i="4" l="1"/>
  <c r="G56" i="4"/>
  <c r="F57" i="4"/>
  <c r="E58" i="4" l="1"/>
  <c r="G57" i="4"/>
  <c r="F58" i="4"/>
  <c r="E59" i="4" l="1"/>
  <c r="G58" i="4"/>
  <c r="F59" i="4"/>
  <c r="E60" i="4" l="1"/>
  <c r="F60" i="4"/>
  <c r="G59" i="4"/>
  <c r="E61" i="4" l="1"/>
  <c r="F61" i="4"/>
  <c r="G60" i="4"/>
  <c r="E62" i="4" l="1"/>
  <c r="G61" i="4"/>
  <c r="F62" i="4"/>
  <c r="E63" i="4" l="1"/>
  <c r="F63" i="4"/>
  <c r="G62" i="4"/>
  <c r="E64" i="4" l="1"/>
  <c r="F64" i="4"/>
  <c r="G63" i="4"/>
  <c r="E65" i="4" l="1"/>
  <c r="G64" i="4"/>
  <c r="F65" i="4"/>
  <c r="E66" i="4" l="1"/>
  <c r="G65" i="4"/>
  <c r="F66" i="4"/>
  <c r="E67" i="4" l="1"/>
  <c r="G66" i="4"/>
  <c r="F67" i="4"/>
  <c r="E68" i="4" l="1"/>
  <c r="F68" i="4"/>
  <c r="G67" i="4"/>
  <c r="E69" i="4" l="1"/>
  <c r="F69" i="4"/>
  <c r="G68" i="4"/>
  <c r="E70" i="4" l="1"/>
  <c r="G69" i="4"/>
  <c r="F70" i="4"/>
  <c r="E71" i="4" l="1"/>
  <c r="F71" i="4"/>
  <c r="G70" i="4"/>
  <c r="E72" i="4" l="1"/>
  <c r="F72" i="4"/>
  <c r="G71" i="4"/>
  <c r="E73" i="4" l="1"/>
  <c r="G72" i="4"/>
  <c r="F73" i="4"/>
  <c r="E74" i="4" l="1"/>
  <c r="G73" i="4"/>
  <c r="F74" i="4"/>
  <c r="E75" i="4" l="1"/>
  <c r="G74" i="4"/>
  <c r="F75" i="4"/>
  <c r="E76" i="4" l="1"/>
  <c r="F76" i="4"/>
  <c r="G75" i="4"/>
  <c r="E77" i="4" l="1"/>
  <c r="F77" i="4"/>
  <c r="G76" i="4"/>
  <c r="E78" i="4" l="1"/>
  <c r="G77" i="4"/>
  <c r="F78" i="4"/>
  <c r="E79" i="4" l="1"/>
  <c r="F79" i="4"/>
  <c r="G78" i="4"/>
  <c r="E80" i="4" l="1"/>
  <c r="F80" i="4"/>
  <c r="G79" i="4"/>
  <c r="E81" i="4" l="1"/>
  <c r="G80" i="4"/>
  <c r="F81" i="4"/>
  <c r="E82" i="4" l="1"/>
  <c r="G81" i="4"/>
  <c r="F82" i="4"/>
  <c r="E83" i="4" l="1"/>
  <c r="G82" i="4"/>
  <c r="F83" i="4"/>
  <c r="E84" i="4" l="1"/>
  <c r="F84" i="4"/>
  <c r="G83" i="4"/>
  <c r="E85" i="4" l="1"/>
  <c r="F85" i="4"/>
  <c r="G84" i="4"/>
  <c r="E86" i="4" l="1"/>
  <c r="G85" i="4"/>
  <c r="F86" i="4"/>
  <c r="E87" i="4" l="1"/>
  <c r="F87" i="4"/>
  <c r="G86" i="4"/>
  <c r="E88" i="4" l="1"/>
  <c r="F88" i="4"/>
  <c r="G87" i="4"/>
  <c r="E89" i="4" l="1"/>
  <c r="G88" i="4"/>
  <c r="F89" i="4"/>
  <c r="E90" i="4" l="1"/>
  <c r="G89" i="4"/>
  <c r="F90" i="4"/>
  <c r="E91" i="4" l="1"/>
  <c r="G90" i="4"/>
  <c r="F91" i="4"/>
  <c r="E92" i="4" l="1"/>
  <c r="F92" i="4"/>
  <c r="G91" i="4"/>
  <c r="E93" i="4" l="1"/>
  <c r="F93" i="4"/>
  <c r="G92" i="4"/>
  <c r="E94" i="4" l="1"/>
  <c r="G93" i="4"/>
  <c r="F94" i="4"/>
  <c r="E95" i="4" l="1"/>
  <c r="F95" i="4"/>
  <c r="G94" i="4"/>
  <c r="E96" i="4" l="1"/>
  <c r="F96" i="4"/>
  <c r="G95" i="4"/>
  <c r="E97" i="4" l="1"/>
  <c r="G96" i="4"/>
  <c r="F97" i="4"/>
  <c r="E98" i="4" l="1"/>
  <c r="G97" i="4"/>
  <c r="F98" i="4"/>
  <c r="E99" i="4" l="1"/>
  <c r="G98" i="4"/>
  <c r="F99" i="4"/>
  <c r="E100" i="4" l="1"/>
  <c r="F100" i="4"/>
  <c r="G99" i="4"/>
  <c r="E101" i="4" l="1"/>
  <c r="F101" i="4"/>
  <c r="G100" i="4"/>
  <c r="E102" i="4" l="1"/>
  <c r="G101" i="4"/>
  <c r="F102" i="4"/>
  <c r="E103" i="4" l="1"/>
  <c r="F103" i="4"/>
  <c r="G102" i="4"/>
  <c r="E104" i="4" l="1"/>
  <c r="F104" i="4"/>
  <c r="G103" i="4"/>
  <c r="E105" i="4" l="1"/>
  <c r="G104" i="4"/>
  <c r="F105" i="4"/>
  <c r="E106" i="4" l="1"/>
  <c r="G105" i="4"/>
  <c r="F106" i="4"/>
  <c r="E107" i="4" l="1"/>
  <c r="G106" i="4"/>
  <c r="F107" i="4"/>
  <c r="E108" i="4" l="1"/>
  <c r="F108" i="4"/>
  <c r="G107" i="4"/>
  <c r="E109" i="4" l="1"/>
  <c r="F109" i="4"/>
  <c r="G108" i="4"/>
  <c r="E110" i="4" l="1"/>
  <c r="G109" i="4"/>
  <c r="F110" i="4"/>
  <c r="E111" i="4" l="1"/>
  <c r="F111" i="4"/>
  <c r="G110" i="4"/>
  <c r="E112" i="4" l="1"/>
  <c r="F112" i="4"/>
  <c r="G111" i="4"/>
  <c r="E113" i="4" l="1"/>
  <c r="G112" i="4"/>
  <c r="F113" i="4"/>
  <c r="E114" i="4" l="1"/>
  <c r="G113" i="4"/>
  <c r="F114" i="4"/>
  <c r="E115" i="4" l="1"/>
  <c r="G114" i="4"/>
  <c r="F115" i="4"/>
  <c r="E116" i="4" l="1"/>
  <c r="F116" i="4"/>
  <c r="G115" i="4"/>
  <c r="F117" i="4" l="1"/>
  <c r="E117" i="4"/>
  <c r="G116" i="4"/>
  <c r="F118" i="4" l="1"/>
  <c r="G117" i="4"/>
  <c r="E118" i="4"/>
  <c r="F119" i="4" l="1"/>
  <c r="G118" i="4"/>
  <c r="E119" i="4"/>
  <c r="F120" i="4" l="1"/>
  <c r="E120" i="4"/>
  <c r="G119" i="4"/>
  <c r="F121" i="4" l="1"/>
  <c r="E121" i="4"/>
  <c r="G120" i="4"/>
  <c r="F122" i="4" l="1"/>
  <c r="G121" i="4"/>
  <c r="E122" i="4"/>
  <c r="F123" i="4" l="1"/>
  <c r="G122" i="4"/>
  <c r="E123" i="4"/>
  <c r="F124" i="4" l="1"/>
  <c r="E124" i="4"/>
  <c r="G123" i="4"/>
  <c r="F125" i="4" l="1"/>
  <c r="E125" i="4"/>
  <c r="G124" i="4"/>
  <c r="F126" i="4" l="1"/>
  <c r="G125" i="4"/>
  <c r="E126" i="4"/>
  <c r="F127" i="4" l="1"/>
  <c r="G126" i="4"/>
  <c r="E127" i="4"/>
  <c r="F128" i="4" l="1"/>
  <c r="E128" i="4"/>
  <c r="G127" i="4"/>
  <c r="F129" i="4" l="1"/>
  <c r="E129" i="4"/>
  <c r="G128" i="4"/>
  <c r="F130" i="4" l="1"/>
  <c r="G129" i="4"/>
  <c r="E130" i="4"/>
  <c r="F131" i="4" l="1"/>
  <c r="G130" i="4"/>
  <c r="E131" i="4"/>
  <c r="F132" i="4" l="1"/>
  <c r="E132" i="4"/>
  <c r="G131" i="4"/>
  <c r="F133" i="4" l="1"/>
  <c r="E133" i="4"/>
  <c r="G132" i="4"/>
  <c r="F134" i="4" l="1"/>
  <c r="G133" i="4"/>
  <c r="E134" i="4"/>
  <c r="F135" i="4" l="1"/>
  <c r="G134" i="4"/>
  <c r="E135" i="4"/>
  <c r="F136" i="4" l="1"/>
  <c r="E136" i="4"/>
  <c r="G135" i="4"/>
  <c r="F137" i="4" l="1"/>
  <c r="E137" i="4"/>
  <c r="G136" i="4"/>
  <c r="F138" i="4" l="1"/>
  <c r="G137" i="4"/>
  <c r="E138" i="4"/>
  <c r="F139" i="4" l="1"/>
  <c r="G138" i="4"/>
  <c r="E139" i="4"/>
  <c r="F140" i="4" l="1"/>
  <c r="E140" i="4"/>
  <c r="G139" i="4"/>
  <c r="F141" i="4" l="1"/>
  <c r="E141" i="4"/>
  <c r="G140" i="4"/>
  <c r="F142" i="4" l="1"/>
  <c r="G141" i="4"/>
  <c r="E142" i="4"/>
  <c r="F143" i="4" l="1"/>
  <c r="G142" i="4"/>
  <c r="E143" i="4"/>
  <c r="F144" i="4" l="1"/>
  <c r="E144" i="4"/>
  <c r="G143" i="4"/>
  <c r="F145" i="4" l="1"/>
  <c r="E145" i="4"/>
  <c r="G144" i="4"/>
  <c r="F146" i="4" l="1"/>
  <c r="G145" i="4"/>
  <c r="E146" i="4"/>
  <c r="F147" i="4" l="1"/>
  <c r="G146" i="4"/>
  <c r="E147" i="4"/>
  <c r="F148" i="4" l="1"/>
  <c r="E148" i="4"/>
  <c r="G147" i="4"/>
  <c r="F149" i="4" l="1"/>
  <c r="E149" i="4"/>
  <c r="G148" i="4"/>
  <c r="F150" i="4" l="1"/>
  <c r="G149" i="4"/>
  <c r="E150" i="4"/>
  <c r="F151" i="4" l="1"/>
  <c r="G150" i="4"/>
  <c r="E151" i="4"/>
  <c r="F152" i="4" l="1"/>
  <c r="E152" i="4"/>
  <c r="G151" i="4"/>
  <c r="F153" i="4" l="1"/>
  <c r="E153" i="4"/>
  <c r="G152" i="4"/>
  <c r="F154" i="4" l="1"/>
  <c r="G153" i="4"/>
  <c r="E154" i="4"/>
  <c r="F155" i="4" l="1"/>
  <c r="G154" i="4"/>
  <c r="E155" i="4"/>
  <c r="F156" i="4" l="1"/>
  <c r="E156" i="4"/>
  <c r="G155" i="4"/>
  <c r="F157" i="4" l="1"/>
  <c r="E157" i="4"/>
  <c r="G156" i="4"/>
  <c r="F158" i="4" l="1"/>
  <c r="G157" i="4"/>
  <c r="E158" i="4"/>
  <c r="F159" i="4" l="1"/>
  <c r="G158" i="4"/>
  <c r="E159" i="4"/>
  <c r="F160" i="4" l="1"/>
  <c r="E160" i="4"/>
  <c r="G159" i="4"/>
  <c r="F161" i="4" l="1"/>
  <c r="E161" i="4"/>
  <c r="G160" i="4"/>
  <c r="F162" i="4" l="1"/>
  <c r="G161" i="4"/>
  <c r="E162" i="4"/>
  <c r="F163" i="4" l="1"/>
  <c r="G162" i="4"/>
  <c r="E163" i="4"/>
  <c r="F164" i="4" l="1"/>
  <c r="E164" i="4"/>
  <c r="G163" i="4"/>
  <c r="F165" i="4" l="1"/>
  <c r="E165" i="4"/>
  <c r="G164" i="4"/>
  <c r="F166" i="4" l="1"/>
  <c r="G165" i="4"/>
  <c r="E166" i="4"/>
  <c r="F167" i="4" l="1"/>
  <c r="G166" i="4"/>
  <c r="E167" i="4"/>
  <c r="F168" i="4" l="1"/>
  <c r="E168" i="4"/>
  <c r="G167" i="4"/>
  <c r="F169" i="4" l="1"/>
  <c r="E169" i="4"/>
  <c r="G168" i="4"/>
  <c r="F170" i="4" l="1"/>
  <c r="G169" i="4"/>
  <c r="E170" i="4"/>
  <c r="F171" i="4" l="1"/>
  <c r="G170" i="4"/>
  <c r="E171" i="4"/>
  <c r="F172" i="4" l="1"/>
  <c r="E172" i="4"/>
  <c r="G171" i="4"/>
  <c r="F173" i="4" l="1"/>
  <c r="E173" i="4"/>
  <c r="G172" i="4"/>
  <c r="F174" i="4" l="1"/>
  <c r="G173" i="4"/>
  <c r="E174" i="4"/>
  <c r="F175" i="4" l="1"/>
  <c r="G174" i="4"/>
  <c r="E175" i="4"/>
  <c r="F176" i="4" l="1"/>
  <c r="E176" i="4"/>
  <c r="G175" i="4"/>
  <c r="F177" i="4" l="1"/>
  <c r="E177" i="4"/>
  <c r="G176" i="4"/>
  <c r="F178" i="4" l="1"/>
  <c r="G177" i="4"/>
  <c r="E178" i="4"/>
  <c r="F179" i="4" l="1"/>
  <c r="G178" i="4"/>
  <c r="E179" i="4"/>
  <c r="F180" i="4" l="1"/>
  <c r="E180" i="4"/>
  <c r="G179" i="4"/>
  <c r="F181" i="4" l="1"/>
  <c r="E181" i="4"/>
  <c r="G180" i="4"/>
  <c r="F182" i="4" l="1"/>
  <c r="G181" i="4"/>
  <c r="E182" i="4"/>
  <c r="F183" i="4" l="1"/>
  <c r="G182" i="4"/>
  <c r="E183" i="4"/>
  <c r="F184" i="4" l="1"/>
  <c r="E184" i="4"/>
  <c r="G183" i="4"/>
  <c r="F185" i="4" l="1"/>
  <c r="E185" i="4"/>
  <c r="G184" i="4"/>
  <c r="F186" i="4" l="1"/>
  <c r="G185" i="4"/>
  <c r="E186" i="4"/>
  <c r="F187" i="4" l="1"/>
  <c r="G186" i="4"/>
  <c r="E187" i="4"/>
  <c r="F188" i="4" l="1"/>
  <c r="E188" i="4"/>
  <c r="G187" i="4"/>
  <c r="F189" i="4" l="1"/>
  <c r="E189" i="4"/>
  <c r="G188" i="4"/>
  <c r="F190" i="4" l="1"/>
  <c r="G189" i="4"/>
  <c r="E190" i="4"/>
  <c r="F191" i="4" l="1"/>
  <c r="G190" i="4"/>
  <c r="E191" i="4"/>
  <c r="F192" i="4" l="1"/>
  <c r="E192" i="4"/>
  <c r="G191" i="4"/>
  <c r="F193" i="4" l="1"/>
  <c r="E193" i="4"/>
  <c r="G192" i="4"/>
  <c r="F194" i="4" l="1"/>
  <c r="G193" i="4"/>
  <c r="E194" i="4"/>
  <c r="F195" i="4" l="1"/>
  <c r="G194" i="4"/>
  <c r="E195" i="4"/>
  <c r="F196" i="4" l="1"/>
  <c r="E196" i="4"/>
  <c r="G195" i="4"/>
  <c r="F197" i="4" l="1"/>
  <c r="E197" i="4"/>
  <c r="G196" i="4"/>
  <c r="F198" i="4" l="1"/>
  <c r="G197" i="4"/>
  <c r="E198" i="4"/>
  <c r="F199" i="4" l="1"/>
  <c r="G198" i="4"/>
  <c r="E199" i="4"/>
  <c r="F200" i="4" l="1"/>
  <c r="E200" i="4"/>
  <c r="G199" i="4"/>
  <c r="F201" i="4" l="1"/>
  <c r="E201" i="4"/>
  <c r="G200" i="4"/>
  <c r="F202" i="4" l="1"/>
  <c r="G201" i="4"/>
  <c r="E202" i="4"/>
  <c r="F203" i="4" l="1"/>
  <c r="G202" i="4"/>
  <c r="E203" i="4"/>
  <c r="F204" i="4" l="1"/>
  <c r="E204" i="4"/>
  <c r="G203" i="4"/>
  <c r="F205" i="4" l="1"/>
  <c r="E205" i="4"/>
  <c r="G204" i="4"/>
  <c r="F206" i="4" l="1"/>
  <c r="G205" i="4"/>
  <c r="E206" i="4"/>
  <c r="F207" i="4" l="1"/>
  <c r="G206" i="4"/>
  <c r="E207" i="4"/>
  <c r="F208" i="4" l="1"/>
  <c r="E208" i="4"/>
  <c r="G207" i="4"/>
  <c r="F209" i="4" l="1"/>
  <c r="E209" i="4"/>
  <c r="G208" i="4"/>
  <c r="F210" i="4" l="1"/>
  <c r="G209" i="4"/>
  <c r="E210" i="4"/>
  <c r="F211" i="4" l="1"/>
  <c r="G210" i="4"/>
  <c r="E211" i="4"/>
  <c r="F212" i="4" l="1"/>
  <c r="E212" i="4"/>
  <c r="G211" i="4"/>
  <c r="F213" i="4" l="1"/>
  <c r="E213" i="4"/>
  <c r="G212" i="4"/>
  <c r="F214" i="4" l="1"/>
  <c r="G213" i="4"/>
  <c r="E214" i="4"/>
  <c r="F215" i="4" l="1"/>
  <c r="G214" i="4"/>
  <c r="E215" i="4"/>
  <c r="F216" i="4" l="1"/>
  <c r="E216" i="4"/>
  <c r="G215" i="4"/>
  <c r="F217" i="4" l="1"/>
  <c r="E217" i="4"/>
  <c r="G216" i="4"/>
  <c r="F218" i="4" l="1"/>
  <c r="G217" i="4"/>
  <c r="E218" i="4"/>
  <c r="F219" i="4" l="1"/>
  <c r="G218" i="4"/>
  <c r="E219" i="4"/>
  <c r="F220" i="4" l="1"/>
  <c r="E220" i="4"/>
  <c r="G219" i="4"/>
  <c r="F221" i="4" l="1"/>
  <c r="E221" i="4"/>
  <c r="G220" i="4"/>
  <c r="F222" i="4" l="1"/>
  <c r="G221" i="4"/>
  <c r="E222" i="4"/>
  <c r="F223" i="4" l="1"/>
  <c r="G222" i="4"/>
  <c r="E223" i="4"/>
  <c r="F224" i="4" l="1"/>
  <c r="E224" i="4"/>
  <c r="G223" i="4"/>
  <c r="F225" i="4" l="1"/>
  <c r="E225" i="4"/>
  <c r="G224" i="4"/>
  <c r="F226" i="4" l="1"/>
  <c r="G225" i="4"/>
  <c r="E226" i="4"/>
  <c r="F227" i="4" l="1"/>
  <c r="G226" i="4"/>
  <c r="E227" i="4"/>
  <c r="F228" i="4" l="1"/>
  <c r="E228" i="4"/>
  <c r="G227" i="4"/>
  <c r="F229" i="4" l="1"/>
  <c r="E229" i="4"/>
  <c r="G228" i="4"/>
  <c r="F230" i="4" l="1"/>
  <c r="G229" i="4"/>
  <c r="E230" i="4"/>
  <c r="F231" i="4" l="1"/>
  <c r="G230" i="4"/>
  <c r="E231" i="4"/>
  <c r="F232" i="4" l="1"/>
  <c r="E232" i="4"/>
  <c r="G231" i="4"/>
  <c r="F233" i="4" l="1"/>
  <c r="E233" i="4"/>
  <c r="G232" i="4"/>
  <c r="F234" i="4" l="1"/>
  <c r="G233" i="4"/>
  <c r="E234" i="4"/>
  <c r="F235" i="4" l="1"/>
  <c r="G234" i="4"/>
  <c r="E235" i="4"/>
  <c r="F236" i="4" l="1"/>
  <c r="E236" i="4"/>
  <c r="G235" i="4"/>
  <c r="F237" i="4" l="1"/>
  <c r="E237" i="4"/>
  <c r="G236" i="4"/>
  <c r="F238" i="4" l="1"/>
  <c r="G237" i="4"/>
  <c r="E238" i="4"/>
  <c r="F239" i="4" l="1"/>
  <c r="G238" i="4"/>
  <c r="E239" i="4"/>
  <c r="F240" i="4" l="1"/>
  <c r="E240" i="4"/>
  <c r="G239" i="4"/>
  <c r="F241" i="4" l="1"/>
  <c r="E241" i="4"/>
  <c r="G240" i="4"/>
  <c r="F242" i="4" l="1"/>
  <c r="G241" i="4"/>
  <c r="E242" i="4"/>
  <c r="F243" i="4" l="1"/>
  <c r="G242" i="4"/>
  <c r="E243" i="4"/>
  <c r="E244" i="4" l="1"/>
  <c r="F244" i="4"/>
  <c r="G243" i="4"/>
  <c r="E245" i="4" l="1"/>
  <c r="F245" i="4"/>
  <c r="G244" i="4"/>
  <c r="E246" i="4" l="1"/>
  <c r="F246" i="4"/>
  <c r="G245" i="4"/>
  <c r="E247" i="4" l="1"/>
  <c r="F247" i="4"/>
  <c r="G246" i="4"/>
  <c r="E248" i="4" l="1"/>
  <c r="F248" i="4"/>
  <c r="G247" i="4"/>
  <c r="E249" i="4" l="1"/>
  <c r="F249" i="4"/>
  <c r="G248" i="4"/>
  <c r="E250" i="4" l="1"/>
  <c r="F250" i="4"/>
  <c r="G249" i="4"/>
  <c r="E251" i="4" l="1"/>
  <c r="F251" i="4"/>
  <c r="G250" i="4"/>
  <c r="E252" i="4" l="1"/>
  <c r="F252" i="4"/>
  <c r="G251" i="4"/>
  <c r="E253" i="4" l="1"/>
  <c r="F253" i="4"/>
  <c r="G252" i="4"/>
  <c r="E254" i="4" l="1"/>
  <c r="G253" i="4"/>
  <c r="F254" i="4"/>
  <c r="E255" i="4" l="1"/>
  <c r="G254" i="4"/>
  <c r="F255" i="4"/>
  <c r="E256" i="4" l="1"/>
  <c r="F256" i="4"/>
  <c r="G255" i="4"/>
  <c r="E257" i="4" l="1"/>
  <c r="F257" i="4"/>
  <c r="G256" i="4"/>
  <c r="E258" i="4" l="1"/>
  <c r="G257" i="4"/>
  <c r="F258" i="4"/>
  <c r="E259" i="4" l="1"/>
  <c r="G258" i="4"/>
  <c r="F259" i="4"/>
  <c r="E260" i="4" l="1"/>
  <c r="F260" i="4"/>
  <c r="G259" i="4"/>
  <c r="E261" i="4" l="1"/>
  <c r="F261" i="4"/>
  <c r="G260" i="4"/>
  <c r="E262" i="4" l="1"/>
  <c r="G261" i="4"/>
  <c r="F262" i="4"/>
  <c r="E263" i="4" l="1"/>
  <c r="G262" i="4"/>
  <c r="F263" i="4"/>
  <c r="E264" i="4" l="1"/>
  <c r="F264" i="4"/>
  <c r="G263" i="4"/>
  <c r="E265" i="4" l="1"/>
  <c r="F265" i="4"/>
  <c r="G264" i="4"/>
  <c r="E266" i="4" l="1"/>
  <c r="G265" i="4"/>
  <c r="F266" i="4"/>
  <c r="E267" i="4" l="1"/>
  <c r="G266" i="4"/>
  <c r="F267" i="4"/>
  <c r="E268" i="4" l="1"/>
  <c r="F268" i="4"/>
  <c r="G267" i="4"/>
  <c r="E269" i="4" l="1"/>
  <c r="F269" i="4"/>
  <c r="G268" i="4"/>
  <c r="E270" i="4" l="1"/>
  <c r="G269" i="4"/>
  <c r="F270" i="4"/>
  <c r="E271" i="4" l="1"/>
  <c r="G270" i="4"/>
  <c r="F271" i="4"/>
  <c r="E272" i="4" l="1"/>
  <c r="F272" i="4"/>
  <c r="G271" i="4"/>
  <c r="E273" i="4" l="1"/>
  <c r="F273" i="4"/>
  <c r="G272" i="4"/>
  <c r="E274" i="4" l="1"/>
  <c r="G273" i="4"/>
  <c r="F274" i="4"/>
  <c r="E275" i="4" l="1"/>
  <c r="G274" i="4"/>
  <c r="F275" i="4"/>
  <c r="E276" i="4" l="1"/>
  <c r="F276" i="4"/>
  <c r="G275" i="4"/>
  <c r="E277" i="4" l="1"/>
  <c r="F277" i="4"/>
  <c r="G276" i="4"/>
  <c r="E278" i="4" l="1"/>
  <c r="G277" i="4"/>
  <c r="F278" i="4"/>
  <c r="E279" i="4" l="1"/>
  <c r="G278" i="4"/>
  <c r="F279" i="4"/>
  <c r="E280" i="4" l="1"/>
  <c r="F280" i="4"/>
  <c r="G279" i="4"/>
  <c r="G280" i="4" l="1"/>
</calcChain>
</file>

<file path=xl/sharedStrings.xml><?xml version="1.0" encoding="utf-8"?>
<sst xmlns="http://schemas.openxmlformats.org/spreadsheetml/2006/main" count="68" uniqueCount="65">
  <si>
    <t>Estimating a stock's volatility using daily data</t>
    <phoneticPr fontId="1" type="noConversion"/>
  </si>
  <si>
    <t>using formulas</t>
    <phoneticPr fontId="1" type="noConversion"/>
  </si>
  <si>
    <t>using excel functions</t>
    <phoneticPr fontId="1" type="noConversion"/>
  </si>
  <si>
    <t>number of days of data</t>
    <phoneticPr fontId="1" type="noConversion"/>
  </si>
  <si>
    <t>number of daily returns</t>
    <phoneticPr fontId="1" type="noConversion"/>
  </si>
  <si>
    <t>mean daily return</t>
    <phoneticPr fontId="1" type="noConversion"/>
  </si>
  <si>
    <t>daily variance</t>
    <phoneticPr fontId="1" type="noConversion"/>
  </si>
  <si>
    <t>daily stdev.</t>
    <phoneticPr fontId="1" type="noConversion"/>
  </si>
  <si>
    <t>volatility (annualized SD)</t>
    <phoneticPr fontId="1" type="noConversion"/>
  </si>
  <si>
    <t>date</t>
    <phoneticPr fontId="1" type="noConversion"/>
  </si>
  <si>
    <t>closing</t>
    <phoneticPr fontId="1" type="noConversion"/>
  </si>
  <si>
    <t>price</t>
    <phoneticPr fontId="1" type="noConversion"/>
  </si>
  <si>
    <t>daily</t>
    <phoneticPr fontId="1" type="noConversion"/>
  </si>
  <si>
    <t>squared deviation</t>
    <phoneticPr fontId="1" type="noConversion"/>
  </si>
  <si>
    <t>relative</t>
    <phoneticPr fontId="1" type="noConversion"/>
  </si>
  <si>
    <t>return</t>
    <phoneticPr fontId="1" type="noConversion"/>
  </si>
  <si>
    <t>238 days</t>
    <phoneticPr fontId="1" type="noConversion"/>
  </si>
  <si>
    <t>119 days</t>
    <phoneticPr fontId="1" type="noConversion"/>
  </si>
  <si>
    <t>=averageif(g17:g254,"&lt;="&amp;text(e6,"0"),hs300_rr_daily)</t>
    <phoneticPr fontId="1" type="noConversion"/>
  </si>
  <si>
    <t>Day</t>
    <phoneticPr fontId="1" type="noConversion"/>
  </si>
  <si>
    <t>Close</t>
    <phoneticPr fontId="1" type="noConversion"/>
  </si>
  <si>
    <t>Estimating HS300 Volatility Using Daily Data</t>
    <phoneticPr fontId="1" type="noConversion"/>
  </si>
  <si>
    <t>number of days of data</t>
    <phoneticPr fontId="1" type="noConversion"/>
  </si>
  <si>
    <t>number of daily returns</t>
    <phoneticPr fontId="1" type="noConversion"/>
  </si>
  <si>
    <t>mean daily return</t>
    <phoneticPr fontId="1" type="noConversion"/>
  </si>
  <si>
    <t>daily variance</t>
    <phoneticPr fontId="1" type="noConversion"/>
  </si>
  <si>
    <t>daily standard deviation</t>
    <phoneticPr fontId="1" type="noConversion"/>
  </si>
  <si>
    <t>volatility (annualized SD)</t>
    <phoneticPr fontId="1" type="noConversion"/>
  </si>
  <si>
    <t>using formula</t>
    <phoneticPr fontId="1" type="noConversion"/>
  </si>
  <si>
    <t>using function</t>
    <phoneticPr fontId="1" type="noConversion"/>
  </si>
  <si>
    <t>date</t>
    <phoneticPr fontId="1" type="noConversion"/>
  </si>
  <si>
    <t>closing</t>
    <phoneticPr fontId="1" type="noConversion"/>
  </si>
  <si>
    <t>price</t>
    <phoneticPr fontId="1" type="noConversion"/>
  </si>
  <si>
    <t>daily</t>
    <phoneticPr fontId="1" type="noConversion"/>
  </si>
  <si>
    <t>squared</t>
    <phoneticPr fontId="1" type="noConversion"/>
  </si>
  <si>
    <t>day no.</t>
    <phoneticPr fontId="1" type="noConversion"/>
  </si>
  <si>
    <t>daily return</t>
    <phoneticPr fontId="1" type="noConversion"/>
  </si>
  <si>
    <t>for formula</t>
    <phoneticPr fontId="1" type="noConversion"/>
  </si>
  <si>
    <t>for function</t>
    <phoneticPr fontId="1" type="noConversion"/>
  </si>
  <si>
    <t>relative</t>
    <phoneticPr fontId="1" type="noConversion"/>
  </si>
  <si>
    <t>return</t>
    <phoneticPr fontId="1" type="noConversion"/>
  </si>
  <si>
    <t>deviation</t>
    <phoneticPr fontId="1" type="noConversion"/>
  </si>
  <si>
    <t>列1</t>
    <phoneticPr fontId="1" type="noConversion"/>
  </si>
  <si>
    <t>time window</t>
    <phoneticPr fontId="1" type="noConversion"/>
  </si>
  <si>
    <t>volatility annualized</t>
    <phoneticPr fontId="1" type="noConversion"/>
  </si>
  <si>
    <t>simulating stock prices</t>
    <phoneticPr fontId="1" type="noConversion"/>
  </si>
  <si>
    <t>time increment (Dt, days)</t>
    <phoneticPr fontId="1" type="noConversion"/>
  </si>
  <si>
    <t>stock price now (S0)</t>
    <phoneticPr fontId="1" type="noConversion"/>
  </si>
  <si>
    <t>expected return Mu (per year)</t>
    <phoneticPr fontId="1" type="noConversion"/>
  </si>
  <si>
    <t>volatility (V, annualized)</t>
    <phoneticPr fontId="1" type="noConversion"/>
  </si>
  <si>
    <t>expected return m (per year)</t>
    <phoneticPr fontId="1" type="noConversion"/>
  </si>
  <si>
    <t>randow draw</t>
    <phoneticPr fontId="1" type="noConversion"/>
  </si>
  <si>
    <t>step count</t>
    <phoneticPr fontId="1" type="noConversion"/>
  </si>
  <si>
    <t>uniform</t>
    <phoneticPr fontId="1" type="noConversion"/>
  </si>
  <si>
    <t>normal</t>
    <phoneticPr fontId="1" type="noConversion"/>
  </si>
  <si>
    <t>day</t>
    <phoneticPr fontId="1" type="noConversion"/>
  </si>
  <si>
    <t>number</t>
    <phoneticPr fontId="1" type="noConversion"/>
  </si>
  <si>
    <t>stock</t>
    <phoneticPr fontId="1" type="noConversion"/>
  </si>
  <si>
    <t>components</t>
    <phoneticPr fontId="1" type="noConversion"/>
  </si>
  <si>
    <t>certain</t>
    <phoneticPr fontId="1" type="noConversion"/>
  </si>
  <si>
    <t>uncertain</t>
    <phoneticPr fontId="1" type="noConversion"/>
  </si>
  <si>
    <t>Time interval</t>
    <phoneticPr fontId="1" type="noConversion"/>
  </si>
  <si>
    <t>Time horizon</t>
    <phoneticPr fontId="1" type="noConversion"/>
  </si>
  <si>
    <t>Time interval (years)</t>
    <phoneticPr fontId="1" type="noConversion"/>
  </si>
  <si>
    <t>Fig: Volatility vs. Sampling Time Horizon. Volatility is generally estimated using 90 to 180 days of price history, but it is always a judgement call. The more data we use, the more accurate our estimate wil be--provided volatility remained constant for the entire period. Volatility of any stock fluctuates a lot over time, however. Using longer periods therefore may not be meaningful.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</si>
</sst>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¥&quot;#,##0.00;&quot;¥&quot;\-#,##0.00"/>
    <numFmt numFmtId="176" formatCode="0.00000"/>
    <numFmt numFmtId="178" formatCode="0.000_);[Red]\(0.000\)"/>
  </numFmts>
  <fonts count="7" x14ac:knownFonts="1">
    <font>
      <sz val="11"/>
      <color theme="1"/>
      <name val="Consolas"/>
      <family val="2"/>
      <charset val="134"/>
    </font>
    <font>
      <sz val="9"/>
      <name val="Consolas"/>
      <family val="2"/>
      <charset val="134"/>
    </font>
    <font>
      <b/>
      <sz val="11"/>
      <color theme="1"/>
      <name val="Consolas"/>
      <family val="3"/>
    </font>
    <font>
      <sz val="11"/>
      <color theme="8" tint="0.79998168889431442"/>
      <name val="Consolas"/>
      <family val="2"/>
      <charset val="134"/>
    </font>
    <font>
      <sz val="11"/>
      <color theme="8" tint="0.79998168889431442"/>
      <name val="Consolas"/>
      <family val="3"/>
    </font>
    <font>
      <b/>
      <sz val="11"/>
      <color theme="3"/>
      <name val="Consolas"/>
      <family val="2"/>
      <charset val="134"/>
    </font>
    <font>
      <sz val="11"/>
      <color theme="0"/>
      <name val="Consolas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>
      <alignment vertical="center"/>
    </xf>
    <xf numFmtId="0" fontId="5" fillId="0" borderId="1" applyNumberFormat="0" applyFill="0" applyAlignment="0" applyProtection="0">
      <alignment vertical="center"/>
    </xf>
  </cellStyleXfs>
  <cellXfs count="25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0" fontId="2" fillId="2" borderId="0" xfId="0" applyFont="1" applyFill="1" applyAlignment="1">
      <alignment horizontal="right" vertical="center"/>
    </xf>
    <xf numFmtId="0" fontId="3" fillId="0" borderId="0" xfId="0" quotePrefix="1" applyFont="1">
      <alignment vertical="center"/>
    </xf>
    <xf numFmtId="0" fontId="4" fillId="0" borderId="0" xfId="0" applyFont="1">
      <alignment vertical="center"/>
    </xf>
    <xf numFmtId="0" fontId="2" fillId="0" borderId="0" xfId="0" applyFont="1" applyBorder="1">
      <alignment vertical="center"/>
    </xf>
    <xf numFmtId="0" fontId="2" fillId="2" borderId="0" xfId="0" applyFont="1" applyFill="1" applyBorder="1">
      <alignment vertical="center"/>
    </xf>
    <xf numFmtId="0" fontId="0" fillId="2" borderId="0" xfId="0" applyFill="1">
      <alignment vertical="center"/>
    </xf>
    <xf numFmtId="0" fontId="2" fillId="2" borderId="2" xfId="0" applyFont="1" applyFill="1" applyBorder="1">
      <alignment vertical="center"/>
    </xf>
    <xf numFmtId="0" fontId="6" fillId="0" borderId="0" xfId="0" applyFont="1" applyFill="1">
      <alignment vertical="center"/>
    </xf>
    <xf numFmtId="0" fontId="5" fillId="0" borderId="1" xfId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9" fontId="0" fillId="3" borderId="0" xfId="0" applyNumberFormat="1" applyFill="1">
      <alignment vertical="center"/>
    </xf>
    <xf numFmtId="10" fontId="0" fillId="4" borderId="0" xfId="0" applyNumberFormat="1" applyFill="1">
      <alignment vertical="center"/>
    </xf>
    <xf numFmtId="0" fontId="0" fillId="4" borderId="3" xfId="0" applyFill="1" applyBorder="1">
      <alignment vertical="center"/>
    </xf>
    <xf numFmtId="7" fontId="0" fillId="4" borderId="0" xfId="0" applyNumberFormat="1" applyFill="1">
      <alignment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178" fontId="0" fillId="0" borderId="0" xfId="0" applyNumberFormat="1">
      <alignment vertical="center"/>
    </xf>
    <xf numFmtId="0" fontId="0" fillId="0" borderId="0" xfId="0" applyAlignment="1">
      <alignment vertical="center" wrapText="1"/>
    </xf>
  </cellXfs>
  <cellStyles count="2">
    <cellStyle name="标题 3" xfId="1" builtinId="18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Volatility</a:t>
            </a:r>
            <a:r>
              <a:rPr lang="en-US" altLang="zh-CN" baseline="0"/>
              <a:t> vs. Sampling Horizon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4.1078927094565912E-2"/>
          <c:y val="0.10975552388295677"/>
          <c:w val="0.91626951352834685"/>
          <c:h val="0.68729986876640425"/>
        </c:manualLayout>
      </c:layout>
      <c:lineChart>
        <c:grouping val="stacke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volatility_v2!$K$34:$K$2180</c:f>
              <c:numCache>
                <c:formatCode>General</c:formatCode>
                <c:ptCount val="2147"/>
                <c:pt idx="0">
                  <c:v>1.5589742628453716E-2</c:v>
                </c:pt>
                <c:pt idx="1">
                  <c:v>4.3384030658219289E-2</c:v>
                </c:pt>
                <c:pt idx="2">
                  <c:v>4.0816428602666911E-2</c:v>
                </c:pt>
                <c:pt idx="3">
                  <c:v>3.8723245518600555E-2</c:v>
                </c:pt>
                <c:pt idx="4">
                  <c:v>4.2012002835121375E-2</c:v>
                </c:pt>
                <c:pt idx="5">
                  <c:v>4.154394723162879E-2</c:v>
                </c:pt>
                <c:pt idx="6">
                  <c:v>4.2921169162034437E-2</c:v>
                </c:pt>
                <c:pt idx="7">
                  <c:v>4.2449943293634287E-2</c:v>
                </c:pt>
                <c:pt idx="8">
                  <c:v>4.1978861789012445E-2</c:v>
                </c:pt>
                <c:pt idx="9">
                  <c:v>4.2091678523987562E-2</c:v>
                </c:pt>
                <c:pt idx="10">
                  <c:v>4.3983845785379498E-2</c:v>
                </c:pt>
                <c:pt idx="11">
                  <c:v>4.705387139648546E-2</c:v>
                </c:pt>
                <c:pt idx="12">
                  <c:v>4.691683229985974E-2</c:v>
                </c:pt>
                <c:pt idx="13">
                  <c:v>4.6697585489763646E-2</c:v>
                </c:pt>
                <c:pt idx="14">
                  <c:v>4.8365005816840501E-2</c:v>
                </c:pt>
                <c:pt idx="15">
                  <c:v>4.8600960352603487E-2</c:v>
                </c:pt>
                <c:pt idx="16">
                  <c:v>4.9434552367455142E-2</c:v>
                </c:pt>
                <c:pt idx="17">
                  <c:v>4.9992091239070571E-2</c:v>
                </c:pt>
                <c:pt idx="18">
                  <c:v>5.4354905824452175E-2</c:v>
                </c:pt>
                <c:pt idx="19">
                  <c:v>5.4674598759825069E-2</c:v>
                </c:pt>
                <c:pt idx="20">
                  <c:v>5.4597343989420455E-2</c:v>
                </c:pt>
                <c:pt idx="21">
                  <c:v>5.7357712004233459E-2</c:v>
                </c:pt>
                <c:pt idx="22">
                  <c:v>5.7253761075611587E-2</c:v>
                </c:pt>
                <c:pt idx="23">
                  <c:v>5.7285114463152369E-2</c:v>
                </c:pt>
                <c:pt idx="24">
                  <c:v>6.0053425543628726E-2</c:v>
                </c:pt>
                <c:pt idx="25">
                  <c:v>6.0614583003695897E-2</c:v>
                </c:pt>
                <c:pt idx="26">
                  <c:v>6.0883161746075033E-2</c:v>
                </c:pt>
                <c:pt idx="27">
                  <c:v>6.2660484299660854E-2</c:v>
                </c:pt>
                <c:pt idx="28">
                  <c:v>6.2958173878039606E-2</c:v>
                </c:pt>
                <c:pt idx="29">
                  <c:v>6.3097565532287514E-2</c:v>
                </c:pt>
                <c:pt idx="30">
                  <c:v>6.5650173002251497E-2</c:v>
                </c:pt>
                <c:pt idx="31">
                  <c:v>6.5789964992998967E-2</c:v>
                </c:pt>
                <c:pt idx="32">
                  <c:v>6.6569015362634695E-2</c:v>
                </c:pt>
                <c:pt idx="33">
                  <c:v>6.889395356471989E-2</c:v>
                </c:pt>
                <c:pt idx="34">
                  <c:v>6.8911556224822701E-2</c:v>
                </c:pt>
                <c:pt idx="35">
                  <c:v>7.1761022700585875E-2</c:v>
                </c:pt>
                <c:pt idx="36">
                  <c:v>7.1766143340532773E-2</c:v>
                </c:pt>
                <c:pt idx="37">
                  <c:v>7.1968071354048715E-2</c:v>
                </c:pt>
                <c:pt idx="38">
                  <c:v>7.2857886423128917E-2</c:v>
                </c:pt>
                <c:pt idx="39">
                  <c:v>7.2961799292746307E-2</c:v>
                </c:pt>
                <c:pt idx="40">
                  <c:v>7.4524393824491761E-2</c:v>
                </c:pt>
                <c:pt idx="41">
                  <c:v>8.2653203842986592E-2</c:v>
                </c:pt>
                <c:pt idx="42">
                  <c:v>8.290334580474143E-2</c:v>
                </c:pt>
                <c:pt idx="43">
                  <c:v>8.2955519460282443E-2</c:v>
                </c:pt>
                <c:pt idx="44">
                  <c:v>8.2931513541642368E-2</c:v>
                </c:pt>
                <c:pt idx="45">
                  <c:v>8.4204795792402656E-2</c:v>
                </c:pt>
                <c:pt idx="46">
                  <c:v>8.4205299598340555E-2</c:v>
                </c:pt>
                <c:pt idx="47">
                  <c:v>8.419959206577711E-2</c:v>
                </c:pt>
                <c:pt idx="48">
                  <c:v>8.4286760371516639E-2</c:v>
                </c:pt>
                <c:pt idx="49">
                  <c:v>8.4449061594311453E-2</c:v>
                </c:pt>
                <c:pt idx="50">
                  <c:v>8.4445561325908497E-2</c:v>
                </c:pt>
                <c:pt idx="51">
                  <c:v>8.7021638101184101E-2</c:v>
                </c:pt>
                <c:pt idx="52">
                  <c:v>8.7358146382289115E-2</c:v>
                </c:pt>
                <c:pt idx="53">
                  <c:v>8.7362104045532268E-2</c:v>
                </c:pt>
                <c:pt idx="54">
                  <c:v>8.7357232131680743E-2</c:v>
                </c:pt>
                <c:pt idx="55">
                  <c:v>8.7745701265589171E-2</c:v>
                </c:pt>
                <c:pt idx="56">
                  <c:v>8.8499895683782012E-2</c:v>
                </c:pt>
                <c:pt idx="57">
                  <c:v>8.8830687544515965E-2</c:v>
                </c:pt>
                <c:pt idx="58">
                  <c:v>8.9624340044698741E-2</c:v>
                </c:pt>
                <c:pt idx="59">
                  <c:v>8.9702499307671019E-2</c:v>
                </c:pt>
                <c:pt idx="60">
                  <c:v>8.9720796121512972E-2</c:v>
                </c:pt>
                <c:pt idx="61">
                  <c:v>9.4280305919861349E-2</c:v>
                </c:pt>
                <c:pt idx="62">
                  <c:v>9.4326818730798831E-2</c:v>
                </c:pt>
                <c:pt idx="63">
                  <c:v>9.4329830849929144E-2</c:v>
                </c:pt>
                <c:pt idx="64">
                  <c:v>9.4511751941660505E-2</c:v>
                </c:pt>
                <c:pt idx="65">
                  <c:v>9.4704973272770485E-2</c:v>
                </c:pt>
                <c:pt idx="66">
                  <c:v>9.5622270442090596E-2</c:v>
                </c:pt>
                <c:pt idx="67">
                  <c:v>9.5602067772958294E-2</c:v>
                </c:pt>
                <c:pt idx="68">
                  <c:v>9.8330452851821376E-2</c:v>
                </c:pt>
                <c:pt idx="69">
                  <c:v>9.8312943628754867E-2</c:v>
                </c:pt>
                <c:pt idx="70">
                  <c:v>9.8430242776923915E-2</c:v>
                </c:pt>
                <c:pt idx="71">
                  <c:v>0.10107866487728061</c:v>
                </c:pt>
                <c:pt idx="72">
                  <c:v>0.10129749913336315</c:v>
                </c:pt>
                <c:pt idx="73">
                  <c:v>0.10144616898412064</c:v>
                </c:pt>
                <c:pt idx="74">
                  <c:v>0.10174644427143949</c:v>
                </c:pt>
                <c:pt idx="75">
                  <c:v>0.10556402281333012</c:v>
                </c:pt>
                <c:pt idx="76">
                  <c:v>0.10564286664196305</c:v>
                </c:pt>
                <c:pt idx="77">
                  <c:v>0.10873071529454119</c:v>
                </c:pt>
                <c:pt idx="78">
                  <c:v>0.11007439550476338</c:v>
                </c:pt>
                <c:pt idx="79">
                  <c:v>0.11116904964115001</c:v>
                </c:pt>
                <c:pt idx="80">
                  <c:v>0.1112399510233878</c:v>
                </c:pt>
                <c:pt idx="81">
                  <c:v>0.1120752488601085</c:v>
                </c:pt>
                <c:pt idx="82">
                  <c:v>0.11436137489834607</c:v>
                </c:pt>
                <c:pt idx="83">
                  <c:v>0.12297466119445129</c:v>
                </c:pt>
                <c:pt idx="84">
                  <c:v>0.12599503249624991</c:v>
                </c:pt>
                <c:pt idx="85">
                  <c:v>0.12598615842869879</c:v>
                </c:pt>
                <c:pt idx="86">
                  <c:v>0.12947589222858955</c:v>
                </c:pt>
                <c:pt idx="87">
                  <c:v>0.12946903690706907</c:v>
                </c:pt>
                <c:pt idx="88">
                  <c:v>0.12967641721824505</c:v>
                </c:pt>
                <c:pt idx="89">
                  <c:v>0.12997033541852315</c:v>
                </c:pt>
                <c:pt idx="90">
                  <c:v>0.12999680080541051</c:v>
                </c:pt>
                <c:pt idx="91">
                  <c:v>0.1300823282080103</c:v>
                </c:pt>
                <c:pt idx="92">
                  <c:v>0.13126374442610253</c:v>
                </c:pt>
                <c:pt idx="93">
                  <c:v>0.13132318863528056</c:v>
                </c:pt>
                <c:pt idx="94">
                  <c:v>0.13130967029536228</c:v>
                </c:pt>
                <c:pt idx="95">
                  <c:v>0.1313433832804464</c:v>
                </c:pt>
                <c:pt idx="96">
                  <c:v>0.14712135555918612</c:v>
                </c:pt>
                <c:pt idx="97">
                  <c:v>0.1471186470749079</c:v>
                </c:pt>
                <c:pt idx="98">
                  <c:v>0.15095569369643913</c:v>
                </c:pt>
                <c:pt idx="99">
                  <c:v>0.15111651981559771</c:v>
                </c:pt>
                <c:pt idx="100">
                  <c:v>0.15124148315184011</c:v>
                </c:pt>
                <c:pt idx="101">
                  <c:v>0.15131544669327734</c:v>
                </c:pt>
                <c:pt idx="102">
                  <c:v>0.15147693800050444</c:v>
                </c:pt>
                <c:pt idx="103">
                  <c:v>0.15533246674063106</c:v>
                </c:pt>
                <c:pt idx="104">
                  <c:v>0.15624438603182617</c:v>
                </c:pt>
                <c:pt idx="105">
                  <c:v>0.15670813749163284</c:v>
                </c:pt>
                <c:pt idx="106">
                  <c:v>0.15669923278464001</c:v>
                </c:pt>
                <c:pt idx="107">
                  <c:v>0.15727077342829349</c:v>
                </c:pt>
                <c:pt idx="108">
                  <c:v>0.15725855375929651</c:v>
                </c:pt>
                <c:pt idx="109">
                  <c:v>0.15754756762924571</c:v>
                </c:pt>
                <c:pt idx="110">
                  <c:v>0.15754897451126262</c:v>
                </c:pt>
                <c:pt idx="111">
                  <c:v>0.15753694950817354</c:v>
                </c:pt>
                <c:pt idx="112">
                  <c:v>0.15857219303677245</c:v>
                </c:pt>
                <c:pt idx="113">
                  <c:v>0.15857029912940751</c:v>
                </c:pt>
                <c:pt idx="114">
                  <c:v>0.15868941694172226</c:v>
                </c:pt>
                <c:pt idx="115">
                  <c:v>0.15919083458538674</c:v>
                </c:pt>
                <c:pt idx="116">
                  <c:v>0.15919375399377866</c:v>
                </c:pt>
                <c:pt idx="117">
                  <c:v>0.15920920582464479</c:v>
                </c:pt>
                <c:pt idx="118">
                  <c:v>0.15937970327250672</c:v>
                </c:pt>
                <c:pt idx="119">
                  <c:v>0.16019291894475954</c:v>
                </c:pt>
                <c:pt idx="120">
                  <c:v>0.16128792125189939</c:v>
                </c:pt>
                <c:pt idx="121">
                  <c:v>0.16138826893319602</c:v>
                </c:pt>
                <c:pt idx="122">
                  <c:v>0.16202597745906197</c:v>
                </c:pt>
                <c:pt idx="123">
                  <c:v>0.16205097481066663</c:v>
                </c:pt>
                <c:pt idx="124">
                  <c:v>0.16214425102861493</c:v>
                </c:pt>
                <c:pt idx="125">
                  <c:v>0.16222286015733528</c:v>
                </c:pt>
                <c:pt idx="126">
                  <c:v>0.16231337731925954</c:v>
                </c:pt>
                <c:pt idx="127">
                  <c:v>0.1623177700185876</c:v>
                </c:pt>
                <c:pt idx="128">
                  <c:v>0.16289272425906742</c:v>
                </c:pt>
                <c:pt idx="129">
                  <c:v>0.16387799266897385</c:v>
                </c:pt>
                <c:pt idx="130">
                  <c:v>0.16387344445091823</c:v>
                </c:pt>
                <c:pt idx="131">
                  <c:v>0.16406394994885876</c:v>
                </c:pt>
                <c:pt idx="132">
                  <c:v>0.16441223449889528</c:v>
                </c:pt>
                <c:pt idx="133">
                  <c:v>0.16551659172242789</c:v>
                </c:pt>
                <c:pt idx="134">
                  <c:v>0.16865413068901114</c:v>
                </c:pt>
                <c:pt idx="135">
                  <c:v>0.16864656529572203</c:v>
                </c:pt>
                <c:pt idx="136">
                  <c:v>0.17098753304407266</c:v>
                </c:pt>
                <c:pt idx="137">
                  <c:v>0.17100399369457672</c:v>
                </c:pt>
                <c:pt idx="138">
                  <c:v>0.17099525815279867</c:v>
                </c:pt>
                <c:pt idx="139">
                  <c:v>0.17125914924581909</c:v>
                </c:pt>
                <c:pt idx="140">
                  <c:v>0.17154847551516575</c:v>
                </c:pt>
                <c:pt idx="141">
                  <c:v>0.17164773455361915</c:v>
                </c:pt>
                <c:pt idx="142">
                  <c:v>0.17165962020399436</c:v>
                </c:pt>
                <c:pt idx="143">
                  <c:v>0.17165612750037487</c:v>
                </c:pt>
                <c:pt idx="144">
                  <c:v>0.17180425177047781</c:v>
                </c:pt>
                <c:pt idx="145">
                  <c:v>0.17184779840742961</c:v>
                </c:pt>
                <c:pt idx="146">
                  <c:v>0.17184163152512644</c:v>
                </c:pt>
                <c:pt idx="147">
                  <c:v>0.17185004356563682</c:v>
                </c:pt>
                <c:pt idx="148">
                  <c:v>0.17184274009302752</c:v>
                </c:pt>
                <c:pt idx="149">
                  <c:v>0.17184004686079377</c:v>
                </c:pt>
                <c:pt idx="150">
                  <c:v>0.17494398161802069</c:v>
                </c:pt>
                <c:pt idx="151">
                  <c:v>0.17498041230671607</c:v>
                </c:pt>
                <c:pt idx="152">
                  <c:v>0.17554164673316766</c:v>
                </c:pt>
                <c:pt idx="153">
                  <c:v>0.17553917268481697</c:v>
                </c:pt>
                <c:pt idx="154">
                  <c:v>0.17554297378739792</c:v>
                </c:pt>
                <c:pt idx="155">
                  <c:v>0.17555412249485358</c:v>
                </c:pt>
                <c:pt idx="156">
                  <c:v>0.17879188381555361</c:v>
                </c:pt>
                <c:pt idx="157">
                  <c:v>0.17903576673719296</c:v>
                </c:pt>
                <c:pt idx="158">
                  <c:v>0.1796132097059869</c:v>
                </c:pt>
                <c:pt idx="159">
                  <c:v>0.17962651949830599</c:v>
                </c:pt>
                <c:pt idx="160">
                  <c:v>0.17964734871193352</c:v>
                </c:pt>
                <c:pt idx="161">
                  <c:v>0.17995591447323719</c:v>
                </c:pt>
                <c:pt idx="162">
                  <c:v>0.18047838369090738</c:v>
                </c:pt>
                <c:pt idx="163">
                  <c:v>0.18054149874514214</c:v>
                </c:pt>
                <c:pt idx="164">
                  <c:v>0.18058347999934485</c:v>
                </c:pt>
                <c:pt idx="165">
                  <c:v>0.18091413432990963</c:v>
                </c:pt>
                <c:pt idx="166">
                  <c:v>0.18125034505919035</c:v>
                </c:pt>
                <c:pt idx="167">
                  <c:v>0.18380475047069764</c:v>
                </c:pt>
                <c:pt idx="168">
                  <c:v>0.1896868165434723</c:v>
                </c:pt>
                <c:pt idx="169">
                  <c:v>0.1896826061593945</c:v>
                </c:pt>
                <c:pt idx="170">
                  <c:v>0.1921449815348667</c:v>
                </c:pt>
                <c:pt idx="171">
                  <c:v>0.19245897040435539</c:v>
                </c:pt>
                <c:pt idx="172">
                  <c:v>0.19295963745294026</c:v>
                </c:pt>
                <c:pt idx="173">
                  <c:v>0.19299102016249753</c:v>
                </c:pt>
                <c:pt idx="174">
                  <c:v>0.19304451776512505</c:v>
                </c:pt>
                <c:pt idx="175">
                  <c:v>0.19603899356905502</c:v>
                </c:pt>
                <c:pt idx="176">
                  <c:v>0.19616236640098367</c:v>
                </c:pt>
                <c:pt idx="177">
                  <c:v>0.19702004355365227</c:v>
                </c:pt>
                <c:pt idx="178">
                  <c:v>0.19735602448048117</c:v>
                </c:pt>
                <c:pt idx="179">
                  <c:v>0.19741883368835861</c:v>
                </c:pt>
                <c:pt idx="180">
                  <c:v>0.19747356154525156</c:v>
                </c:pt>
                <c:pt idx="181">
                  <c:v>0.19748250117162466</c:v>
                </c:pt>
                <c:pt idx="182">
                  <c:v>0.19770460655506314</c:v>
                </c:pt>
                <c:pt idx="183">
                  <c:v>0.19771551563856132</c:v>
                </c:pt>
                <c:pt idx="184">
                  <c:v>0.19889500220533698</c:v>
                </c:pt>
                <c:pt idx="185">
                  <c:v>0.19888928738743208</c:v>
                </c:pt>
                <c:pt idx="186">
                  <c:v>0.19896021765541227</c:v>
                </c:pt>
                <c:pt idx="187">
                  <c:v>0.19919230433647331</c:v>
                </c:pt>
                <c:pt idx="188">
                  <c:v>0.20165057010166923</c:v>
                </c:pt>
                <c:pt idx="189">
                  <c:v>0.20168150569558602</c:v>
                </c:pt>
                <c:pt idx="190">
                  <c:v>0.20187907091074658</c:v>
                </c:pt>
                <c:pt idx="191">
                  <c:v>0.2019262505464646</c:v>
                </c:pt>
                <c:pt idx="192">
                  <c:v>0.20197965069463891</c:v>
                </c:pt>
                <c:pt idx="193">
                  <c:v>0.20207876766329186</c:v>
                </c:pt>
                <c:pt idx="194">
                  <c:v>0.20279844122097154</c:v>
                </c:pt>
                <c:pt idx="195">
                  <c:v>0.20299672435212454</c:v>
                </c:pt>
                <c:pt idx="196">
                  <c:v>0.20310563451598485</c:v>
                </c:pt>
                <c:pt idx="197">
                  <c:v>0.20323996512777626</c:v>
                </c:pt>
                <c:pt idx="198">
                  <c:v>0.20673974966916256</c:v>
                </c:pt>
                <c:pt idx="199">
                  <c:v>0.20757471649285036</c:v>
                </c:pt>
                <c:pt idx="200">
                  <c:v>0.20758051279067619</c:v>
                </c:pt>
                <c:pt idx="201">
                  <c:v>0.20757654686928295</c:v>
                </c:pt>
                <c:pt idx="202">
                  <c:v>0.20760758640855326</c:v>
                </c:pt>
                <c:pt idx="203">
                  <c:v>0.20766188029381979</c:v>
                </c:pt>
                <c:pt idx="204">
                  <c:v>0.20765903854307466</c:v>
                </c:pt>
                <c:pt idx="205">
                  <c:v>0.20839325649760063</c:v>
                </c:pt>
                <c:pt idx="206">
                  <c:v>0.20890591482862172</c:v>
                </c:pt>
                <c:pt idx="207">
                  <c:v>0.20896433454478147</c:v>
                </c:pt>
                <c:pt idx="208">
                  <c:v>0.20899748935742554</c:v>
                </c:pt>
                <c:pt idx="209">
                  <c:v>0.21087099108917079</c:v>
                </c:pt>
                <c:pt idx="210">
                  <c:v>0.21090326687686511</c:v>
                </c:pt>
                <c:pt idx="211">
                  <c:v>0.21096670319297633</c:v>
                </c:pt>
                <c:pt idx="212">
                  <c:v>0.2110430771922896</c:v>
                </c:pt>
                <c:pt idx="213">
                  <c:v>0.21104252613385455</c:v>
                </c:pt>
                <c:pt idx="214">
                  <c:v>0.21103893869032442</c:v>
                </c:pt>
                <c:pt idx="215">
                  <c:v>0.21108518652079869</c:v>
                </c:pt>
                <c:pt idx="216">
                  <c:v>0.21677957697711031</c:v>
                </c:pt>
                <c:pt idx="217">
                  <c:v>0.21707380291433312</c:v>
                </c:pt>
                <c:pt idx="218">
                  <c:v>0.21710506913210234</c:v>
                </c:pt>
                <c:pt idx="219">
                  <c:v>0.2171763728722991</c:v>
                </c:pt>
                <c:pt idx="220">
                  <c:v>0.21743150164678637</c:v>
                </c:pt>
                <c:pt idx="221">
                  <c:v>0.21827636608999093</c:v>
                </c:pt>
                <c:pt idx="222">
                  <c:v>0.21828344074959483</c:v>
                </c:pt>
                <c:pt idx="223">
                  <c:v>0.22107028400192205</c:v>
                </c:pt>
                <c:pt idx="224">
                  <c:v>0.22130373943299123</c:v>
                </c:pt>
                <c:pt idx="225">
                  <c:v>0.22180839424601073</c:v>
                </c:pt>
                <c:pt idx="226">
                  <c:v>0.22207079273076732</c:v>
                </c:pt>
                <c:pt idx="227">
                  <c:v>0.22217149233129133</c:v>
                </c:pt>
                <c:pt idx="228">
                  <c:v>0.22241492829369272</c:v>
                </c:pt>
                <c:pt idx="229">
                  <c:v>0.22273162905343841</c:v>
                </c:pt>
                <c:pt idx="230">
                  <c:v>0.22287736832974947</c:v>
                </c:pt>
                <c:pt idx="231">
                  <c:v>0.22297208573207045</c:v>
                </c:pt>
                <c:pt idx="232">
                  <c:v>0.22312176420942337</c:v>
                </c:pt>
                <c:pt idx="233">
                  <c:v>0.22352617825735588</c:v>
                </c:pt>
                <c:pt idx="234">
                  <c:v>0.22357841313881407</c:v>
                </c:pt>
                <c:pt idx="235">
                  <c:v>0.22357861749888383</c:v>
                </c:pt>
                <c:pt idx="236">
                  <c:v>0.22371189837021055</c:v>
                </c:pt>
                <c:pt idx="237">
                  <c:v>0.22412542957717832</c:v>
                </c:pt>
                <c:pt idx="238">
                  <c:v>0.22416845968005789</c:v>
                </c:pt>
                <c:pt idx="239">
                  <c:v>0.22488177941534404</c:v>
                </c:pt>
                <c:pt idx="240">
                  <c:v>0.22492697028680111</c:v>
                </c:pt>
                <c:pt idx="241">
                  <c:v>0.22493394192973637</c:v>
                </c:pt>
                <c:pt idx="242">
                  <c:v>0.2257146804255897</c:v>
                </c:pt>
                <c:pt idx="243">
                  <c:v>0.22572132287816216</c:v>
                </c:pt>
                <c:pt idx="244">
                  <c:v>0.22575894113595107</c:v>
                </c:pt>
                <c:pt idx="245">
                  <c:v>0.22576606149312411</c:v>
                </c:pt>
                <c:pt idx="246">
                  <c:v>0.22579422825555123</c:v>
                </c:pt>
                <c:pt idx="247">
                  <c:v>0.22657711878241785</c:v>
                </c:pt>
                <c:pt idx="248">
                  <c:v>0.22666651063026416</c:v>
                </c:pt>
                <c:pt idx="249">
                  <c:v>0.22666862202276003</c:v>
                </c:pt>
                <c:pt idx="250">
                  <c:v>0.22673396064204013</c:v>
                </c:pt>
                <c:pt idx="251">
                  <c:v>0.22755102026413312</c:v>
                </c:pt>
                <c:pt idx="252">
                  <c:v>0.22766481916796374</c:v>
                </c:pt>
                <c:pt idx="253">
                  <c:v>0.2276695520525569</c:v>
                </c:pt>
                <c:pt idx="254">
                  <c:v>0.22802406489248134</c:v>
                </c:pt>
                <c:pt idx="255">
                  <c:v>0.22805385880645876</c:v>
                </c:pt>
                <c:pt idx="256">
                  <c:v>0.22805589206131444</c:v>
                </c:pt>
                <c:pt idx="257">
                  <c:v>0.228559964905688</c:v>
                </c:pt>
                <c:pt idx="258">
                  <c:v>0.22855906247636637</c:v>
                </c:pt>
                <c:pt idx="259">
                  <c:v>0.22855969643667562</c:v>
                </c:pt>
                <c:pt idx="260">
                  <c:v>0.22859689908859787</c:v>
                </c:pt>
                <c:pt idx="261">
                  <c:v>0.22859496041001479</c:v>
                </c:pt>
                <c:pt idx="262">
                  <c:v>0.22878607222591305</c:v>
                </c:pt>
                <c:pt idx="263">
                  <c:v>0.22878886295385131</c:v>
                </c:pt>
                <c:pt idx="264">
                  <c:v>0.22982433396160118</c:v>
                </c:pt>
                <c:pt idx="265">
                  <c:v>0.23004989617677923</c:v>
                </c:pt>
                <c:pt idx="266">
                  <c:v>0.23076198863517344</c:v>
                </c:pt>
                <c:pt idx="267">
                  <c:v>0.23270379649210055</c:v>
                </c:pt>
                <c:pt idx="268">
                  <c:v>0.23299900836315379</c:v>
                </c:pt>
                <c:pt idx="269">
                  <c:v>0.23301100788660994</c:v>
                </c:pt>
                <c:pt idx="270">
                  <c:v>0.23312066807730267</c:v>
                </c:pt>
                <c:pt idx="271">
                  <c:v>0.23312047562785546</c:v>
                </c:pt>
                <c:pt idx="272">
                  <c:v>0.23424277950401254</c:v>
                </c:pt>
                <c:pt idx="273">
                  <c:v>0.23428786296152121</c:v>
                </c:pt>
                <c:pt idx="274">
                  <c:v>0.23452640557164814</c:v>
                </c:pt>
                <c:pt idx="275">
                  <c:v>0.23585665488437291</c:v>
                </c:pt>
                <c:pt idx="276">
                  <c:v>0.23596847452016015</c:v>
                </c:pt>
                <c:pt idx="277">
                  <c:v>0.23615481692714585</c:v>
                </c:pt>
                <c:pt idx="278">
                  <c:v>0.2361775981948076</c:v>
                </c:pt>
                <c:pt idx="279">
                  <c:v>0.23626248181273327</c:v>
                </c:pt>
                <c:pt idx="280">
                  <c:v>0.23629434262637483</c:v>
                </c:pt>
                <c:pt idx="281">
                  <c:v>0.24032615019461739</c:v>
                </c:pt>
                <c:pt idx="282">
                  <c:v>0.24045396454899653</c:v>
                </c:pt>
                <c:pt idx="283">
                  <c:v>0.24046194239982438</c:v>
                </c:pt>
                <c:pt idx="284">
                  <c:v>0.24071299403587273</c:v>
                </c:pt>
                <c:pt idx="285">
                  <c:v>0.24093605407009699</c:v>
                </c:pt>
                <c:pt idx="286">
                  <c:v>0.24095402357397031</c:v>
                </c:pt>
                <c:pt idx="287">
                  <c:v>0.24095762698247583</c:v>
                </c:pt>
                <c:pt idx="288">
                  <c:v>0.24119773773980699</c:v>
                </c:pt>
                <c:pt idx="289">
                  <c:v>0.24123520039008298</c:v>
                </c:pt>
                <c:pt idx="290">
                  <c:v>0.24217134938229251</c:v>
                </c:pt>
                <c:pt idx="291">
                  <c:v>0.24245182537438528</c:v>
                </c:pt>
                <c:pt idx="292">
                  <c:v>0.24246528113344296</c:v>
                </c:pt>
                <c:pt idx="293">
                  <c:v>0.24259285922862922</c:v>
                </c:pt>
                <c:pt idx="294">
                  <c:v>0.24264401431632043</c:v>
                </c:pt>
                <c:pt idx="295">
                  <c:v>0.24269580679988667</c:v>
                </c:pt>
                <c:pt idx="296">
                  <c:v>0.24270842324661374</c:v>
                </c:pt>
                <c:pt idx="297">
                  <c:v>0.24276112799432395</c:v>
                </c:pt>
                <c:pt idx="298">
                  <c:v>0.24300231205949496</c:v>
                </c:pt>
                <c:pt idx="299">
                  <c:v>0.24300934880492717</c:v>
                </c:pt>
                <c:pt idx="300">
                  <c:v>0.24384147670694922</c:v>
                </c:pt>
                <c:pt idx="301">
                  <c:v>0.24388818236067286</c:v>
                </c:pt>
                <c:pt idx="302">
                  <c:v>0.24405998002315096</c:v>
                </c:pt>
                <c:pt idx="303">
                  <c:v>0.24405774436368999</c:v>
                </c:pt>
                <c:pt idx="304">
                  <c:v>0.24405926430002786</c:v>
                </c:pt>
                <c:pt idx="305">
                  <c:v>0.24443082994953177</c:v>
                </c:pt>
                <c:pt idx="306">
                  <c:v>0.2445611728116871</c:v>
                </c:pt>
                <c:pt idx="307">
                  <c:v>0.24476986002552473</c:v>
                </c:pt>
                <c:pt idx="308">
                  <c:v>0.24501423237224687</c:v>
                </c:pt>
                <c:pt idx="309">
                  <c:v>0.2450149103150665</c:v>
                </c:pt>
                <c:pt idx="310">
                  <c:v>0.24507905185540416</c:v>
                </c:pt>
                <c:pt idx="311">
                  <c:v>0.24507751003447892</c:v>
                </c:pt>
                <c:pt idx="312">
                  <c:v>0.24513366196592218</c:v>
                </c:pt>
                <c:pt idx="313">
                  <c:v>0.24522318575201271</c:v>
                </c:pt>
                <c:pt idx="314">
                  <c:v>0.24526192360843713</c:v>
                </c:pt>
                <c:pt idx="315">
                  <c:v>0.24565130397917656</c:v>
                </c:pt>
                <c:pt idx="316">
                  <c:v>0.24588081649073251</c:v>
                </c:pt>
                <c:pt idx="317">
                  <c:v>0.24591482395483563</c:v>
                </c:pt>
                <c:pt idx="318">
                  <c:v>0.24591245348238944</c:v>
                </c:pt>
                <c:pt idx="319">
                  <c:v>0.24598581673353118</c:v>
                </c:pt>
                <c:pt idx="320">
                  <c:v>0.24687456591508142</c:v>
                </c:pt>
                <c:pt idx="321">
                  <c:v>0.24687324868648672</c:v>
                </c:pt>
                <c:pt idx="322">
                  <c:v>0.24706647493283479</c:v>
                </c:pt>
                <c:pt idx="323">
                  <c:v>0.24719087166354875</c:v>
                </c:pt>
                <c:pt idx="324">
                  <c:v>0.2472177848400702</c:v>
                </c:pt>
                <c:pt idx="325">
                  <c:v>0.24829195249263583</c:v>
                </c:pt>
                <c:pt idx="326">
                  <c:v>0.248899409107006</c:v>
                </c:pt>
                <c:pt idx="327">
                  <c:v>0.24929252751448855</c:v>
                </c:pt>
                <c:pt idx="328">
                  <c:v>0.24929415342086642</c:v>
                </c:pt>
                <c:pt idx="329">
                  <c:v>0.24929676080878718</c:v>
                </c:pt>
                <c:pt idx="330">
                  <c:v>0.24929975380722058</c:v>
                </c:pt>
                <c:pt idx="331">
                  <c:v>0.24973904784238404</c:v>
                </c:pt>
                <c:pt idx="332">
                  <c:v>0.24988922484717527</c:v>
                </c:pt>
                <c:pt idx="333">
                  <c:v>0.24990545643752871</c:v>
                </c:pt>
                <c:pt idx="334">
                  <c:v>0.2499037832040148</c:v>
                </c:pt>
                <c:pt idx="335">
                  <c:v>0.25089556954010767</c:v>
                </c:pt>
                <c:pt idx="336">
                  <c:v>0.25138960193705473</c:v>
                </c:pt>
                <c:pt idx="337">
                  <c:v>0.25139627153482885</c:v>
                </c:pt>
                <c:pt idx="338">
                  <c:v>0.25153953792902034</c:v>
                </c:pt>
                <c:pt idx="339">
                  <c:v>0.25159520537297869</c:v>
                </c:pt>
                <c:pt idx="340">
                  <c:v>0.25161390391006133</c:v>
                </c:pt>
                <c:pt idx="341">
                  <c:v>0.25172734083653486</c:v>
                </c:pt>
                <c:pt idx="342">
                  <c:v>0.25223941348417783</c:v>
                </c:pt>
                <c:pt idx="343">
                  <c:v>0.25233101862276847</c:v>
                </c:pt>
                <c:pt idx="344">
                  <c:v>0.25269603410992197</c:v>
                </c:pt>
                <c:pt idx="345">
                  <c:v>0.25278676296480285</c:v>
                </c:pt>
                <c:pt idx="346">
                  <c:v>0.25285009740911807</c:v>
                </c:pt>
                <c:pt idx="347">
                  <c:v>0.25284821956166859</c:v>
                </c:pt>
                <c:pt idx="348">
                  <c:v>0.25284620608552333</c:v>
                </c:pt>
                <c:pt idx="349">
                  <c:v>0.25442222887547777</c:v>
                </c:pt>
                <c:pt idx="350">
                  <c:v>0.25442110181389205</c:v>
                </c:pt>
                <c:pt idx="351">
                  <c:v>0.25444395037546569</c:v>
                </c:pt>
                <c:pt idx="352">
                  <c:v>0.25445865336494849</c:v>
                </c:pt>
                <c:pt idx="353">
                  <c:v>0.25484665473293378</c:v>
                </c:pt>
                <c:pt idx="354">
                  <c:v>0.25536901923299987</c:v>
                </c:pt>
                <c:pt idx="355">
                  <c:v>0.25550293473119134</c:v>
                </c:pt>
                <c:pt idx="356">
                  <c:v>0.25562697122713973</c:v>
                </c:pt>
                <c:pt idx="357">
                  <c:v>0.2556527949791238</c:v>
                </c:pt>
                <c:pt idx="358">
                  <c:v>0.25613788016879169</c:v>
                </c:pt>
                <c:pt idx="359">
                  <c:v>0.25619299932705836</c:v>
                </c:pt>
                <c:pt idx="360">
                  <c:v>0.25664007188518712</c:v>
                </c:pt>
                <c:pt idx="361">
                  <c:v>0.25710332550857817</c:v>
                </c:pt>
                <c:pt idx="362">
                  <c:v>0.25761301778699547</c:v>
                </c:pt>
                <c:pt idx="363">
                  <c:v>0.25761301887019594</c:v>
                </c:pt>
                <c:pt idx="364">
                  <c:v>0.25773106564438286</c:v>
                </c:pt>
                <c:pt idx="365">
                  <c:v>0.2578342511499751</c:v>
                </c:pt>
                <c:pt idx="366">
                  <c:v>0.25783243705085834</c:v>
                </c:pt>
                <c:pt idx="367">
                  <c:v>0.25852427380705523</c:v>
                </c:pt>
                <c:pt idx="368">
                  <c:v>0.258537659620586</c:v>
                </c:pt>
                <c:pt idx="369">
                  <c:v>0.25853808637315717</c:v>
                </c:pt>
                <c:pt idx="370">
                  <c:v>0.25870746907536274</c:v>
                </c:pt>
                <c:pt idx="371">
                  <c:v>0.25872737528773104</c:v>
                </c:pt>
                <c:pt idx="372">
                  <c:v>0.25965747503956293</c:v>
                </c:pt>
                <c:pt idx="373">
                  <c:v>0.25966141067401421</c:v>
                </c:pt>
                <c:pt idx="374">
                  <c:v>0.25967062616231085</c:v>
                </c:pt>
                <c:pt idx="375">
                  <c:v>0.25980400379260993</c:v>
                </c:pt>
                <c:pt idx="376">
                  <c:v>0.25980224096558818</c:v>
                </c:pt>
                <c:pt idx="377">
                  <c:v>0.25991412827973787</c:v>
                </c:pt>
                <c:pt idx="378">
                  <c:v>0.26019361915235711</c:v>
                </c:pt>
                <c:pt idx="379">
                  <c:v>0.26019469288494462</c:v>
                </c:pt>
                <c:pt idx="380">
                  <c:v>0.26119581839570793</c:v>
                </c:pt>
                <c:pt idx="381">
                  <c:v>0.26148745761873643</c:v>
                </c:pt>
                <c:pt idx="382">
                  <c:v>0.26149538672738637</c:v>
                </c:pt>
                <c:pt idx="383">
                  <c:v>0.26152630737071098</c:v>
                </c:pt>
                <c:pt idx="384">
                  <c:v>0.26229278654172583</c:v>
                </c:pt>
                <c:pt idx="385">
                  <c:v>0.2622911798673988</c:v>
                </c:pt>
                <c:pt idx="386">
                  <c:v>0.26248071978605841</c:v>
                </c:pt>
                <c:pt idx="387">
                  <c:v>0.26265820354336128</c:v>
                </c:pt>
                <c:pt idx="388">
                  <c:v>0.26267319785525983</c:v>
                </c:pt>
                <c:pt idx="389">
                  <c:v>0.26372279053847481</c:v>
                </c:pt>
                <c:pt idx="390">
                  <c:v>0.26376709584059599</c:v>
                </c:pt>
                <c:pt idx="391">
                  <c:v>0.26407782142408176</c:v>
                </c:pt>
                <c:pt idx="392">
                  <c:v>0.26562857062466094</c:v>
                </c:pt>
                <c:pt idx="393">
                  <c:v>0.26564441333112954</c:v>
                </c:pt>
                <c:pt idx="394">
                  <c:v>0.26564538796391135</c:v>
                </c:pt>
                <c:pt idx="395">
                  <c:v>0.26590576703764168</c:v>
                </c:pt>
                <c:pt idx="396">
                  <c:v>0.26590739027483057</c:v>
                </c:pt>
                <c:pt idx="397">
                  <c:v>0.26591014537345625</c:v>
                </c:pt>
                <c:pt idx="398">
                  <c:v>0.26646798874197564</c:v>
                </c:pt>
                <c:pt idx="399">
                  <c:v>0.26648056705237577</c:v>
                </c:pt>
                <c:pt idx="400">
                  <c:v>0.26689352966312446</c:v>
                </c:pt>
                <c:pt idx="401">
                  <c:v>0.26699194023038947</c:v>
                </c:pt>
                <c:pt idx="402">
                  <c:v>0.26850938039642935</c:v>
                </c:pt>
                <c:pt idx="403">
                  <c:v>0.26870658600959324</c:v>
                </c:pt>
                <c:pt idx="404">
                  <c:v>0.26872680387395254</c:v>
                </c:pt>
                <c:pt idx="405">
                  <c:v>0.26895352125419175</c:v>
                </c:pt>
                <c:pt idx="406">
                  <c:v>0.26925685994661469</c:v>
                </c:pt>
                <c:pt idx="407">
                  <c:v>0.26933771989117589</c:v>
                </c:pt>
                <c:pt idx="408">
                  <c:v>0.26978280691239814</c:v>
                </c:pt>
                <c:pt idx="409">
                  <c:v>0.26985137651598534</c:v>
                </c:pt>
                <c:pt idx="410">
                  <c:v>0.27044112153672273</c:v>
                </c:pt>
                <c:pt idx="411">
                  <c:v>0.27043953326314124</c:v>
                </c:pt>
                <c:pt idx="412">
                  <c:v>0.27063903147219298</c:v>
                </c:pt>
                <c:pt idx="413">
                  <c:v>0.27064917435983088</c:v>
                </c:pt>
                <c:pt idx="414">
                  <c:v>0.27067052946033132</c:v>
                </c:pt>
                <c:pt idx="415">
                  <c:v>0.27115343042263185</c:v>
                </c:pt>
                <c:pt idx="416">
                  <c:v>0.27117612205411973</c:v>
                </c:pt>
                <c:pt idx="417">
                  <c:v>0.27152717435569912</c:v>
                </c:pt>
                <c:pt idx="418">
                  <c:v>0.27166614492205376</c:v>
                </c:pt>
                <c:pt idx="419">
                  <c:v>0.27166939567042742</c:v>
                </c:pt>
                <c:pt idx="420">
                  <c:v>0.27166849428575612</c:v>
                </c:pt>
                <c:pt idx="421">
                  <c:v>0.27171580154090436</c:v>
                </c:pt>
                <c:pt idx="422">
                  <c:v>0.27193886487130964</c:v>
                </c:pt>
                <c:pt idx="423">
                  <c:v>0.27196313053475074</c:v>
                </c:pt>
                <c:pt idx="424">
                  <c:v>0.27196204022078124</c:v>
                </c:pt>
                <c:pt idx="425">
                  <c:v>0.27196726832403129</c:v>
                </c:pt>
                <c:pt idx="426">
                  <c:v>0.27196636407217584</c:v>
                </c:pt>
                <c:pt idx="427">
                  <c:v>0.2734435832470769</c:v>
                </c:pt>
                <c:pt idx="428">
                  <c:v>0.27407446172431527</c:v>
                </c:pt>
                <c:pt idx="429">
                  <c:v>0.27407355496082675</c:v>
                </c:pt>
                <c:pt idx="430">
                  <c:v>0.27419205011698145</c:v>
                </c:pt>
                <c:pt idx="431">
                  <c:v>0.2751917672218821</c:v>
                </c:pt>
                <c:pt idx="432">
                  <c:v>0.27556455407036107</c:v>
                </c:pt>
                <c:pt idx="433">
                  <c:v>0.27556744253602122</c:v>
                </c:pt>
                <c:pt idx="434">
                  <c:v>0.27611391510229222</c:v>
                </c:pt>
                <c:pt idx="435">
                  <c:v>0.2764948813309428</c:v>
                </c:pt>
                <c:pt idx="436">
                  <c:v>0.27714625520093411</c:v>
                </c:pt>
                <c:pt idx="437">
                  <c:v>0.27758816904984901</c:v>
                </c:pt>
                <c:pt idx="438">
                  <c:v>0.28170642007284163</c:v>
                </c:pt>
                <c:pt idx="439">
                  <c:v>0.28245491086247571</c:v>
                </c:pt>
                <c:pt idx="440">
                  <c:v>0.2829592600773308</c:v>
                </c:pt>
                <c:pt idx="441">
                  <c:v>0.28295782637844669</c:v>
                </c:pt>
                <c:pt idx="442">
                  <c:v>0.28299598307432378</c:v>
                </c:pt>
                <c:pt idx="443">
                  <c:v>0.28489443565482997</c:v>
                </c:pt>
                <c:pt idx="444">
                  <c:v>0.28685900587730417</c:v>
                </c:pt>
                <c:pt idx="445">
                  <c:v>0.28692395158237405</c:v>
                </c:pt>
                <c:pt idx="446">
                  <c:v>0.28709180136472234</c:v>
                </c:pt>
                <c:pt idx="447">
                  <c:v>0.28780773803420551</c:v>
                </c:pt>
                <c:pt idx="448">
                  <c:v>0.28818538910023406</c:v>
                </c:pt>
                <c:pt idx="449">
                  <c:v>0.28818761264920811</c:v>
                </c:pt>
                <c:pt idx="450">
                  <c:v>0.28818875420403844</c:v>
                </c:pt>
                <c:pt idx="451">
                  <c:v>0.28849277900320397</c:v>
                </c:pt>
                <c:pt idx="452">
                  <c:v>0.2886653042522615</c:v>
                </c:pt>
                <c:pt idx="453">
                  <c:v>0.28876389531038188</c:v>
                </c:pt>
                <c:pt idx="454">
                  <c:v>0.28876405028325985</c:v>
                </c:pt>
                <c:pt idx="455">
                  <c:v>0.28921262735447656</c:v>
                </c:pt>
                <c:pt idx="456">
                  <c:v>0.28922745480677059</c:v>
                </c:pt>
                <c:pt idx="457">
                  <c:v>0.28923576904281201</c:v>
                </c:pt>
                <c:pt idx="458">
                  <c:v>0.28998984190775179</c:v>
                </c:pt>
                <c:pt idx="459">
                  <c:v>0.29097702694417538</c:v>
                </c:pt>
                <c:pt idx="460">
                  <c:v>0.29115141028257463</c:v>
                </c:pt>
                <c:pt idx="461">
                  <c:v>0.29203532883497169</c:v>
                </c:pt>
                <c:pt idx="462">
                  <c:v>0.2922136023173697</c:v>
                </c:pt>
                <c:pt idx="463">
                  <c:v>0.29233412909958967</c:v>
                </c:pt>
                <c:pt idx="464">
                  <c:v>0.29233494777976476</c:v>
                </c:pt>
                <c:pt idx="465">
                  <c:v>0.29237425658226424</c:v>
                </c:pt>
                <c:pt idx="466">
                  <c:v>0.29237884203147352</c:v>
                </c:pt>
                <c:pt idx="467">
                  <c:v>0.29271301540623262</c:v>
                </c:pt>
                <c:pt idx="468">
                  <c:v>0.29288460563578977</c:v>
                </c:pt>
                <c:pt idx="469">
                  <c:v>0.29391062431595688</c:v>
                </c:pt>
                <c:pt idx="470">
                  <c:v>0.29584954655540696</c:v>
                </c:pt>
                <c:pt idx="471">
                  <c:v>0.29617178555821932</c:v>
                </c:pt>
                <c:pt idx="472">
                  <c:v>0.29617424032878042</c:v>
                </c:pt>
                <c:pt idx="473">
                  <c:v>0.29625960372443139</c:v>
                </c:pt>
                <c:pt idx="474">
                  <c:v>0.29626576268789323</c:v>
                </c:pt>
                <c:pt idx="475">
                  <c:v>0.29642059584578551</c:v>
                </c:pt>
                <c:pt idx="476">
                  <c:v>0.29641932818671668</c:v>
                </c:pt>
                <c:pt idx="477">
                  <c:v>0.29642154711029245</c:v>
                </c:pt>
                <c:pt idx="478">
                  <c:v>0.29715495826674665</c:v>
                </c:pt>
                <c:pt idx="479">
                  <c:v>0.297166693572394</c:v>
                </c:pt>
                <c:pt idx="480">
                  <c:v>0.29841718713434218</c:v>
                </c:pt>
                <c:pt idx="481">
                  <c:v>0.29842068753332618</c:v>
                </c:pt>
                <c:pt idx="482">
                  <c:v>0.29913107015224633</c:v>
                </c:pt>
                <c:pt idx="483">
                  <c:v>0.29913317000260503</c:v>
                </c:pt>
                <c:pt idx="484">
                  <c:v>0.29972428363029385</c:v>
                </c:pt>
                <c:pt idx="485">
                  <c:v>0.2998602698674887</c:v>
                </c:pt>
                <c:pt idx="486">
                  <c:v>0.29987230019819144</c:v>
                </c:pt>
                <c:pt idx="487">
                  <c:v>0.30002784758506129</c:v>
                </c:pt>
                <c:pt idx="488">
                  <c:v>0.3001178639918658</c:v>
                </c:pt>
                <c:pt idx="489">
                  <c:v>0.30011832678170036</c:v>
                </c:pt>
                <c:pt idx="490">
                  <c:v>0.30058828622089828</c:v>
                </c:pt>
                <c:pt idx="491">
                  <c:v>0.30058907482276709</c:v>
                </c:pt>
                <c:pt idx="492">
                  <c:v>0.30062618081978054</c:v>
                </c:pt>
                <c:pt idx="493">
                  <c:v>0.30125772324901201</c:v>
                </c:pt>
                <c:pt idx="494">
                  <c:v>0.30126642975740081</c:v>
                </c:pt>
                <c:pt idx="495">
                  <c:v>0.30143750822570303</c:v>
                </c:pt>
                <c:pt idx="496">
                  <c:v>0.302033756531842</c:v>
                </c:pt>
                <c:pt idx="497">
                  <c:v>0.30326127231338107</c:v>
                </c:pt>
                <c:pt idx="498">
                  <c:v>0.30329974805687215</c:v>
                </c:pt>
                <c:pt idx="499">
                  <c:v>0.30427827843684702</c:v>
                </c:pt>
                <c:pt idx="500">
                  <c:v>0.30429543775740131</c:v>
                </c:pt>
                <c:pt idx="501">
                  <c:v>0.30560348880014465</c:v>
                </c:pt>
                <c:pt idx="502">
                  <c:v>0.30564663178658674</c:v>
                </c:pt>
                <c:pt idx="503">
                  <c:v>0.30566095421254236</c:v>
                </c:pt>
                <c:pt idx="504">
                  <c:v>0.30573936112260808</c:v>
                </c:pt>
                <c:pt idx="505">
                  <c:v>0.30784743694046762</c:v>
                </c:pt>
                <c:pt idx="506">
                  <c:v>0.30785169460533179</c:v>
                </c:pt>
                <c:pt idx="507">
                  <c:v>0.30799064475000265</c:v>
                </c:pt>
                <c:pt idx="508">
                  <c:v>0.30799932104693628</c:v>
                </c:pt>
                <c:pt idx="509">
                  <c:v>0.30811367530509376</c:v>
                </c:pt>
                <c:pt idx="510">
                  <c:v>0.30828142082157034</c:v>
                </c:pt>
                <c:pt idx="511">
                  <c:v>0.30845929040468478</c:v>
                </c:pt>
                <c:pt idx="512">
                  <c:v>0.30924151492836083</c:v>
                </c:pt>
                <c:pt idx="513">
                  <c:v>0.30929496279945123</c:v>
                </c:pt>
                <c:pt idx="514">
                  <c:v>0.31084800399189721</c:v>
                </c:pt>
                <c:pt idx="515">
                  <c:v>0.31229828407750465</c:v>
                </c:pt>
                <c:pt idx="516">
                  <c:v>0.31232543665758816</c:v>
                </c:pt>
                <c:pt idx="517">
                  <c:v>0.3129629827695497</c:v>
                </c:pt>
                <c:pt idx="518">
                  <c:v>0.31296887903567394</c:v>
                </c:pt>
                <c:pt idx="519">
                  <c:v>0.3129700273125271</c:v>
                </c:pt>
                <c:pt idx="520">
                  <c:v>0.31300880445592089</c:v>
                </c:pt>
                <c:pt idx="521">
                  <c:v>0.31320077202918084</c:v>
                </c:pt>
                <c:pt idx="522">
                  <c:v>0.31320331833786774</c:v>
                </c:pt>
                <c:pt idx="523">
                  <c:v>0.31330451932993825</c:v>
                </c:pt>
                <c:pt idx="524">
                  <c:v>0.3139810431813686</c:v>
                </c:pt>
                <c:pt idx="525">
                  <c:v>0.31406323148119641</c:v>
                </c:pt>
                <c:pt idx="526">
                  <c:v>0.31478825511877778</c:v>
                </c:pt>
                <c:pt idx="527">
                  <c:v>0.31496428160098305</c:v>
                </c:pt>
                <c:pt idx="528">
                  <c:v>0.31498803656023672</c:v>
                </c:pt>
                <c:pt idx="529">
                  <c:v>0.31499415449557477</c:v>
                </c:pt>
                <c:pt idx="530">
                  <c:v>0.31501286349820229</c:v>
                </c:pt>
                <c:pt idx="531">
                  <c:v>0.31544245586653796</c:v>
                </c:pt>
                <c:pt idx="532">
                  <c:v>0.31544175724209633</c:v>
                </c:pt>
                <c:pt idx="533">
                  <c:v>0.31719023051077588</c:v>
                </c:pt>
                <c:pt idx="534">
                  <c:v>0.31720920936038927</c:v>
                </c:pt>
                <c:pt idx="535">
                  <c:v>0.31760089667264474</c:v>
                </c:pt>
                <c:pt idx="536">
                  <c:v>0.31776985024819882</c:v>
                </c:pt>
                <c:pt idx="537">
                  <c:v>0.31789914800149566</c:v>
                </c:pt>
                <c:pt idx="538">
                  <c:v>0.31839415666957416</c:v>
                </c:pt>
                <c:pt idx="539">
                  <c:v>0.31841369538154835</c:v>
                </c:pt>
                <c:pt idx="540">
                  <c:v>0.318481022616868</c:v>
                </c:pt>
                <c:pt idx="541">
                  <c:v>0.31883716607687707</c:v>
                </c:pt>
                <c:pt idx="542">
                  <c:v>0.31885334171622109</c:v>
                </c:pt>
                <c:pt idx="543">
                  <c:v>0.3192249361578216</c:v>
                </c:pt>
                <c:pt idx="544">
                  <c:v>0.31936726333232385</c:v>
                </c:pt>
                <c:pt idx="545">
                  <c:v>0.31937158202730198</c:v>
                </c:pt>
                <c:pt idx="546">
                  <c:v>0.32140424848015992</c:v>
                </c:pt>
                <c:pt idx="547">
                  <c:v>0.32209575644863153</c:v>
                </c:pt>
                <c:pt idx="548">
                  <c:v>0.32210262795040318</c:v>
                </c:pt>
                <c:pt idx="549">
                  <c:v>0.32210157911990511</c:v>
                </c:pt>
                <c:pt idx="550">
                  <c:v>0.32217192104697723</c:v>
                </c:pt>
                <c:pt idx="551">
                  <c:v>0.32217926414987147</c:v>
                </c:pt>
                <c:pt idx="552">
                  <c:v>0.32218850246250347</c:v>
                </c:pt>
                <c:pt idx="553">
                  <c:v>0.32224233040495531</c:v>
                </c:pt>
                <c:pt idx="554">
                  <c:v>0.32233812899011804</c:v>
                </c:pt>
                <c:pt idx="555">
                  <c:v>0.32235738301431915</c:v>
                </c:pt>
                <c:pt idx="556">
                  <c:v>0.32400531206935446</c:v>
                </c:pt>
                <c:pt idx="557">
                  <c:v>0.32402178869015225</c:v>
                </c:pt>
                <c:pt idx="558">
                  <c:v>0.32417759893479492</c:v>
                </c:pt>
                <c:pt idx="559">
                  <c:v>0.32417724347679749</c:v>
                </c:pt>
                <c:pt idx="560">
                  <c:v>0.32428381574366094</c:v>
                </c:pt>
                <c:pt idx="561">
                  <c:v>0.32428629911052725</c:v>
                </c:pt>
                <c:pt idx="562">
                  <c:v>0.32431963334103975</c:v>
                </c:pt>
                <c:pt idx="563">
                  <c:v>0.3243381139991694</c:v>
                </c:pt>
                <c:pt idx="564">
                  <c:v>0.32475751906438088</c:v>
                </c:pt>
                <c:pt idx="565">
                  <c:v>0.32524402553888959</c:v>
                </c:pt>
                <c:pt idx="566">
                  <c:v>0.32524795431421899</c:v>
                </c:pt>
                <c:pt idx="567">
                  <c:v>0.32525996556663905</c:v>
                </c:pt>
                <c:pt idx="568">
                  <c:v>0.32527659502337919</c:v>
                </c:pt>
                <c:pt idx="569">
                  <c:v>0.32528392568615672</c:v>
                </c:pt>
                <c:pt idx="570">
                  <c:v>0.3252836081539478</c:v>
                </c:pt>
                <c:pt idx="571">
                  <c:v>0.3261612656243682</c:v>
                </c:pt>
                <c:pt idx="572">
                  <c:v>0.32616848211575122</c:v>
                </c:pt>
                <c:pt idx="573">
                  <c:v>0.32651206033311875</c:v>
                </c:pt>
                <c:pt idx="574">
                  <c:v>0.32678366761796107</c:v>
                </c:pt>
                <c:pt idx="575">
                  <c:v>0.32678991227377902</c:v>
                </c:pt>
                <c:pt idx="576">
                  <c:v>0.32680684404676091</c:v>
                </c:pt>
                <c:pt idx="577">
                  <c:v>0.32767115300999122</c:v>
                </c:pt>
                <c:pt idx="578">
                  <c:v>0.32811787913655771</c:v>
                </c:pt>
                <c:pt idx="579">
                  <c:v>0.32811696569132459</c:v>
                </c:pt>
                <c:pt idx="580">
                  <c:v>0.32834245985654209</c:v>
                </c:pt>
                <c:pt idx="581">
                  <c:v>0.32839000931752055</c:v>
                </c:pt>
                <c:pt idx="582">
                  <c:v>0.32849652538574936</c:v>
                </c:pt>
                <c:pt idx="583">
                  <c:v>0.32884386976366947</c:v>
                </c:pt>
                <c:pt idx="584">
                  <c:v>0.32898989505382759</c:v>
                </c:pt>
                <c:pt idx="585">
                  <c:v>0.3293291146482788</c:v>
                </c:pt>
                <c:pt idx="586">
                  <c:v>0.32934711322778298</c:v>
                </c:pt>
                <c:pt idx="587">
                  <c:v>0.32936798819253355</c:v>
                </c:pt>
                <c:pt idx="588">
                  <c:v>0.32989604952927792</c:v>
                </c:pt>
                <c:pt idx="589">
                  <c:v>0.32990046039122189</c:v>
                </c:pt>
                <c:pt idx="590">
                  <c:v>0.32996158808132375</c:v>
                </c:pt>
                <c:pt idx="591">
                  <c:v>0.33013494683963751</c:v>
                </c:pt>
                <c:pt idx="592">
                  <c:v>0.33051617740601208</c:v>
                </c:pt>
                <c:pt idx="593">
                  <c:v>0.3305177330683155</c:v>
                </c:pt>
                <c:pt idx="594">
                  <c:v>0.3309147384397344</c:v>
                </c:pt>
                <c:pt idx="595">
                  <c:v>0.33092396488815112</c:v>
                </c:pt>
                <c:pt idx="596">
                  <c:v>0.33095625160201642</c:v>
                </c:pt>
                <c:pt idx="597">
                  <c:v>0.33097506847513219</c:v>
                </c:pt>
                <c:pt idx="598">
                  <c:v>0.33117509533684808</c:v>
                </c:pt>
                <c:pt idx="599">
                  <c:v>0.33117754426445645</c:v>
                </c:pt>
                <c:pt idx="600">
                  <c:v>0.33269131169480176</c:v>
                </c:pt>
                <c:pt idx="601">
                  <c:v>0.33269130805804353</c:v>
                </c:pt>
                <c:pt idx="602">
                  <c:v>0.33273621768251366</c:v>
                </c:pt>
                <c:pt idx="603">
                  <c:v>0.33283029418262694</c:v>
                </c:pt>
                <c:pt idx="604">
                  <c:v>0.33287449094151178</c:v>
                </c:pt>
                <c:pt idx="605">
                  <c:v>0.33298011684416212</c:v>
                </c:pt>
                <c:pt idx="606">
                  <c:v>0.3331003501784694</c:v>
                </c:pt>
                <c:pt idx="607">
                  <c:v>0.33337207754138837</c:v>
                </c:pt>
                <c:pt idx="608">
                  <c:v>0.33337782804977684</c:v>
                </c:pt>
                <c:pt idx="609">
                  <c:v>0.33347184986792849</c:v>
                </c:pt>
                <c:pt idx="610">
                  <c:v>0.33348579507876719</c:v>
                </c:pt>
                <c:pt idx="611">
                  <c:v>0.33348655451394221</c:v>
                </c:pt>
                <c:pt idx="612">
                  <c:v>0.33348599375387394</c:v>
                </c:pt>
                <c:pt idx="613">
                  <c:v>0.33445517184135343</c:v>
                </c:pt>
                <c:pt idx="614">
                  <c:v>0.33451290397275024</c:v>
                </c:pt>
                <c:pt idx="615">
                  <c:v>0.33466882157122951</c:v>
                </c:pt>
                <c:pt idx="616">
                  <c:v>0.33498240429035847</c:v>
                </c:pt>
                <c:pt idx="617">
                  <c:v>0.33503825879321542</c:v>
                </c:pt>
                <c:pt idx="618">
                  <c:v>0.33507826285539155</c:v>
                </c:pt>
                <c:pt idx="619">
                  <c:v>0.33540723748772999</c:v>
                </c:pt>
                <c:pt idx="620">
                  <c:v>0.33543965778399543</c:v>
                </c:pt>
                <c:pt idx="621">
                  <c:v>0.33551381762963739</c:v>
                </c:pt>
                <c:pt idx="622">
                  <c:v>0.33551336947468419</c:v>
                </c:pt>
                <c:pt idx="623">
                  <c:v>0.33602744175926835</c:v>
                </c:pt>
                <c:pt idx="624">
                  <c:v>0.33602735576454079</c:v>
                </c:pt>
                <c:pt idx="625">
                  <c:v>0.33603353759776067</c:v>
                </c:pt>
                <c:pt idx="626">
                  <c:v>0.33606884274106619</c:v>
                </c:pt>
                <c:pt idx="627">
                  <c:v>0.33636359880486738</c:v>
                </c:pt>
                <c:pt idx="628">
                  <c:v>0.33636587092080844</c:v>
                </c:pt>
                <c:pt idx="629">
                  <c:v>0.33640854290766387</c:v>
                </c:pt>
                <c:pt idx="630">
                  <c:v>0.33653451323132222</c:v>
                </c:pt>
                <c:pt idx="631">
                  <c:v>0.33656477884985836</c:v>
                </c:pt>
                <c:pt idx="632">
                  <c:v>0.33678489966811714</c:v>
                </c:pt>
                <c:pt idx="633">
                  <c:v>0.33715243457525879</c:v>
                </c:pt>
                <c:pt idx="634">
                  <c:v>0.33728915523524805</c:v>
                </c:pt>
                <c:pt idx="635">
                  <c:v>0.33728833019689819</c:v>
                </c:pt>
                <c:pt idx="636">
                  <c:v>0.33741981435178187</c:v>
                </c:pt>
                <c:pt idx="637">
                  <c:v>0.33741963391512053</c:v>
                </c:pt>
                <c:pt idx="638">
                  <c:v>0.33769738369308638</c:v>
                </c:pt>
                <c:pt idx="639">
                  <c:v>0.33771640469175584</c:v>
                </c:pt>
                <c:pt idx="640">
                  <c:v>0.33798375253802493</c:v>
                </c:pt>
                <c:pt idx="641">
                  <c:v>0.33802648140448982</c:v>
                </c:pt>
                <c:pt idx="642">
                  <c:v>0.33803276134617477</c:v>
                </c:pt>
                <c:pt idx="643">
                  <c:v>0.33809044866357335</c:v>
                </c:pt>
                <c:pt idx="644">
                  <c:v>0.33843982582985088</c:v>
                </c:pt>
                <c:pt idx="645">
                  <c:v>0.3387378316727746</c:v>
                </c:pt>
                <c:pt idx="646">
                  <c:v>0.3392028088617578</c:v>
                </c:pt>
                <c:pt idx="647">
                  <c:v>0.33924315715009806</c:v>
                </c:pt>
                <c:pt idx="648">
                  <c:v>0.33937769595510153</c:v>
                </c:pt>
                <c:pt idx="649">
                  <c:v>0.3398128433188396</c:v>
                </c:pt>
                <c:pt idx="650">
                  <c:v>0.33981339636597674</c:v>
                </c:pt>
                <c:pt idx="651">
                  <c:v>0.33981557742690793</c:v>
                </c:pt>
                <c:pt idx="652">
                  <c:v>0.34039588369021045</c:v>
                </c:pt>
                <c:pt idx="653">
                  <c:v>0.34075220230594194</c:v>
                </c:pt>
                <c:pt idx="654">
                  <c:v>0.34080779964323554</c:v>
                </c:pt>
                <c:pt idx="655">
                  <c:v>0.34082091570537404</c:v>
                </c:pt>
                <c:pt idx="656">
                  <c:v>0.34086010365700514</c:v>
                </c:pt>
                <c:pt idx="657">
                  <c:v>0.34112767661540483</c:v>
                </c:pt>
                <c:pt idx="658">
                  <c:v>0.34113649847922817</c:v>
                </c:pt>
                <c:pt idx="659">
                  <c:v>0.3411809747615861</c:v>
                </c:pt>
                <c:pt idx="660">
                  <c:v>0.3412033974067738</c:v>
                </c:pt>
                <c:pt idx="661">
                  <c:v>0.34242898219984802</c:v>
                </c:pt>
                <c:pt idx="662">
                  <c:v>0.34274499254128954</c:v>
                </c:pt>
                <c:pt idx="663">
                  <c:v>0.3428923150168951</c:v>
                </c:pt>
                <c:pt idx="664">
                  <c:v>0.34289169186685664</c:v>
                </c:pt>
                <c:pt idx="665">
                  <c:v>0.34303782682929312</c:v>
                </c:pt>
                <c:pt idx="666">
                  <c:v>0.3430370572014711</c:v>
                </c:pt>
                <c:pt idx="667">
                  <c:v>0.34447657974186191</c:v>
                </c:pt>
                <c:pt idx="668">
                  <c:v>0.3445250654802744</c:v>
                </c:pt>
                <c:pt idx="669">
                  <c:v>0.34516394779861886</c:v>
                </c:pt>
                <c:pt idx="670">
                  <c:v>0.34535473849808529</c:v>
                </c:pt>
                <c:pt idx="671">
                  <c:v>0.34535458940629232</c:v>
                </c:pt>
                <c:pt idx="672">
                  <c:v>0.34561451107821572</c:v>
                </c:pt>
                <c:pt idx="673">
                  <c:v>0.34563431639576053</c:v>
                </c:pt>
                <c:pt idx="674">
                  <c:v>0.34602180886801404</c:v>
                </c:pt>
                <c:pt idx="675">
                  <c:v>0.3462963806631727</c:v>
                </c:pt>
                <c:pt idx="676">
                  <c:v>0.34633116953179682</c:v>
                </c:pt>
                <c:pt idx="677">
                  <c:v>0.34646111603292407</c:v>
                </c:pt>
                <c:pt idx="678">
                  <c:v>0.34672072996871539</c:v>
                </c:pt>
                <c:pt idx="679">
                  <c:v>0.34829962267364384</c:v>
                </c:pt>
                <c:pt idx="680">
                  <c:v>0.34903871018695398</c:v>
                </c:pt>
                <c:pt idx="681">
                  <c:v>0.34904100008229622</c:v>
                </c:pt>
                <c:pt idx="682">
                  <c:v>0.35114958418468539</c:v>
                </c:pt>
                <c:pt idx="683">
                  <c:v>0.35148935586179703</c:v>
                </c:pt>
                <c:pt idx="684">
                  <c:v>0.3514886183635037</c:v>
                </c:pt>
                <c:pt idx="685">
                  <c:v>0.35153884966500831</c:v>
                </c:pt>
                <c:pt idx="686">
                  <c:v>0.3515857304753417</c:v>
                </c:pt>
                <c:pt idx="687">
                  <c:v>0.35205736738594573</c:v>
                </c:pt>
                <c:pt idx="688">
                  <c:v>0.35206653269270982</c:v>
                </c:pt>
                <c:pt idx="689">
                  <c:v>0.35209626554413792</c:v>
                </c:pt>
                <c:pt idx="690">
                  <c:v>0.35211794034237792</c:v>
                </c:pt>
                <c:pt idx="691">
                  <c:v>0.35267903020340202</c:v>
                </c:pt>
                <c:pt idx="692">
                  <c:v>0.35331194358999074</c:v>
                </c:pt>
                <c:pt idx="693">
                  <c:v>0.35331299835952606</c:v>
                </c:pt>
                <c:pt idx="694">
                  <c:v>0.3533618510151878</c:v>
                </c:pt>
                <c:pt idx="695">
                  <c:v>0.3537927820714552</c:v>
                </c:pt>
                <c:pt idx="696">
                  <c:v>0.35434663194776084</c:v>
                </c:pt>
                <c:pt idx="697">
                  <c:v>0.35442862691247878</c:v>
                </c:pt>
                <c:pt idx="698">
                  <c:v>0.35451709231338657</c:v>
                </c:pt>
                <c:pt idx="699">
                  <c:v>0.35466011605449355</c:v>
                </c:pt>
                <c:pt idx="700">
                  <c:v>0.35537381030767429</c:v>
                </c:pt>
                <c:pt idx="701">
                  <c:v>0.35565900598990396</c:v>
                </c:pt>
                <c:pt idx="702">
                  <c:v>0.35565999666279452</c:v>
                </c:pt>
                <c:pt idx="703">
                  <c:v>0.35569154475861514</c:v>
                </c:pt>
                <c:pt idx="704">
                  <c:v>0.35574565389569007</c:v>
                </c:pt>
                <c:pt idx="705">
                  <c:v>0.35575797304949952</c:v>
                </c:pt>
                <c:pt idx="706">
                  <c:v>0.35713493353080117</c:v>
                </c:pt>
                <c:pt idx="707">
                  <c:v>0.35736044467363504</c:v>
                </c:pt>
                <c:pt idx="708">
                  <c:v>0.35767531428775995</c:v>
                </c:pt>
                <c:pt idx="709">
                  <c:v>0.35777598577019104</c:v>
                </c:pt>
                <c:pt idx="710">
                  <c:v>0.35795576883277408</c:v>
                </c:pt>
                <c:pt idx="711">
                  <c:v>0.35796575531107283</c:v>
                </c:pt>
                <c:pt idx="712">
                  <c:v>0.35796776636456445</c:v>
                </c:pt>
                <c:pt idx="713">
                  <c:v>0.3580255255091962</c:v>
                </c:pt>
                <c:pt idx="714">
                  <c:v>0.35802483847713706</c:v>
                </c:pt>
                <c:pt idx="715">
                  <c:v>0.35839870502604754</c:v>
                </c:pt>
                <c:pt idx="716">
                  <c:v>0.35839963150704324</c:v>
                </c:pt>
                <c:pt idx="717">
                  <c:v>0.35849971787523688</c:v>
                </c:pt>
                <c:pt idx="718">
                  <c:v>0.35881107184792438</c:v>
                </c:pt>
                <c:pt idx="719">
                  <c:v>0.35952572656759924</c:v>
                </c:pt>
                <c:pt idx="720">
                  <c:v>0.36009514300268658</c:v>
                </c:pt>
                <c:pt idx="721">
                  <c:v>0.36009876569945831</c:v>
                </c:pt>
                <c:pt idx="722">
                  <c:v>0.36024220721438216</c:v>
                </c:pt>
                <c:pt idx="723">
                  <c:v>0.36053343672343252</c:v>
                </c:pt>
                <c:pt idx="724">
                  <c:v>0.36111820548147966</c:v>
                </c:pt>
                <c:pt idx="725">
                  <c:v>0.36384375347328807</c:v>
                </c:pt>
                <c:pt idx="726">
                  <c:v>0.36391950838827136</c:v>
                </c:pt>
                <c:pt idx="727">
                  <c:v>0.3694600088062987</c:v>
                </c:pt>
                <c:pt idx="728">
                  <c:v>0.36947738435823335</c:v>
                </c:pt>
                <c:pt idx="729">
                  <c:v>0.36953445246663547</c:v>
                </c:pt>
                <c:pt idx="730">
                  <c:v>0.36958939942307939</c:v>
                </c:pt>
                <c:pt idx="731">
                  <c:v>0.36968472016786014</c:v>
                </c:pt>
                <c:pt idx="732">
                  <c:v>0.36988097864108482</c:v>
                </c:pt>
                <c:pt idx="733">
                  <c:v>0.37031732231634901</c:v>
                </c:pt>
                <c:pt idx="734">
                  <c:v>0.37050877749926692</c:v>
                </c:pt>
                <c:pt idx="735">
                  <c:v>0.37051536493028364</c:v>
                </c:pt>
                <c:pt idx="736">
                  <c:v>0.37154847748523234</c:v>
                </c:pt>
                <c:pt idx="737">
                  <c:v>0.37157799357892085</c:v>
                </c:pt>
                <c:pt idx="738">
                  <c:v>0.37157965745416593</c:v>
                </c:pt>
                <c:pt idx="739">
                  <c:v>0.37199664528972587</c:v>
                </c:pt>
                <c:pt idx="740">
                  <c:v>0.37201534490350374</c:v>
                </c:pt>
                <c:pt idx="741">
                  <c:v>0.37325576300606383</c:v>
                </c:pt>
                <c:pt idx="742">
                  <c:v>0.37325880160887204</c:v>
                </c:pt>
                <c:pt idx="743">
                  <c:v>0.37330751283864122</c:v>
                </c:pt>
                <c:pt idx="744">
                  <c:v>0.37336808252498638</c:v>
                </c:pt>
                <c:pt idx="745">
                  <c:v>0.37397481173325442</c:v>
                </c:pt>
                <c:pt idx="746">
                  <c:v>0.37402284096243282</c:v>
                </c:pt>
                <c:pt idx="747">
                  <c:v>0.37539670400615671</c:v>
                </c:pt>
                <c:pt idx="748">
                  <c:v>0.3754040971133441</c:v>
                </c:pt>
                <c:pt idx="749">
                  <c:v>0.37568201937208467</c:v>
                </c:pt>
                <c:pt idx="750">
                  <c:v>0.3759076411971462</c:v>
                </c:pt>
                <c:pt idx="751">
                  <c:v>0.37703260549290407</c:v>
                </c:pt>
                <c:pt idx="752">
                  <c:v>0.37881526172154978</c:v>
                </c:pt>
                <c:pt idx="753">
                  <c:v>0.37940867992819366</c:v>
                </c:pt>
                <c:pt idx="754">
                  <c:v>0.37941254642009004</c:v>
                </c:pt>
                <c:pt idx="755">
                  <c:v>0.37949777819881098</c:v>
                </c:pt>
                <c:pt idx="756">
                  <c:v>0.3798685453801709</c:v>
                </c:pt>
                <c:pt idx="757">
                  <c:v>0.37987926396844723</c:v>
                </c:pt>
                <c:pt idx="758">
                  <c:v>0.37989751123109006</c:v>
                </c:pt>
                <c:pt idx="759">
                  <c:v>0.37989986157623634</c:v>
                </c:pt>
                <c:pt idx="760">
                  <c:v>0.38037183355447302</c:v>
                </c:pt>
                <c:pt idx="761">
                  <c:v>0.3807671956559705</c:v>
                </c:pt>
                <c:pt idx="762">
                  <c:v>0.38076847367430849</c:v>
                </c:pt>
                <c:pt idx="763">
                  <c:v>0.38091009411577614</c:v>
                </c:pt>
                <c:pt idx="764">
                  <c:v>0.38091681376602687</c:v>
                </c:pt>
                <c:pt idx="765">
                  <c:v>0.38134980989996825</c:v>
                </c:pt>
                <c:pt idx="766">
                  <c:v>0.38134938099717686</c:v>
                </c:pt>
                <c:pt idx="767">
                  <c:v>0.38136056878812524</c:v>
                </c:pt>
                <c:pt idx="768">
                  <c:v>0.3818298251594488</c:v>
                </c:pt>
                <c:pt idx="769">
                  <c:v>0.38182920159326994</c:v>
                </c:pt>
                <c:pt idx="770">
                  <c:v>0.38205520290573636</c:v>
                </c:pt>
                <c:pt idx="771">
                  <c:v>0.382107451012896</c:v>
                </c:pt>
                <c:pt idx="772">
                  <c:v>0.38212563256375454</c:v>
                </c:pt>
                <c:pt idx="773">
                  <c:v>0.38263982715782829</c:v>
                </c:pt>
                <c:pt idx="774">
                  <c:v>0.38265278455223967</c:v>
                </c:pt>
                <c:pt idx="775">
                  <c:v>0.38266191462032589</c:v>
                </c:pt>
                <c:pt idx="776">
                  <c:v>0.38339360134942124</c:v>
                </c:pt>
                <c:pt idx="777">
                  <c:v>0.38343481107158278</c:v>
                </c:pt>
                <c:pt idx="778">
                  <c:v>0.3834344693842755</c:v>
                </c:pt>
                <c:pt idx="779">
                  <c:v>0.38391640721412101</c:v>
                </c:pt>
                <c:pt idx="780">
                  <c:v>0.38396945354454182</c:v>
                </c:pt>
                <c:pt idx="781">
                  <c:v>0.38397135316327324</c:v>
                </c:pt>
                <c:pt idx="782">
                  <c:v>0.38403792247630603</c:v>
                </c:pt>
                <c:pt idx="783">
                  <c:v>0.38474489709000254</c:v>
                </c:pt>
                <c:pt idx="784">
                  <c:v>0.3850012841628952</c:v>
                </c:pt>
                <c:pt idx="785">
                  <c:v>0.38517883282139886</c:v>
                </c:pt>
                <c:pt idx="786">
                  <c:v>0.38523191831556081</c:v>
                </c:pt>
                <c:pt idx="787">
                  <c:v>0.38636326109936608</c:v>
                </c:pt>
                <c:pt idx="788">
                  <c:v>0.38643265918429509</c:v>
                </c:pt>
                <c:pt idx="789">
                  <c:v>0.38678707318145222</c:v>
                </c:pt>
                <c:pt idx="790">
                  <c:v>0.38688431960787395</c:v>
                </c:pt>
                <c:pt idx="791">
                  <c:v>0.38690336385773977</c:v>
                </c:pt>
                <c:pt idx="792">
                  <c:v>0.38729858572130854</c:v>
                </c:pt>
                <c:pt idx="793">
                  <c:v>0.38767190252288958</c:v>
                </c:pt>
                <c:pt idx="794">
                  <c:v>0.38768235230364184</c:v>
                </c:pt>
                <c:pt idx="795">
                  <c:v>0.38771694539376056</c:v>
                </c:pt>
                <c:pt idx="796">
                  <c:v>0.3884767543803177</c:v>
                </c:pt>
                <c:pt idx="797">
                  <c:v>0.38851172681515878</c:v>
                </c:pt>
                <c:pt idx="798">
                  <c:v>0.38856793661717665</c:v>
                </c:pt>
                <c:pt idx="799">
                  <c:v>0.38859279226526883</c:v>
                </c:pt>
                <c:pt idx="800">
                  <c:v>0.38879316352526322</c:v>
                </c:pt>
                <c:pt idx="801">
                  <c:v>0.38879950438128413</c:v>
                </c:pt>
                <c:pt idx="802">
                  <c:v>0.3894192740464168</c:v>
                </c:pt>
                <c:pt idx="803">
                  <c:v>0.39023459364755581</c:v>
                </c:pt>
                <c:pt idx="804">
                  <c:v>0.39024589464450132</c:v>
                </c:pt>
                <c:pt idx="805">
                  <c:v>0.39061624382065485</c:v>
                </c:pt>
                <c:pt idx="806">
                  <c:v>0.39068475388192264</c:v>
                </c:pt>
                <c:pt idx="807">
                  <c:v>0.39099334643542438</c:v>
                </c:pt>
                <c:pt idx="808">
                  <c:v>0.39115049981458566</c:v>
                </c:pt>
                <c:pt idx="809">
                  <c:v>0.3921099113175367</c:v>
                </c:pt>
                <c:pt idx="810">
                  <c:v>0.392112816556759</c:v>
                </c:pt>
                <c:pt idx="811">
                  <c:v>0.39217390105906991</c:v>
                </c:pt>
                <c:pt idx="812">
                  <c:v>0.39267888803788548</c:v>
                </c:pt>
                <c:pt idx="813">
                  <c:v>0.3927687269994779</c:v>
                </c:pt>
                <c:pt idx="814">
                  <c:v>0.39278176443622226</c:v>
                </c:pt>
                <c:pt idx="815">
                  <c:v>0.39304731594297088</c:v>
                </c:pt>
                <c:pt idx="816">
                  <c:v>0.39320435767966594</c:v>
                </c:pt>
                <c:pt idx="817">
                  <c:v>0.3959931823141018</c:v>
                </c:pt>
                <c:pt idx="818">
                  <c:v>0.39605416078915717</c:v>
                </c:pt>
                <c:pt idx="819">
                  <c:v>0.39612535490008027</c:v>
                </c:pt>
                <c:pt idx="820">
                  <c:v>0.39612480367488012</c:v>
                </c:pt>
                <c:pt idx="821">
                  <c:v>0.39622445466966932</c:v>
                </c:pt>
                <c:pt idx="822">
                  <c:v>0.39622602297681109</c:v>
                </c:pt>
                <c:pt idx="823">
                  <c:v>0.39744243122867928</c:v>
                </c:pt>
                <c:pt idx="824">
                  <c:v>0.39780378839688263</c:v>
                </c:pt>
                <c:pt idx="825">
                  <c:v>0.3978438134957859</c:v>
                </c:pt>
                <c:pt idx="826">
                  <c:v>0.39785783443648226</c:v>
                </c:pt>
                <c:pt idx="827">
                  <c:v>0.3980212932110096</c:v>
                </c:pt>
                <c:pt idx="828">
                  <c:v>0.39918233960068572</c:v>
                </c:pt>
                <c:pt idx="829">
                  <c:v>0.39918461483924284</c:v>
                </c:pt>
                <c:pt idx="830">
                  <c:v>0.3995780032480627</c:v>
                </c:pt>
                <c:pt idx="831">
                  <c:v>0.39959040567559112</c:v>
                </c:pt>
                <c:pt idx="832">
                  <c:v>0.39966269736806548</c:v>
                </c:pt>
                <c:pt idx="833">
                  <c:v>0.39969408713611609</c:v>
                </c:pt>
                <c:pt idx="834">
                  <c:v>0.39982799989720152</c:v>
                </c:pt>
                <c:pt idx="835">
                  <c:v>0.40075286663572879</c:v>
                </c:pt>
                <c:pt idx="836">
                  <c:v>0.40076476974323882</c:v>
                </c:pt>
                <c:pt idx="837">
                  <c:v>0.40110260147600313</c:v>
                </c:pt>
                <c:pt idx="838">
                  <c:v>0.40110208969757694</c:v>
                </c:pt>
                <c:pt idx="839">
                  <c:v>0.40163700627318422</c:v>
                </c:pt>
                <c:pt idx="840">
                  <c:v>0.40337130823351858</c:v>
                </c:pt>
                <c:pt idx="841">
                  <c:v>0.40367894835462576</c:v>
                </c:pt>
                <c:pt idx="842">
                  <c:v>0.40388784267287264</c:v>
                </c:pt>
                <c:pt idx="843">
                  <c:v>0.4038993944390557</c:v>
                </c:pt>
                <c:pt idx="844">
                  <c:v>0.40443696684665981</c:v>
                </c:pt>
                <c:pt idx="845">
                  <c:v>0.40813199463831462</c:v>
                </c:pt>
                <c:pt idx="846">
                  <c:v>0.40818056965998306</c:v>
                </c:pt>
                <c:pt idx="847">
                  <c:v>0.40890620341270822</c:v>
                </c:pt>
                <c:pt idx="848">
                  <c:v>0.40895555174032233</c:v>
                </c:pt>
                <c:pt idx="849">
                  <c:v>0.40944844699013644</c:v>
                </c:pt>
                <c:pt idx="850">
                  <c:v>0.40952148045341058</c:v>
                </c:pt>
                <c:pt idx="851">
                  <c:v>0.41004605871729316</c:v>
                </c:pt>
                <c:pt idx="852">
                  <c:v>0.41271035085515673</c:v>
                </c:pt>
                <c:pt idx="853">
                  <c:v>0.41275192394905535</c:v>
                </c:pt>
                <c:pt idx="854">
                  <c:v>0.41304086944719737</c:v>
                </c:pt>
                <c:pt idx="855">
                  <c:v>0.41304912082219053</c:v>
                </c:pt>
                <c:pt idx="856">
                  <c:v>0.41321740629054671</c:v>
                </c:pt>
                <c:pt idx="857">
                  <c:v>0.4132295857949343</c:v>
                </c:pt>
                <c:pt idx="858">
                  <c:v>0.4137097100137096</c:v>
                </c:pt>
                <c:pt idx="859">
                  <c:v>0.41374326921885352</c:v>
                </c:pt>
                <c:pt idx="860">
                  <c:v>0.41375554167233769</c:v>
                </c:pt>
                <c:pt idx="861">
                  <c:v>0.41388982170401367</c:v>
                </c:pt>
                <c:pt idx="862">
                  <c:v>0.41437880371685498</c:v>
                </c:pt>
                <c:pt idx="863">
                  <c:v>0.41437870373092389</c:v>
                </c:pt>
                <c:pt idx="864">
                  <c:v>0.4179829702736636</c:v>
                </c:pt>
                <c:pt idx="865">
                  <c:v>0.41812514024070674</c:v>
                </c:pt>
                <c:pt idx="866">
                  <c:v>0.41813072699170689</c:v>
                </c:pt>
                <c:pt idx="867">
                  <c:v>0.41814890109192016</c:v>
                </c:pt>
                <c:pt idx="868">
                  <c:v>0.41833110334989754</c:v>
                </c:pt>
                <c:pt idx="869">
                  <c:v>0.41840372737855686</c:v>
                </c:pt>
                <c:pt idx="870">
                  <c:v>0.4185242387251793</c:v>
                </c:pt>
                <c:pt idx="871">
                  <c:v>0.41868288139632948</c:v>
                </c:pt>
                <c:pt idx="872">
                  <c:v>0.41871148366369315</c:v>
                </c:pt>
                <c:pt idx="873">
                  <c:v>0.41871099657830013</c:v>
                </c:pt>
                <c:pt idx="874">
                  <c:v>0.41873986088566262</c:v>
                </c:pt>
                <c:pt idx="875">
                  <c:v>0.41897922775303298</c:v>
                </c:pt>
                <c:pt idx="876">
                  <c:v>0.41902005282004101</c:v>
                </c:pt>
                <c:pt idx="877">
                  <c:v>0.4190291367729283</c:v>
                </c:pt>
                <c:pt idx="878">
                  <c:v>0.41981040979515521</c:v>
                </c:pt>
                <c:pt idx="879">
                  <c:v>0.42005986452705124</c:v>
                </c:pt>
                <c:pt idx="880">
                  <c:v>0.42030138940330597</c:v>
                </c:pt>
                <c:pt idx="881">
                  <c:v>0.42030145398570673</c:v>
                </c:pt>
                <c:pt idx="882">
                  <c:v>0.42037432760312715</c:v>
                </c:pt>
                <c:pt idx="883">
                  <c:v>0.42038479874933316</c:v>
                </c:pt>
                <c:pt idx="884">
                  <c:v>0.42046834955682716</c:v>
                </c:pt>
                <c:pt idx="885">
                  <c:v>0.42047077101561636</c:v>
                </c:pt>
                <c:pt idx="886">
                  <c:v>0.42104451288795008</c:v>
                </c:pt>
                <c:pt idx="887">
                  <c:v>0.42109990174750339</c:v>
                </c:pt>
                <c:pt idx="888">
                  <c:v>0.42137496625147125</c:v>
                </c:pt>
                <c:pt idx="889">
                  <c:v>0.42157610589571204</c:v>
                </c:pt>
                <c:pt idx="890">
                  <c:v>0.42157591695401159</c:v>
                </c:pt>
                <c:pt idx="891">
                  <c:v>0.42164350264271605</c:v>
                </c:pt>
                <c:pt idx="892">
                  <c:v>0.42169088162123092</c:v>
                </c:pt>
                <c:pt idx="893">
                  <c:v>0.42177504161203055</c:v>
                </c:pt>
                <c:pt idx="894">
                  <c:v>0.4217865809501144</c:v>
                </c:pt>
                <c:pt idx="895">
                  <c:v>0.42254527883913617</c:v>
                </c:pt>
                <c:pt idx="896">
                  <c:v>0.42261252352372619</c:v>
                </c:pt>
                <c:pt idx="897">
                  <c:v>0.42262727312089254</c:v>
                </c:pt>
                <c:pt idx="898">
                  <c:v>0.42283709764143368</c:v>
                </c:pt>
                <c:pt idx="899">
                  <c:v>0.42284593440781099</c:v>
                </c:pt>
                <c:pt idx="900">
                  <c:v>0.42311003205743952</c:v>
                </c:pt>
                <c:pt idx="901">
                  <c:v>0.4233612591762676</c:v>
                </c:pt>
                <c:pt idx="902">
                  <c:v>0.42348995995737199</c:v>
                </c:pt>
                <c:pt idx="903">
                  <c:v>0.42352112402934694</c:v>
                </c:pt>
                <c:pt idx="904">
                  <c:v>0.42363646446382902</c:v>
                </c:pt>
                <c:pt idx="905">
                  <c:v>0.4236421792402234</c:v>
                </c:pt>
                <c:pt idx="906">
                  <c:v>0.42388746964833052</c:v>
                </c:pt>
                <c:pt idx="907">
                  <c:v>0.4239307260692195</c:v>
                </c:pt>
                <c:pt idx="908">
                  <c:v>0.42393035322687012</c:v>
                </c:pt>
                <c:pt idx="909">
                  <c:v>0.4244162754900378</c:v>
                </c:pt>
                <c:pt idx="910">
                  <c:v>0.4244290112607525</c:v>
                </c:pt>
                <c:pt idx="911">
                  <c:v>0.42527859420408831</c:v>
                </c:pt>
                <c:pt idx="912">
                  <c:v>0.42528169305062424</c:v>
                </c:pt>
                <c:pt idx="913">
                  <c:v>0.42557737719988109</c:v>
                </c:pt>
                <c:pt idx="914">
                  <c:v>0.42557707040956783</c:v>
                </c:pt>
                <c:pt idx="915">
                  <c:v>0.42558602965304465</c:v>
                </c:pt>
                <c:pt idx="916">
                  <c:v>0.4257965780975671</c:v>
                </c:pt>
                <c:pt idx="917">
                  <c:v>0.42656500005217118</c:v>
                </c:pt>
                <c:pt idx="918">
                  <c:v>0.42670727600381342</c:v>
                </c:pt>
                <c:pt idx="919">
                  <c:v>0.42687899495721726</c:v>
                </c:pt>
                <c:pt idx="920">
                  <c:v>0.42690287802109622</c:v>
                </c:pt>
                <c:pt idx="921">
                  <c:v>0.42812868267563486</c:v>
                </c:pt>
                <c:pt idx="922">
                  <c:v>0.42813477058736316</c:v>
                </c:pt>
                <c:pt idx="923">
                  <c:v>0.42817052541117456</c:v>
                </c:pt>
                <c:pt idx="924">
                  <c:v>0.42819228353201577</c:v>
                </c:pt>
                <c:pt idx="925">
                  <c:v>0.42843166871325811</c:v>
                </c:pt>
                <c:pt idx="926">
                  <c:v>0.42964923029746976</c:v>
                </c:pt>
                <c:pt idx="927">
                  <c:v>0.42992885861401087</c:v>
                </c:pt>
                <c:pt idx="928">
                  <c:v>0.42992946654966419</c:v>
                </c:pt>
                <c:pt idx="929">
                  <c:v>0.42993887124418212</c:v>
                </c:pt>
                <c:pt idx="930">
                  <c:v>0.43038635651160867</c:v>
                </c:pt>
                <c:pt idx="931">
                  <c:v>0.43042551928305411</c:v>
                </c:pt>
                <c:pt idx="932">
                  <c:v>0.43051027408054549</c:v>
                </c:pt>
                <c:pt idx="933">
                  <c:v>0.43064891252513948</c:v>
                </c:pt>
                <c:pt idx="934">
                  <c:v>0.43067940997676846</c:v>
                </c:pt>
                <c:pt idx="935">
                  <c:v>0.43101107808290151</c:v>
                </c:pt>
                <c:pt idx="936">
                  <c:v>0.43106457318657393</c:v>
                </c:pt>
                <c:pt idx="937">
                  <c:v>0.4313598116653069</c:v>
                </c:pt>
                <c:pt idx="938">
                  <c:v>0.43137512563159752</c:v>
                </c:pt>
                <c:pt idx="939">
                  <c:v>0.43246093185484669</c:v>
                </c:pt>
                <c:pt idx="940">
                  <c:v>0.43256907580302534</c:v>
                </c:pt>
                <c:pt idx="941">
                  <c:v>0.43340005929047265</c:v>
                </c:pt>
                <c:pt idx="942">
                  <c:v>0.4334034318231727</c:v>
                </c:pt>
                <c:pt idx="943">
                  <c:v>0.43414411194472641</c:v>
                </c:pt>
                <c:pt idx="944">
                  <c:v>0.43472545525135176</c:v>
                </c:pt>
                <c:pt idx="945">
                  <c:v>0.43476496053929264</c:v>
                </c:pt>
                <c:pt idx="946">
                  <c:v>0.43483324004483753</c:v>
                </c:pt>
                <c:pt idx="947">
                  <c:v>0.43497079744250994</c:v>
                </c:pt>
                <c:pt idx="948">
                  <c:v>0.43497035184535238</c:v>
                </c:pt>
                <c:pt idx="949">
                  <c:v>0.43502346392573776</c:v>
                </c:pt>
                <c:pt idx="950">
                  <c:v>0.43543553989277917</c:v>
                </c:pt>
                <c:pt idx="951">
                  <c:v>0.43559601370832413</c:v>
                </c:pt>
                <c:pt idx="952">
                  <c:v>0.43565841665957789</c:v>
                </c:pt>
                <c:pt idx="953">
                  <c:v>0.4359165022739902</c:v>
                </c:pt>
                <c:pt idx="954">
                  <c:v>0.43591812042624967</c:v>
                </c:pt>
                <c:pt idx="955">
                  <c:v>0.43604769264480248</c:v>
                </c:pt>
                <c:pt idx="956">
                  <c:v>0.43628305895849773</c:v>
                </c:pt>
                <c:pt idx="957">
                  <c:v>0.43792675416097415</c:v>
                </c:pt>
                <c:pt idx="958">
                  <c:v>0.43893271428739472</c:v>
                </c:pt>
                <c:pt idx="959">
                  <c:v>0.44075581461532581</c:v>
                </c:pt>
                <c:pt idx="960">
                  <c:v>0.44136488250899381</c:v>
                </c:pt>
                <c:pt idx="961">
                  <c:v>0.442533768241479</c:v>
                </c:pt>
                <c:pt idx="962">
                  <c:v>0.44264453206135734</c:v>
                </c:pt>
                <c:pt idx="963">
                  <c:v>0.44265225002531261</c:v>
                </c:pt>
                <c:pt idx="964">
                  <c:v>0.44266820230094239</c:v>
                </c:pt>
                <c:pt idx="965">
                  <c:v>0.44266878761241568</c:v>
                </c:pt>
                <c:pt idx="966">
                  <c:v>0.44266981499889718</c:v>
                </c:pt>
                <c:pt idx="967">
                  <c:v>0.44371477774392531</c:v>
                </c:pt>
                <c:pt idx="968">
                  <c:v>0.44375164381653992</c:v>
                </c:pt>
                <c:pt idx="969">
                  <c:v>0.44375422631128925</c:v>
                </c:pt>
                <c:pt idx="970">
                  <c:v>0.4437578651463534</c:v>
                </c:pt>
                <c:pt idx="971">
                  <c:v>0.44376557938950945</c:v>
                </c:pt>
                <c:pt idx="972">
                  <c:v>0.44378377099168748</c:v>
                </c:pt>
                <c:pt idx="973">
                  <c:v>0.44382107292933742</c:v>
                </c:pt>
                <c:pt idx="974">
                  <c:v>0.44383374259115599</c:v>
                </c:pt>
                <c:pt idx="975">
                  <c:v>0.44387060263168865</c:v>
                </c:pt>
                <c:pt idx="976">
                  <c:v>0.44405701464814523</c:v>
                </c:pt>
                <c:pt idx="977">
                  <c:v>0.44536331014421654</c:v>
                </c:pt>
                <c:pt idx="978">
                  <c:v>0.44548790605262761</c:v>
                </c:pt>
                <c:pt idx="979">
                  <c:v>0.44617205802848681</c:v>
                </c:pt>
                <c:pt idx="980">
                  <c:v>0.44619693338305721</c:v>
                </c:pt>
                <c:pt idx="981">
                  <c:v>0.44715395489501852</c:v>
                </c:pt>
                <c:pt idx="982">
                  <c:v>0.44715399460567029</c:v>
                </c:pt>
                <c:pt idx="983">
                  <c:v>0.44759585893590098</c:v>
                </c:pt>
                <c:pt idx="984">
                  <c:v>0.44763814748392722</c:v>
                </c:pt>
                <c:pt idx="985">
                  <c:v>0.44764256862896706</c:v>
                </c:pt>
                <c:pt idx="986">
                  <c:v>0.44788707240362496</c:v>
                </c:pt>
                <c:pt idx="987">
                  <c:v>0.4486987899491463</c:v>
                </c:pt>
                <c:pt idx="988">
                  <c:v>0.44869936763453788</c:v>
                </c:pt>
                <c:pt idx="989">
                  <c:v>0.44871774615839072</c:v>
                </c:pt>
                <c:pt idx="990">
                  <c:v>0.44881392731108821</c:v>
                </c:pt>
                <c:pt idx="991">
                  <c:v>0.44906695897694521</c:v>
                </c:pt>
                <c:pt idx="992">
                  <c:v>0.44908039473389483</c:v>
                </c:pt>
                <c:pt idx="993">
                  <c:v>0.45206396421119871</c:v>
                </c:pt>
                <c:pt idx="994">
                  <c:v>0.45220059714474597</c:v>
                </c:pt>
                <c:pt idx="995">
                  <c:v>0.45220015712120015</c:v>
                </c:pt>
                <c:pt idx="996">
                  <c:v>0.45308205674286917</c:v>
                </c:pt>
                <c:pt idx="997">
                  <c:v>0.45313624434915639</c:v>
                </c:pt>
                <c:pt idx="998">
                  <c:v>0.45319091088878788</c:v>
                </c:pt>
                <c:pt idx="999">
                  <c:v>0.45375720769425837</c:v>
                </c:pt>
                <c:pt idx="1000">
                  <c:v>0.4544015354369203</c:v>
                </c:pt>
                <c:pt idx="1001">
                  <c:v>0.45441160849487156</c:v>
                </c:pt>
                <c:pt idx="1002">
                  <c:v>0.45588688809508876</c:v>
                </c:pt>
                <c:pt idx="1003">
                  <c:v>0.45628893527211201</c:v>
                </c:pt>
                <c:pt idx="1004">
                  <c:v>0.45647985918569245</c:v>
                </c:pt>
                <c:pt idx="1005">
                  <c:v>0.45649023730322996</c:v>
                </c:pt>
                <c:pt idx="1006">
                  <c:v>0.45681615622370858</c:v>
                </c:pt>
                <c:pt idx="1007">
                  <c:v>0.45743699472686689</c:v>
                </c:pt>
                <c:pt idx="1008">
                  <c:v>0.45754102118033768</c:v>
                </c:pt>
                <c:pt idx="1009">
                  <c:v>0.45760755022151267</c:v>
                </c:pt>
                <c:pt idx="1010">
                  <c:v>0.45811589423155868</c:v>
                </c:pt>
                <c:pt idx="1011">
                  <c:v>0.45820458959243859</c:v>
                </c:pt>
                <c:pt idx="1012">
                  <c:v>0.45828272856624958</c:v>
                </c:pt>
                <c:pt idx="1013">
                  <c:v>0.46151036278937024</c:v>
                </c:pt>
                <c:pt idx="1014">
                  <c:v>0.46181139588274844</c:v>
                </c:pt>
                <c:pt idx="1015">
                  <c:v>0.46183719584801625</c:v>
                </c:pt>
                <c:pt idx="1016">
                  <c:v>0.46765933052344488</c:v>
                </c:pt>
                <c:pt idx="1017">
                  <c:v>0.4689725629451546</c:v>
                </c:pt>
                <c:pt idx="1018">
                  <c:v>0.4689966546004915</c:v>
                </c:pt>
                <c:pt idx="1019">
                  <c:v>0.46943191934319728</c:v>
                </c:pt>
                <c:pt idx="1020">
                  <c:v>0.47092965779383372</c:v>
                </c:pt>
                <c:pt idx="1021">
                  <c:v>0.47100397030343133</c:v>
                </c:pt>
                <c:pt idx="1022">
                  <c:v>0.4713855162436742</c:v>
                </c:pt>
                <c:pt idx="1023">
                  <c:v>0.47329416772660493</c:v>
                </c:pt>
                <c:pt idx="1024">
                  <c:v>0.47599979816669952</c:v>
                </c:pt>
                <c:pt idx="1025">
                  <c:v>0.47611180131579495</c:v>
                </c:pt>
                <c:pt idx="1026">
                  <c:v>0.48022802028568318</c:v>
                </c:pt>
                <c:pt idx="1027">
                  <c:v>0.48104753790840632</c:v>
                </c:pt>
                <c:pt idx="1028">
                  <c:v>0.48122476878244286</c:v>
                </c:pt>
                <c:pt idx="1029">
                  <c:v>0.48336088602796939</c:v>
                </c:pt>
                <c:pt idx="1030">
                  <c:v>0.48337488641326537</c:v>
                </c:pt>
                <c:pt idx="1031">
                  <c:v>0.48338130814734909</c:v>
                </c:pt>
                <c:pt idx="1032">
                  <c:v>0.48428298636993594</c:v>
                </c:pt>
                <c:pt idx="1033">
                  <c:v>0.48472057969181132</c:v>
                </c:pt>
                <c:pt idx="1034">
                  <c:v>0.48486115845255867</c:v>
                </c:pt>
                <c:pt idx="1035">
                  <c:v>0.48486083496974713</c:v>
                </c:pt>
                <c:pt idx="1036">
                  <c:v>0.48507425445339725</c:v>
                </c:pt>
                <c:pt idx="1037">
                  <c:v>0.48585528879605294</c:v>
                </c:pt>
                <c:pt idx="1038">
                  <c:v>0.48633685964293294</c:v>
                </c:pt>
                <c:pt idx="1039">
                  <c:v>0.48928026948177211</c:v>
                </c:pt>
                <c:pt idx="1040">
                  <c:v>0.48929382941553812</c:v>
                </c:pt>
                <c:pt idx="1041">
                  <c:v>0.48974321155081074</c:v>
                </c:pt>
                <c:pt idx="1042">
                  <c:v>0.48976520417363412</c:v>
                </c:pt>
                <c:pt idx="1043">
                  <c:v>0.48993305409262311</c:v>
                </c:pt>
                <c:pt idx="1044">
                  <c:v>0.49030845650396199</c:v>
                </c:pt>
                <c:pt idx="1045">
                  <c:v>0.49050786409775221</c:v>
                </c:pt>
                <c:pt idx="1046">
                  <c:v>0.49093442789185243</c:v>
                </c:pt>
                <c:pt idx="1047">
                  <c:v>0.49096681198813297</c:v>
                </c:pt>
                <c:pt idx="1048">
                  <c:v>0.49097350993156524</c:v>
                </c:pt>
                <c:pt idx="1049">
                  <c:v>0.49110731473812247</c:v>
                </c:pt>
                <c:pt idx="1050">
                  <c:v>0.49189806632877131</c:v>
                </c:pt>
                <c:pt idx="1051">
                  <c:v>0.49201402697584651</c:v>
                </c:pt>
                <c:pt idx="1052">
                  <c:v>0.49201448561209588</c:v>
                </c:pt>
                <c:pt idx="1053">
                  <c:v>0.49219660175422519</c:v>
                </c:pt>
                <c:pt idx="1054">
                  <c:v>0.49221128348882981</c:v>
                </c:pt>
                <c:pt idx="1055">
                  <c:v>0.49230990449686968</c:v>
                </c:pt>
                <c:pt idx="1056">
                  <c:v>0.49252463795233581</c:v>
                </c:pt>
                <c:pt idx="1057">
                  <c:v>0.49271988734229755</c:v>
                </c:pt>
                <c:pt idx="1058">
                  <c:v>0.49291715642484102</c:v>
                </c:pt>
                <c:pt idx="1059">
                  <c:v>0.49343547582602854</c:v>
                </c:pt>
                <c:pt idx="1060">
                  <c:v>0.49345105224730096</c:v>
                </c:pt>
                <c:pt idx="1061">
                  <c:v>0.49373096541708567</c:v>
                </c:pt>
                <c:pt idx="1062">
                  <c:v>0.49374389161927684</c:v>
                </c:pt>
                <c:pt idx="1063">
                  <c:v>0.49374386510917229</c:v>
                </c:pt>
                <c:pt idx="1064">
                  <c:v>0.49389274475321504</c:v>
                </c:pt>
                <c:pt idx="1065">
                  <c:v>0.49389279195156993</c:v>
                </c:pt>
                <c:pt idx="1066">
                  <c:v>0.49389355108686933</c:v>
                </c:pt>
                <c:pt idx="1067">
                  <c:v>0.49395176568283233</c:v>
                </c:pt>
                <c:pt idx="1068">
                  <c:v>0.49420051980398727</c:v>
                </c:pt>
                <c:pt idx="1069">
                  <c:v>0.49448466824014431</c:v>
                </c:pt>
                <c:pt idx="1070">
                  <c:v>0.49448639902561609</c:v>
                </c:pt>
                <c:pt idx="1071">
                  <c:v>0.49491601998890677</c:v>
                </c:pt>
                <c:pt idx="1072">
                  <c:v>0.4952677436619542</c:v>
                </c:pt>
                <c:pt idx="1073">
                  <c:v>0.49535255159662966</c:v>
                </c:pt>
                <c:pt idx="1074">
                  <c:v>0.4954528383174378</c:v>
                </c:pt>
                <c:pt idx="1075">
                  <c:v>0.49547111368688207</c:v>
                </c:pt>
                <c:pt idx="1076">
                  <c:v>0.49548185578135279</c:v>
                </c:pt>
                <c:pt idx="1077">
                  <c:v>0.49550367887503671</c:v>
                </c:pt>
                <c:pt idx="1078">
                  <c:v>0.49552937008265968</c:v>
                </c:pt>
                <c:pt idx="1079">
                  <c:v>0.49620105653945573</c:v>
                </c:pt>
                <c:pt idx="1080">
                  <c:v>0.49620716628527606</c:v>
                </c:pt>
                <c:pt idx="1081">
                  <c:v>0.49746165577440871</c:v>
                </c:pt>
                <c:pt idx="1082">
                  <c:v>0.49767946755200015</c:v>
                </c:pt>
                <c:pt idx="1083">
                  <c:v>0.49782169736788928</c:v>
                </c:pt>
                <c:pt idx="1084">
                  <c:v>0.49784189453699945</c:v>
                </c:pt>
                <c:pt idx="1085">
                  <c:v>0.49785213756838509</c:v>
                </c:pt>
                <c:pt idx="1086">
                  <c:v>0.49835839222569517</c:v>
                </c:pt>
                <c:pt idx="1087">
                  <c:v>0.49844786934764262</c:v>
                </c:pt>
                <c:pt idx="1088">
                  <c:v>0.49856064541107409</c:v>
                </c:pt>
                <c:pt idx="1089">
                  <c:v>0.49858861924854775</c:v>
                </c:pt>
                <c:pt idx="1090">
                  <c:v>0.49859022104483608</c:v>
                </c:pt>
                <c:pt idx="1091">
                  <c:v>0.49864595585617383</c:v>
                </c:pt>
                <c:pt idx="1092">
                  <c:v>0.49873140027917856</c:v>
                </c:pt>
                <c:pt idx="1093">
                  <c:v>0.49926594961971549</c:v>
                </c:pt>
                <c:pt idx="1094">
                  <c:v>0.49979740880088236</c:v>
                </c:pt>
                <c:pt idx="1095">
                  <c:v>0.49986309835617815</c:v>
                </c:pt>
                <c:pt idx="1096">
                  <c:v>0.4998635085458123</c:v>
                </c:pt>
                <c:pt idx="1097">
                  <c:v>0.50005860058769225</c:v>
                </c:pt>
                <c:pt idx="1098">
                  <c:v>0.50008130987357291</c:v>
                </c:pt>
                <c:pt idx="1099">
                  <c:v>0.50126187465361216</c:v>
                </c:pt>
                <c:pt idx="1100">
                  <c:v>0.50130785364358399</c:v>
                </c:pt>
                <c:pt idx="1101">
                  <c:v>0.50245964730486459</c:v>
                </c:pt>
                <c:pt idx="1102">
                  <c:v>0.50246381840901966</c:v>
                </c:pt>
                <c:pt idx="1103">
                  <c:v>0.50300738866292094</c:v>
                </c:pt>
                <c:pt idx="1104">
                  <c:v>0.50306938014927371</c:v>
                </c:pt>
                <c:pt idx="1105">
                  <c:v>0.50311461330824414</c:v>
                </c:pt>
                <c:pt idx="1106">
                  <c:v>0.50452483726468633</c:v>
                </c:pt>
                <c:pt idx="1107">
                  <c:v>0.5046638808980779</c:v>
                </c:pt>
                <c:pt idx="1108">
                  <c:v>0.5051172328393404</c:v>
                </c:pt>
                <c:pt idx="1109">
                  <c:v>0.50529837718119319</c:v>
                </c:pt>
                <c:pt idx="1110">
                  <c:v>0.50529799515148044</c:v>
                </c:pt>
                <c:pt idx="1111">
                  <c:v>0.50531260159785485</c:v>
                </c:pt>
                <c:pt idx="1112">
                  <c:v>0.50537164332619877</c:v>
                </c:pt>
                <c:pt idx="1113">
                  <c:v>0.50591021504779365</c:v>
                </c:pt>
                <c:pt idx="1114">
                  <c:v>0.50683193551547323</c:v>
                </c:pt>
                <c:pt idx="1115">
                  <c:v>0.50706561478224743</c:v>
                </c:pt>
                <c:pt idx="1116">
                  <c:v>0.50853074187926539</c:v>
                </c:pt>
                <c:pt idx="1117">
                  <c:v>0.50853692805264172</c:v>
                </c:pt>
                <c:pt idx="1118">
                  <c:v>0.50854134073581714</c:v>
                </c:pt>
                <c:pt idx="1119">
                  <c:v>0.50866173018462557</c:v>
                </c:pt>
                <c:pt idx="1120">
                  <c:v>0.50891518293925231</c:v>
                </c:pt>
                <c:pt idx="1121">
                  <c:v>0.50900151557827389</c:v>
                </c:pt>
                <c:pt idx="1122">
                  <c:v>0.50903357227534252</c:v>
                </c:pt>
                <c:pt idx="1123">
                  <c:v>0.50909211110465102</c:v>
                </c:pt>
                <c:pt idx="1124">
                  <c:v>0.51010983269995203</c:v>
                </c:pt>
                <c:pt idx="1125">
                  <c:v>0.51053258096540011</c:v>
                </c:pt>
                <c:pt idx="1126">
                  <c:v>0.51055767002884178</c:v>
                </c:pt>
                <c:pt idx="1127">
                  <c:v>0.51115742491089133</c:v>
                </c:pt>
                <c:pt idx="1128">
                  <c:v>0.51115827743362019</c:v>
                </c:pt>
                <c:pt idx="1129">
                  <c:v>0.51159698002232867</c:v>
                </c:pt>
                <c:pt idx="1130">
                  <c:v>0.51161549213606405</c:v>
                </c:pt>
                <c:pt idx="1131">
                  <c:v>0.51283914715722145</c:v>
                </c:pt>
                <c:pt idx="1132">
                  <c:v>0.51309586908475602</c:v>
                </c:pt>
                <c:pt idx="1133">
                  <c:v>0.51311707645868188</c:v>
                </c:pt>
                <c:pt idx="1134">
                  <c:v>0.51312123763444706</c:v>
                </c:pt>
                <c:pt idx="1135">
                  <c:v>0.51320330815129889</c:v>
                </c:pt>
                <c:pt idx="1136">
                  <c:v>0.51349048165881128</c:v>
                </c:pt>
                <c:pt idx="1137">
                  <c:v>0.51485933631917447</c:v>
                </c:pt>
                <c:pt idx="1138">
                  <c:v>0.51492134597097516</c:v>
                </c:pt>
                <c:pt idx="1139">
                  <c:v>0.5149927753770841</c:v>
                </c:pt>
                <c:pt idx="1140">
                  <c:v>0.51903136844494391</c:v>
                </c:pt>
                <c:pt idx="1141">
                  <c:v>0.51913805723671236</c:v>
                </c:pt>
                <c:pt idx="1142">
                  <c:v>0.519257727196339</c:v>
                </c:pt>
                <c:pt idx="1143">
                  <c:v>0.51976847694703876</c:v>
                </c:pt>
                <c:pt idx="1144">
                  <c:v>0.52224962574930156</c:v>
                </c:pt>
                <c:pt idx="1145">
                  <c:v>0.52225023453203046</c:v>
                </c:pt>
                <c:pt idx="1146">
                  <c:v>0.52428505848865659</c:v>
                </c:pt>
                <c:pt idx="1147">
                  <c:v>0.52502460518217475</c:v>
                </c:pt>
                <c:pt idx="1148">
                  <c:v>0.52539682747513106</c:v>
                </c:pt>
                <c:pt idx="1149">
                  <c:v>0.5254888126373598</c:v>
                </c:pt>
                <c:pt idx="1150">
                  <c:v>0.52758786746129005</c:v>
                </c:pt>
                <c:pt idx="1151">
                  <c:v>0.52854231529448281</c:v>
                </c:pt>
                <c:pt idx="1152">
                  <c:v>0.52918328304099849</c:v>
                </c:pt>
                <c:pt idx="1153">
                  <c:v>0.53029088807350822</c:v>
                </c:pt>
                <c:pt idx="1154">
                  <c:v>0.53031922425336186</c:v>
                </c:pt>
                <c:pt idx="1155">
                  <c:v>0.53032215492375112</c:v>
                </c:pt>
                <c:pt idx="1156">
                  <c:v>0.53048129174910963</c:v>
                </c:pt>
                <c:pt idx="1157">
                  <c:v>0.53112703694052155</c:v>
                </c:pt>
                <c:pt idx="1158">
                  <c:v>0.53257982778754442</c:v>
                </c:pt>
                <c:pt idx="1159">
                  <c:v>0.53262853497835039</c:v>
                </c:pt>
                <c:pt idx="1160">
                  <c:v>0.53330403775880209</c:v>
                </c:pt>
                <c:pt idx="1161">
                  <c:v>0.53388046035293468</c:v>
                </c:pt>
                <c:pt idx="1162">
                  <c:v>0.53401074097878209</c:v>
                </c:pt>
                <c:pt idx="1163">
                  <c:v>0.53404349434342424</c:v>
                </c:pt>
                <c:pt idx="1164">
                  <c:v>0.53415883996288638</c:v>
                </c:pt>
                <c:pt idx="1165">
                  <c:v>0.53416165083862299</c:v>
                </c:pt>
                <c:pt idx="1166">
                  <c:v>0.53419695687388535</c:v>
                </c:pt>
                <c:pt idx="1167">
                  <c:v>0.5343096914435318</c:v>
                </c:pt>
                <c:pt idx="1168">
                  <c:v>0.53460510259829364</c:v>
                </c:pt>
                <c:pt idx="1169">
                  <c:v>0.5346048250167168</c:v>
                </c:pt>
                <c:pt idx="1170">
                  <c:v>0.53618428096874937</c:v>
                </c:pt>
                <c:pt idx="1171">
                  <c:v>0.53670494300783933</c:v>
                </c:pt>
                <c:pt idx="1172">
                  <c:v>0.5367055547639229</c:v>
                </c:pt>
                <c:pt idx="1173">
                  <c:v>0.53693758503237454</c:v>
                </c:pt>
                <c:pt idx="1174">
                  <c:v>0.53742168134145873</c:v>
                </c:pt>
                <c:pt idx="1175">
                  <c:v>0.53745669633675452</c:v>
                </c:pt>
                <c:pt idx="1176">
                  <c:v>0.53835746982419141</c:v>
                </c:pt>
                <c:pt idx="1177">
                  <c:v>0.53949935559095075</c:v>
                </c:pt>
                <c:pt idx="1178">
                  <c:v>0.53957127021615048</c:v>
                </c:pt>
                <c:pt idx="1179">
                  <c:v>0.53969939209462536</c:v>
                </c:pt>
                <c:pt idx="1180">
                  <c:v>0.53971497614428721</c:v>
                </c:pt>
                <c:pt idx="1181">
                  <c:v>0.5397363311817942</c:v>
                </c:pt>
                <c:pt idx="1182">
                  <c:v>0.5398089462748924</c:v>
                </c:pt>
                <c:pt idx="1183">
                  <c:v>0.5400744671303559</c:v>
                </c:pt>
                <c:pt idx="1184">
                  <c:v>0.54241072890419662</c:v>
                </c:pt>
                <c:pt idx="1185">
                  <c:v>0.54268047640229211</c:v>
                </c:pt>
                <c:pt idx="1186">
                  <c:v>0.54269017847661249</c:v>
                </c:pt>
                <c:pt idx="1187">
                  <c:v>0.54311478506216893</c:v>
                </c:pt>
                <c:pt idx="1188">
                  <c:v>0.5431247618413223</c:v>
                </c:pt>
                <c:pt idx="1189">
                  <c:v>0.54321011225737592</c:v>
                </c:pt>
                <c:pt idx="1190">
                  <c:v>0.54325880669660753</c:v>
                </c:pt>
                <c:pt idx="1191">
                  <c:v>0.5449642403201036</c:v>
                </c:pt>
                <c:pt idx="1192">
                  <c:v>0.54550493061033944</c:v>
                </c:pt>
                <c:pt idx="1193">
                  <c:v>0.54616079673056239</c:v>
                </c:pt>
                <c:pt idx="1194">
                  <c:v>0.54679498888483524</c:v>
                </c:pt>
                <c:pt idx="1195">
                  <c:v>0.54823953191847397</c:v>
                </c:pt>
                <c:pt idx="1196">
                  <c:v>0.54844477274605874</c:v>
                </c:pt>
                <c:pt idx="1197">
                  <c:v>0.54865615349854513</c:v>
                </c:pt>
                <c:pt idx="1198">
                  <c:v>0.55040573619265898</c:v>
                </c:pt>
                <c:pt idx="1199">
                  <c:v>0.55040966278115</c:v>
                </c:pt>
                <c:pt idx="1200">
                  <c:v>0.55071607010887469</c:v>
                </c:pt>
                <c:pt idx="1201">
                  <c:v>0.55116034924980872</c:v>
                </c:pt>
                <c:pt idx="1202">
                  <c:v>0.55134647938036052</c:v>
                </c:pt>
                <c:pt idx="1203">
                  <c:v>0.55136706795083035</c:v>
                </c:pt>
                <c:pt idx="1204">
                  <c:v>0.55137043053155788</c:v>
                </c:pt>
                <c:pt idx="1205">
                  <c:v>0.55315894913035424</c:v>
                </c:pt>
                <c:pt idx="1206">
                  <c:v>0.55319373838392261</c:v>
                </c:pt>
                <c:pt idx="1207">
                  <c:v>0.55329949693524227</c:v>
                </c:pt>
                <c:pt idx="1208">
                  <c:v>0.55650543753031123</c:v>
                </c:pt>
                <c:pt idx="1209">
                  <c:v>0.56184914994659074</c:v>
                </c:pt>
                <c:pt idx="1210">
                  <c:v>0.56228106335677264</c:v>
                </c:pt>
                <c:pt idx="1211">
                  <c:v>0.56345170434594349</c:v>
                </c:pt>
                <c:pt idx="1212">
                  <c:v>0.56480979721830793</c:v>
                </c:pt>
                <c:pt idx="1213">
                  <c:v>0.56492056281979652</c:v>
                </c:pt>
                <c:pt idx="1214">
                  <c:v>0.56503864764868605</c:v>
                </c:pt>
                <c:pt idx="1215">
                  <c:v>0.56948443858768549</c:v>
                </c:pt>
                <c:pt idx="1216">
                  <c:v>0.56972562257973758</c:v>
                </c:pt>
                <c:pt idx="1217">
                  <c:v>0.57028350444697806</c:v>
                </c:pt>
                <c:pt idx="1218">
                  <c:v>0.57155502477862907</c:v>
                </c:pt>
                <c:pt idx="1219">
                  <c:v>0.57177914736846747</c:v>
                </c:pt>
                <c:pt idx="1220">
                  <c:v>0.57181449489433189</c:v>
                </c:pt>
                <c:pt idx="1221">
                  <c:v>0.57218225819546331</c:v>
                </c:pt>
                <c:pt idx="1222">
                  <c:v>0.57265402858325687</c:v>
                </c:pt>
                <c:pt idx="1223">
                  <c:v>0.5733672848124276</c:v>
                </c:pt>
                <c:pt idx="1224">
                  <c:v>0.57416141940342491</c:v>
                </c:pt>
                <c:pt idx="1225">
                  <c:v>0.57893913808421371</c:v>
                </c:pt>
                <c:pt idx="1226">
                  <c:v>0.57969754795428619</c:v>
                </c:pt>
                <c:pt idx="1227">
                  <c:v>0.57969746869002048</c:v>
                </c:pt>
                <c:pt idx="1228">
                  <c:v>0.58028460761309186</c:v>
                </c:pt>
                <c:pt idx="1229">
                  <c:v>0.58034349843056199</c:v>
                </c:pt>
                <c:pt idx="1230">
                  <c:v>0.5813309256234297</c:v>
                </c:pt>
                <c:pt idx="1231">
                  <c:v>0.58136761990081764</c:v>
                </c:pt>
                <c:pt idx="1232">
                  <c:v>0.58353743735561503</c:v>
                </c:pt>
                <c:pt idx="1233">
                  <c:v>0.58363511496726694</c:v>
                </c:pt>
                <c:pt idx="1234">
                  <c:v>0.58421906707505034</c:v>
                </c:pt>
                <c:pt idx="1235">
                  <c:v>0.58560253467681234</c:v>
                </c:pt>
                <c:pt idx="1236">
                  <c:v>0.58736491429032966</c:v>
                </c:pt>
                <c:pt idx="1237">
                  <c:v>0.5875281729465337</c:v>
                </c:pt>
                <c:pt idx="1238">
                  <c:v>0.58880215894342391</c:v>
                </c:pt>
                <c:pt idx="1239">
                  <c:v>0.58893451372429562</c:v>
                </c:pt>
                <c:pt idx="1240">
                  <c:v>0.59128716031581618</c:v>
                </c:pt>
                <c:pt idx="1241">
                  <c:v>0.59135494140153688</c:v>
                </c:pt>
                <c:pt idx="1242">
                  <c:v>0.59262597146248619</c:v>
                </c:pt>
                <c:pt idx="1243">
                  <c:v>0.59266858666309175</c:v>
                </c:pt>
                <c:pt idx="1244">
                  <c:v>0.59394681678728745</c:v>
                </c:pt>
                <c:pt idx="1245">
                  <c:v>0.59726095524594192</c:v>
                </c:pt>
                <c:pt idx="1246">
                  <c:v>0.60389124112640347</c:v>
                </c:pt>
                <c:pt idx="1247">
                  <c:v>0.60414472523268214</c:v>
                </c:pt>
                <c:pt idx="1248">
                  <c:v>0.60525019342472708</c:v>
                </c:pt>
                <c:pt idx="1249">
                  <c:v>0.60644189006943805</c:v>
                </c:pt>
                <c:pt idx="1250">
                  <c:v>0.60644733246447091</c:v>
                </c:pt>
                <c:pt idx="1251">
                  <c:v>0.60738968089979362</c:v>
                </c:pt>
                <c:pt idx="1252">
                  <c:v>0.60739198853053422</c:v>
                </c:pt>
                <c:pt idx="1253">
                  <c:v>0.60741976234371786</c:v>
                </c:pt>
                <c:pt idx="1254">
                  <c:v>0.60799718899823552</c:v>
                </c:pt>
                <c:pt idx="1255">
                  <c:v>0.60876711369876313</c:v>
                </c:pt>
                <c:pt idx="1256">
                  <c:v>0.60877097819112902</c:v>
                </c:pt>
                <c:pt idx="1257">
                  <c:v>0.60902079815687082</c:v>
                </c:pt>
                <c:pt idx="1258">
                  <c:v>0.60910868115145633</c:v>
                </c:pt>
                <c:pt idx="1259">
                  <c:v>0.61011988965873698</c:v>
                </c:pt>
                <c:pt idx="1260">
                  <c:v>0.61057646468753335</c:v>
                </c:pt>
                <c:pt idx="1261">
                  <c:v>0.61059293359151334</c:v>
                </c:pt>
                <c:pt idx="1262">
                  <c:v>0.61059847489142349</c:v>
                </c:pt>
                <c:pt idx="1263">
                  <c:v>0.61129547433015319</c:v>
                </c:pt>
                <c:pt idx="1264">
                  <c:v>0.61129776354285636</c:v>
                </c:pt>
                <c:pt idx="1265">
                  <c:v>0.61150924096843939</c:v>
                </c:pt>
                <c:pt idx="1266">
                  <c:v>0.61255217132425466</c:v>
                </c:pt>
                <c:pt idx="1267">
                  <c:v>0.61721227420342717</c:v>
                </c:pt>
                <c:pt idx="1268">
                  <c:v>0.61739537465229222</c:v>
                </c:pt>
                <c:pt idx="1269">
                  <c:v>0.61996872177566842</c:v>
                </c:pt>
                <c:pt idx="1270">
                  <c:v>0.6199707049674843</c:v>
                </c:pt>
                <c:pt idx="1271">
                  <c:v>0.61997048133730193</c:v>
                </c:pt>
                <c:pt idx="1272">
                  <c:v>0.61997014533041483</c:v>
                </c:pt>
                <c:pt idx="1273">
                  <c:v>0.61999101804479928</c:v>
                </c:pt>
                <c:pt idx="1274">
                  <c:v>0.6222812590607677</c:v>
                </c:pt>
                <c:pt idx="1275">
                  <c:v>0.62416918742140826</c:v>
                </c:pt>
                <c:pt idx="1276">
                  <c:v>0.62416890038498696</c:v>
                </c:pt>
                <c:pt idx="1277">
                  <c:v>0.62420752908300892</c:v>
                </c:pt>
                <c:pt idx="1278">
                  <c:v>0.62472749542585615</c:v>
                </c:pt>
                <c:pt idx="1279">
                  <c:v>0.62518712345067262</c:v>
                </c:pt>
                <c:pt idx="1280">
                  <c:v>0.62531687442270911</c:v>
                </c:pt>
                <c:pt idx="1281">
                  <c:v>0.62592991350064264</c:v>
                </c:pt>
                <c:pt idx="1282">
                  <c:v>0.62597075416889125</c:v>
                </c:pt>
                <c:pt idx="1283">
                  <c:v>0.62624868697591052</c:v>
                </c:pt>
                <c:pt idx="1284">
                  <c:v>0.62629347391976009</c:v>
                </c:pt>
                <c:pt idx="1285">
                  <c:v>0.62642247272558582</c:v>
                </c:pt>
                <c:pt idx="1286">
                  <c:v>0.62725380229999672</c:v>
                </c:pt>
                <c:pt idx="1287">
                  <c:v>0.62729527272517072</c:v>
                </c:pt>
                <c:pt idx="1288">
                  <c:v>0.62729810471091929</c:v>
                </c:pt>
                <c:pt idx="1289">
                  <c:v>0.62819517391491919</c:v>
                </c:pt>
                <c:pt idx="1290">
                  <c:v>0.62918901836205798</c:v>
                </c:pt>
                <c:pt idx="1291">
                  <c:v>0.6292676127756478</c:v>
                </c:pt>
                <c:pt idx="1292">
                  <c:v>0.63042923100252679</c:v>
                </c:pt>
                <c:pt idx="1293">
                  <c:v>0.63182894383411969</c:v>
                </c:pt>
                <c:pt idx="1294">
                  <c:v>0.6318758586214549</c:v>
                </c:pt>
                <c:pt idx="1295">
                  <c:v>0.63191050196731946</c:v>
                </c:pt>
                <c:pt idx="1296">
                  <c:v>0.63205753499130901</c:v>
                </c:pt>
                <c:pt idx="1297">
                  <c:v>0.63322890883881011</c:v>
                </c:pt>
                <c:pt idx="1298">
                  <c:v>0.63326463281303003</c:v>
                </c:pt>
                <c:pt idx="1299">
                  <c:v>0.63525810582429043</c:v>
                </c:pt>
                <c:pt idx="1300">
                  <c:v>0.63529309429966485</c:v>
                </c:pt>
                <c:pt idx="1301">
                  <c:v>0.63569033009420317</c:v>
                </c:pt>
                <c:pt idx="1302">
                  <c:v>0.63569021111459123</c:v>
                </c:pt>
                <c:pt idx="1303">
                  <c:v>0.63659632714065062</c:v>
                </c:pt>
                <c:pt idx="1304">
                  <c:v>0.63665272901028891</c:v>
                </c:pt>
                <c:pt idx="1305">
                  <c:v>0.63917997762963674</c:v>
                </c:pt>
                <c:pt idx="1306">
                  <c:v>0.63919214978483052</c:v>
                </c:pt>
                <c:pt idx="1307">
                  <c:v>0.64048044378798685</c:v>
                </c:pt>
                <c:pt idx="1308">
                  <c:v>0.64086222278856009</c:v>
                </c:pt>
                <c:pt idx="1309">
                  <c:v>0.64120780545365563</c:v>
                </c:pt>
                <c:pt idx="1310">
                  <c:v>0.64179267083169989</c:v>
                </c:pt>
                <c:pt idx="1311">
                  <c:v>0.6462345615920686</c:v>
                </c:pt>
                <c:pt idx="1312">
                  <c:v>0.64825560663152704</c:v>
                </c:pt>
                <c:pt idx="1313">
                  <c:v>0.64934977340457445</c:v>
                </c:pt>
                <c:pt idx="1314">
                  <c:v>0.6494103031032944</c:v>
                </c:pt>
                <c:pt idx="1315">
                  <c:v>0.65033296777328942</c:v>
                </c:pt>
                <c:pt idx="1316">
                  <c:v>0.65057306460165298</c:v>
                </c:pt>
                <c:pt idx="1317">
                  <c:v>0.65090092309946346</c:v>
                </c:pt>
                <c:pt idx="1318">
                  <c:v>0.65634404852808381</c:v>
                </c:pt>
                <c:pt idx="1319">
                  <c:v>0.65637267359035567</c:v>
                </c:pt>
                <c:pt idx="1320">
                  <c:v>0.65644182341921087</c:v>
                </c:pt>
                <c:pt idx="1321">
                  <c:v>0.65670100776977403</c:v>
                </c:pt>
                <c:pt idx="1322">
                  <c:v>0.65670709620603351</c:v>
                </c:pt>
                <c:pt idx="1323">
                  <c:v>0.65672103654565761</c:v>
                </c:pt>
                <c:pt idx="1324">
                  <c:v>0.65677958880371401</c:v>
                </c:pt>
                <c:pt idx="1325">
                  <c:v>0.65729263291337758</c:v>
                </c:pt>
                <c:pt idx="1326">
                  <c:v>0.65788559003441782</c:v>
                </c:pt>
                <c:pt idx="1327">
                  <c:v>0.65790480865959233</c:v>
                </c:pt>
                <c:pt idx="1328">
                  <c:v>0.65867021955532901</c:v>
                </c:pt>
                <c:pt idx="1329">
                  <c:v>0.65873826044814277</c:v>
                </c:pt>
                <c:pt idx="1330">
                  <c:v>0.65900537914709001</c:v>
                </c:pt>
                <c:pt idx="1331">
                  <c:v>0.65929767097409098</c:v>
                </c:pt>
                <c:pt idx="1332">
                  <c:v>0.66142434839877551</c:v>
                </c:pt>
                <c:pt idx="1333">
                  <c:v>0.66144471311019704</c:v>
                </c:pt>
                <c:pt idx="1334">
                  <c:v>0.66144965599412897</c:v>
                </c:pt>
                <c:pt idx="1335">
                  <c:v>0.66148224652117815</c:v>
                </c:pt>
                <c:pt idx="1336">
                  <c:v>0.66226096123016331</c:v>
                </c:pt>
                <c:pt idx="1337">
                  <c:v>0.66239536034979807</c:v>
                </c:pt>
                <c:pt idx="1338">
                  <c:v>0.66243263720948975</c:v>
                </c:pt>
                <c:pt idx="1339">
                  <c:v>0.66253122159416644</c:v>
                </c:pt>
                <c:pt idx="1340">
                  <c:v>0.66308785673527582</c:v>
                </c:pt>
                <c:pt idx="1341">
                  <c:v>0.66482782702835796</c:v>
                </c:pt>
                <c:pt idx="1342">
                  <c:v>0.66491413884294481</c:v>
                </c:pt>
                <c:pt idx="1343">
                  <c:v>0.66536632536676965</c:v>
                </c:pt>
                <c:pt idx="1344">
                  <c:v>0.66706021308662677</c:v>
                </c:pt>
                <c:pt idx="1345">
                  <c:v>0.66718828742646541</c:v>
                </c:pt>
                <c:pt idx="1346">
                  <c:v>0.66746680507916445</c:v>
                </c:pt>
                <c:pt idx="1347">
                  <c:v>0.667513194013449</c:v>
                </c:pt>
                <c:pt idx="1348">
                  <c:v>0.67344599590117649</c:v>
                </c:pt>
                <c:pt idx="1349">
                  <c:v>0.67508110478961714</c:v>
                </c:pt>
                <c:pt idx="1350">
                  <c:v>0.67514082746436099</c:v>
                </c:pt>
                <c:pt idx="1351">
                  <c:v>0.67514165408696669</c:v>
                </c:pt>
                <c:pt idx="1352">
                  <c:v>0.67599933486657848</c:v>
                </c:pt>
                <c:pt idx="1353">
                  <c:v>0.67670753317408305</c:v>
                </c:pt>
                <c:pt idx="1354">
                  <c:v>0.67716688207333531</c:v>
                </c:pt>
                <c:pt idx="1355">
                  <c:v>0.67730127927308037</c:v>
                </c:pt>
                <c:pt idx="1356">
                  <c:v>0.68064075030270887</c:v>
                </c:pt>
                <c:pt idx="1357">
                  <c:v>0.68068798442376321</c:v>
                </c:pt>
                <c:pt idx="1358">
                  <c:v>0.68093210168986185</c:v>
                </c:pt>
                <c:pt idx="1359">
                  <c:v>0.68301071401961433</c:v>
                </c:pt>
                <c:pt idx="1360">
                  <c:v>0.68311697719053655</c:v>
                </c:pt>
                <c:pt idx="1361">
                  <c:v>0.68512710802247467</c:v>
                </c:pt>
                <c:pt idx="1362">
                  <c:v>0.68573490458609099</c:v>
                </c:pt>
                <c:pt idx="1363">
                  <c:v>0.68580012546818314</c:v>
                </c:pt>
                <c:pt idx="1364">
                  <c:v>0.68808692095277213</c:v>
                </c:pt>
                <c:pt idx="1365">
                  <c:v>0.68886684865301184</c:v>
                </c:pt>
                <c:pt idx="1366">
                  <c:v>0.6903051702553118</c:v>
                </c:pt>
                <c:pt idx="1367">
                  <c:v>0.69163414427250858</c:v>
                </c:pt>
                <c:pt idx="1368">
                  <c:v>0.69163856101604526</c:v>
                </c:pt>
                <c:pt idx="1369">
                  <c:v>0.69175880550531443</c:v>
                </c:pt>
                <c:pt idx="1370">
                  <c:v>0.69324989584226115</c:v>
                </c:pt>
                <c:pt idx="1371">
                  <c:v>0.69331262308497221</c:v>
                </c:pt>
                <c:pt idx="1372">
                  <c:v>0.69391991071602677</c:v>
                </c:pt>
                <c:pt idx="1373">
                  <c:v>0.69470498461067964</c:v>
                </c:pt>
                <c:pt idx="1374">
                  <c:v>0.69663195887855622</c:v>
                </c:pt>
                <c:pt idx="1375">
                  <c:v>0.69821955863249541</c:v>
                </c:pt>
                <c:pt idx="1376">
                  <c:v>0.69828277608178857</c:v>
                </c:pt>
                <c:pt idx="1377">
                  <c:v>0.6987518142422785</c:v>
                </c:pt>
                <c:pt idx="1378">
                  <c:v>0.69937957812654494</c:v>
                </c:pt>
                <c:pt idx="1379">
                  <c:v>0.69938413223569162</c:v>
                </c:pt>
                <c:pt idx="1380">
                  <c:v>0.70061737951608016</c:v>
                </c:pt>
                <c:pt idx="1381">
                  <c:v>0.70073998661467074</c:v>
                </c:pt>
                <c:pt idx="1382">
                  <c:v>0.70085280457472654</c:v>
                </c:pt>
                <c:pt idx="1383">
                  <c:v>0.70090567443239449</c:v>
                </c:pt>
                <c:pt idx="1384">
                  <c:v>0.70134366209046206</c:v>
                </c:pt>
                <c:pt idx="1385">
                  <c:v>0.70179139434816817</c:v>
                </c:pt>
                <c:pt idx="1386">
                  <c:v>0.7018900960557225</c:v>
                </c:pt>
                <c:pt idx="1387">
                  <c:v>0.70189767111847401</c:v>
                </c:pt>
                <c:pt idx="1388">
                  <c:v>0.70244138052941751</c:v>
                </c:pt>
                <c:pt idx="1389">
                  <c:v>0.70244117532540251</c:v>
                </c:pt>
                <c:pt idx="1390">
                  <c:v>0.70352928088037836</c:v>
                </c:pt>
                <c:pt idx="1391">
                  <c:v>0.70443955771642719</c:v>
                </c:pt>
                <c:pt idx="1392">
                  <c:v>0.70446613020101012</c:v>
                </c:pt>
                <c:pt idx="1393">
                  <c:v>0.70481063878871286</c:v>
                </c:pt>
                <c:pt idx="1394">
                  <c:v>0.705174315052984</c:v>
                </c:pt>
                <c:pt idx="1395">
                  <c:v>0.70547553019955866</c:v>
                </c:pt>
                <c:pt idx="1396">
                  <c:v>0.70560058770785927</c:v>
                </c:pt>
                <c:pt idx="1397">
                  <c:v>0.70573445128903256</c:v>
                </c:pt>
                <c:pt idx="1398">
                  <c:v>0.70605288961446477</c:v>
                </c:pt>
                <c:pt idx="1399">
                  <c:v>0.70607171816978187</c:v>
                </c:pt>
                <c:pt idx="1400">
                  <c:v>0.71059263755609026</c:v>
                </c:pt>
                <c:pt idx="1401">
                  <c:v>0.71066363336997018</c:v>
                </c:pt>
                <c:pt idx="1402">
                  <c:v>0.71091374449711697</c:v>
                </c:pt>
                <c:pt idx="1403">
                  <c:v>0.71098897284573137</c:v>
                </c:pt>
                <c:pt idx="1404">
                  <c:v>0.71102177289332169</c:v>
                </c:pt>
                <c:pt idx="1405">
                  <c:v>0.71445982422707421</c:v>
                </c:pt>
                <c:pt idx="1406">
                  <c:v>0.71453648511544854</c:v>
                </c:pt>
                <c:pt idx="1407">
                  <c:v>0.71462019768699503</c:v>
                </c:pt>
                <c:pt idx="1408">
                  <c:v>0.71610118429276515</c:v>
                </c:pt>
                <c:pt idx="1409">
                  <c:v>0.72041644270811789</c:v>
                </c:pt>
                <c:pt idx="1410">
                  <c:v>0.72217484131985188</c:v>
                </c:pt>
                <c:pt idx="1411">
                  <c:v>0.72223904881263146</c:v>
                </c:pt>
                <c:pt idx="1412">
                  <c:v>0.72267820264298788</c:v>
                </c:pt>
                <c:pt idx="1413">
                  <c:v>0.72345228324996469</c:v>
                </c:pt>
                <c:pt idx="1414">
                  <c:v>0.7234732557231538</c:v>
                </c:pt>
                <c:pt idx="1415">
                  <c:v>0.72350065040504441</c:v>
                </c:pt>
                <c:pt idx="1416">
                  <c:v>0.72352026095350885</c:v>
                </c:pt>
                <c:pt idx="1417">
                  <c:v>0.72360309889268293</c:v>
                </c:pt>
                <c:pt idx="1418">
                  <c:v>0.72377971437681154</c:v>
                </c:pt>
                <c:pt idx="1419">
                  <c:v>0.72379365022744235</c:v>
                </c:pt>
                <c:pt idx="1420">
                  <c:v>0.72392529336899158</c:v>
                </c:pt>
                <c:pt idx="1421">
                  <c:v>0.72402274439787295</c:v>
                </c:pt>
                <c:pt idx="1422">
                  <c:v>0.72406045158527288</c:v>
                </c:pt>
                <c:pt idx="1423">
                  <c:v>0.72412004611607284</c:v>
                </c:pt>
                <c:pt idx="1424">
                  <c:v>0.72413620401784984</c:v>
                </c:pt>
                <c:pt idx="1425">
                  <c:v>0.72440832553677281</c:v>
                </c:pt>
                <c:pt idx="1426">
                  <c:v>0.72447384008586335</c:v>
                </c:pt>
                <c:pt idx="1427">
                  <c:v>0.72447751467611754</c:v>
                </c:pt>
                <c:pt idx="1428">
                  <c:v>0.72478114954737072</c:v>
                </c:pt>
                <c:pt idx="1429">
                  <c:v>0.72490280341332169</c:v>
                </c:pt>
                <c:pt idx="1430">
                  <c:v>0.7251449425289368</c:v>
                </c:pt>
                <c:pt idx="1431">
                  <c:v>0.72555290005709649</c:v>
                </c:pt>
                <c:pt idx="1432">
                  <c:v>0.72557083922639254</c:v>
                </c:pt>
                <c:pt idx="1433">
                  <c:v>0.72596662869755757</c:v>
                </c:pt>
                <c:pt idx="1434">
                  <c:v>0.72622708863251029</c:v>
                </c:pt>
                <c:pt idx="1435">
                  <c:v>0.72723468071966924</c:v>
                </c:pt>
                <c:pt idx="1436">
                  <c:v>0.72732882464666271</c:v>
                </c:pt>
                <c:pt idx="1437">
                  <c:v>0.72733069644379755</c:v>
                </c:pt>
                <c:pt idx="1438">
                  <c:v>0.72757004982264806</c:v>
                </c:pt>
                <c:pt idx="1439">
                  <c:v>0.72771568473622306</c:v>
                </c:pt>
                <c:pt idx="1440">
                  <c:v>0.72771698252858286</c:v>
                </c:pt>
                <c:pt idx="1441">
                  <c:v>0.72827255376351119</c:v>
                </c:pt>
                <c:pt idx="1442">
                  <c:v>0.72837573149902179</c:v>
                </c:pt>
                <c:pt idx="1443">
                  <c:v>0.72841831519140643</c:v>
                </c:pt>
                <c:pt idx="1444">
                  <c:v>0.72873149322855524</c:v>
                </c:pt>
                <c:pt idx="1445">
                  <c:v>0.72989814263712638</c:v>
                </c:pt>
                <c:pt idx="1446">
                  <c:v>0.73001119631920497</c:v>
                </c:pt>
                <c:pt idx="1447">
                  <c:v>0.73023835283538774</c:v>
                </c:pt>
                <c:pt idx="1448">
                  <c:v>0.73032276752138536</c:v>
                </c:pt>
                <c:pt idx="1449">
                  <c:v>0.73054074830511517</c:v>
                </c:pt>
                <c:pt idx="1450">
                  <c:v>0.73196181082467504</c:v>
                </c:pt>
                <c:pt idx="1451">
                  <c:v>0.73209045019257712</c:v>
                </c:pt>
                <c:pt idx="1452">
                  <c:v>0.73225272218430115</c:v>
                </c:pt>
                <c:pt idx="1453">
                  <c:v>0.73225547364315047</c:v>
                </c:pt>
                <c:pt idx="1454">
                  <c:v>0.73238983096291621</c:v>
                </c:pt>
                <c:pt idx="1455">
                  <c:v>0.73249015014708496</c:v>
                </c:pt>
                <c:pt idx="1456">
                  <c:v>0.73366667465841096</c:v>
                </c:pt>
                <c:pt idx="1457">
                  <c:v>0.73370324811845311</c:v>
                </c:pt>
                <c:pt idx="1458">
                  <c:v>0.73379973558589717</c:v>
                </c:pt>
                <c:pt idx="1459">
                  <c:v>0.73386712277938393</c:v>
                </c:pt>
                <c:pt idx="1460">
                  <c:v>0.73548109466360301</c:v>
                </c:pt>
                <c:pt idx="1461">
                  <c:v>0.73551187666731976</c:v>
                </c:pt>
                <c:pt idx="1462">
                  <c:v>0.73554930061455226</c:v>
                </c:pt>
                <c:pt idx="1463">
                  <c:v>0.73582727034420392</c:v>
                </c:pt>
                <c:pt idx="1464">
                  <c:v>0.73619627348500394</c:v>
                </c:pt>
                <c:pt idx="1465">
                  <c:v>0.73633220323288218</c:v>
                </c:pt>
                <c:pt idx="1466">
                  <c:v>0.73652801474322871</c:v>
                </c:pt>
                <c:pt idx="1467">
                  <c:v>0.73671010429437533</c:v>
                </c:pt>
                <c:pt idx="1468">
                  <c:v>0.73702099163654533</c:v>
                </c:pt>
                <c:pt idx="1469">
                  <c:v>0.7371174333970606</c:v>
                </c:pt>
                <c:pt idx="1470">
                  <c:v>0.73855225367691024</c:v>
                </c:pt>
                <c:pt idx="1471">
                  <c:v>0.73860926015529482</c:v>
                </c:pt>
                <c:pt idx="1472">
                  <c:v>0.73872031987882558</c:v>
                </c:pt>
                <c:pt idx="1473">
                  <c:v>0.73914089067118094</c:v>
                </c:pt>
                <c:pt idx="1474">
                  <c:v>0.73914060778617874</c:v>
                </c:pt>
                <c:pt idx="1475">
                  <c:v>0.74000939861113313</c:v>
                </c:pt>
                <c:pt idx="1476">
                  <c:v>0.740057429563999</c:v>
                </c:pt>
                <c:pt idx="1477">
                  <c:v>0.74012675408478712</c:v>
                </c:pt>
                <c:pt idx="1478">
                  <c:v>0.74028233442489511</c:v>
                </c:pt>
                <c:pt idx="1479">
                  <c:v>0.74028968943999263</c:v>
                </c:pt>
                <c:pt idx="1480">
                  <c:v>0.74041419767355454</c:v>
                </c:pt>
                <c:pt idx="1481">
                  <c:v>0.74041751790314181</c:v>
                </c:pt>
                <c:pt idx="1482">
                  <c:v>0.74043159040245132</c:v>
                </c:pt>
                <c:pt idx="1483">
                  <c:v>0.74055382350993115</c:v>
                </c:pt>
                <c:pt idx="1484">
                  <c:v>0.74109852855001668</c:v>
                </c:pt>
                <c:pt idx="1485">
                  <c:v>0.74121082823156115</c:v>
                </c:pt>
                <c:pt idx="1486">
                  <c:v>0.74139995260791591</c:v>
                </c:pt>
                <c:pt idx="1487">
                  <c:v>0.74147042697296084</c:v>
                </c:pt>
                <c:pt idx="1488">
                  <c:v>0.74152370350497399</c:v>
                </c:pt>
                <c:pt idx="1489">
                  <c:v>0.74153599829333361</c:v>
                </c:pt>
                <c:pt idx="1490">
                  <c:v>0.74167619344709135</c:v>
                </c:pt>
                <c:pt idx="1491">
                  <c:v>0.7417434168440894</c:v>
                </c:pt>
                <c:pt idx="1492">
                  <c:v>0.74175113665342607</c:v>
                </c:pt>
                <c:pt idx="1493">
                  <c:v>0.74200003352591026</c:v>
                </c:pt>
                <c:pt idx="1494">
                  <c:v>0.74205877672508402</c:v>
                </c:pt>
                <c:pt idx="1495">
                  <c:v>0.74260330304329725</c:v>
                </c:pt>
                <c:pt idx="1496">
                  <c:v>0.7427708567788075</c:v>
                </c:pt>
                <c:pt idx="1497">
                  <c:v>0.74430149001225376</c:v>
                </c:pt>
                <c:pt idx="1498">
                  <c:v>0.74447319066680828</c:v>
                </c:pt>
                <c:pt idx="1499">
                  <c:v>0.74477941305634388</c:v>
                </c:pt>
                <c:pt idx="1500">
                  <c:v>0.74484114080997876</c:v>
                </c:pt>
                <c:pt idx="1501">
                  <c:v>0.74484161446613351</c:v>
                </c:pt>
                <c:pt idx="1502">
                  <c:v>0.74491349901579729</c:v>
                </c:pt>
                <c:pt idx="1503">
                  <c:v>0.74528064394976723</c:v>
                </c:pt>
                <c:pt idx="1504">
                  <c:v>0.74536285186865292</c:v>
                </c:pt>
                <c:pt idx="1505">
                  <c:v>0.74549153487363251</c:v>
                </c:pt>
                <c:pt idx="1506">
                  <c:v>0.74563854304382227</c:v>
                </c:pt>
                <c:pt idx="1507">
                  <c:v>0.74564139185585976</c:v>
                </c:pt>
                <c:pt idx="1508">
                  <c:v>0.7456607789058789</c:v>
                </c:pt>
                <c:pt idx="1509">
                  <c:v>0.74583872312290245</c:v>
                </c:pt>
                <c:pt idx="1510">
                  <c:v>0.74603350493528731</c:v>
                </c:pt>
                <c:pt idx="1511">
                  <c:v>0.74621055395311997</c:v>
                </c:pt>
                <c:pt idx="1512">
                  <c:v>0.74643235966187116</c:v>
                </c:pt>
                <c:pt idx="1513">
                  <c:v>0.7484512404279845</c:v>
                </c:pt>
                <c:pt idx="1514">
                  <c:v>0.74871705676514688</c:v>
                </c:pt>
                <c:pt idx="1515">
                  <c:v>0.7488809194214131</c:v>
                </c:pt>
                <c:pt idx="1516">
                  <c:v>0.74888145232885717</c:v>
                </c:pt>
                <c:pt idx="1517">
                  <c:v>0.74905431564754954</c:v>
                </c:pt>
                <c:pt idx="1518">
                  <c:v>0.74905432141620554</c:v>
                </c:pt>
                <c:pt idx="1519">
                  <c:v>0.74912336283003256</c:v>
                </c:pt>
                <c:pt idx="1520">
                  <c:v>0.74949460750896268</c:v>
                </c:pt>
                <c:pt idx="1521">
                  <c:v>0.7495836654532767</c:v>
                </c:pt>
                <c:pt idx="1522">
                  <c:v>0.74959886030094558</c:v>
                </c:pt>
                <c:pt idx="1523">
                  <c:v>0.74995647081367145</c:v>
                </c:pt>
                <c:pt idx="1524">
                  <c:v>0.75083705208202978</c:v>
                </c:pt>
                <c:pt idx="1525">
                  <c:v>0.75159822589886316</c:v>
                </c:pt>
                <c:pt idx="1526">
                  <c:v>0.75258303055560616</c:v>
                </c:pt>
                <c:pt idx="1527">
                  <c:v>0.75267450129958435</c:v>
                </c:pt>
                <c:pt idx="1528">
                  <c:v>0.75305952752626559</c:v>
                </c:pt>
                <c:pt idx="1529">
                  <c:v>0.75306035192889131</c:v>
                </c:pt>
                <c:pt idx="1530">
                  <c:v>0.75314863665698717</c:v>
                </c:pt>
                <c:pt idx="1531">
                  <c:v>0.75349208244831256</c:v>
                </c:pt>
                <c:pt idx="1532">
                  <c:v>0.75349322787368256</c:v>
                </c:pt>
                <c:pt idx="1533">
                  <c:v>0.75488801823865759</c:v>
                </c:pt>
                <c:pt idx="1534">
                  <c:v>0.75609742294664728</c:v>
                </c:pt>
                <c:pt idx="1535">
                  <c:v>0.75609712051255573</c:v>
                </c:pt>
                <c:pt idx="1536">
                  <c:v>0.75611355122939095</c:v>
                </c:pt>
                <c:pt idx="1537">
                  <c:v>0.75652010292598881</c:v>
                </c:pt>
                <c:pt idx="1538">
                  <c:v>0.75720533379470134</c:v>
                </c:pt>
                <c:pt idx="1539">
                  <c:v>0.75720589361338342</c:v>
                </c:pt>
                <c:pt idx="1540">
                  <c:v>0.75724201782481937</c:v>
                </c:pt>
                <c:pt idx="1541">
                  <c:v>0.75725268105512145</c:v>
                </c:pt>
                <c:pt idx="1542">
                  <c:v>0.7573430960007711</c:v>
                </c:pt>
                <c:pt idx="1543">
                  <c:v>0.75792913945877105</c:v>
                </c:pt>
                <c:pt idx="1544">
                  <c:v>0.75944817833889677</c:v>
                </c:pt>
                <c:pt idx="1545">
                  <c:v>0.76153871693307962</c:v>
                </c:pt>
                <c:pt idx="1546">
                  <c:v>0.76188900749677346</c:v>
                </c:pt>
                <c:pt idx="1547">
                  <c:v>0.76215043185133846</c:v>
                </c:pt>
                <c:pt idx="1548">
                  <c:v>0.76215140886689026</c:v>
                </c:pt>
                <c:pt idx="1549">
                  <c:v>0.762544275100555</c:v>
                </c:pt>
                <c:pt idx="1550">
                  <c:v>0.7639166462826037</c:v>
                </c:pt>
                <c:pt idx="1551">
                  <c:v>0.76444919093899644</c:v>
                </c:pt>
                <c:pt idx="1552">
                  <c:v>0.76456464887920872</c:v>
                </c:pt>
                <c:pt idx="1553">
                  <c:v>0.76580353073676632</c:v>
                </c:pt>
                <c:pt idx="1554">
                  <c:v>0.76660388884615216</c:v>
                </c:pt>
                <c:pt idx="1555">
                  <c:v>0.76666716502633236</c:v>
                </c:pt>
                <c:pt idx="1556">
                  <c:v>0.76699190194581235</c:v>
                </c:pt>
                <c:pt idx="1557">
                  <c:v>0.76701811958875354</c:v>
                </c:pt>
                <c:pt idx="1558">
                  <c:v>0.76765121229675259</c:v>
                </c:pt>
                <c:pt idx="1559">
                  <c:v>0.76767530991815236</c:v>
                </c:pt>
                <c:pt idx="1560">
                  <c:v>0.76774027864141359</c:v>
                </c:pt>
                <c:pt idx="1561">
                  <c:v>0.76801407146312461</c:v>
                </c:pt>
                <c:pt idx="1562">
                  <c:v>0.76847160336521525</c:v>
                </c:pt>
                <c:pt idx="1563">
                  <c:v>0.76886275218038758</c:v>
                </c:pt>
                <c:pt idx="1564">
                  <c:v>0.76892271480956009</c:v>
                </c:pt>
                <c:pt idx="1565">
                  <c:v>0.76965918643714937</c:v>
                </c:pt>
                <c:pt idx="1566">
                  <c:v>0.76975299380149975</c:v>
                </c:pt>
                <c:pt idx="1567">
                  <c:v>0.77053770061848703</c:v>
                </c:pt>
                <c:pt idx="1568">
                  <c:v>0.77465715956289927</c:v>
                </c:pt>
                <c:pt idx="1569">
                  <c:v>0.77530850183871014</c:v>
                </c:pt>
                <c:pt idx="1570">
                  <c:v>0.77538549869655538</c:v>
                </c:pt>
                <c:pt idx="1571">
                  <c:v>0.77851242563844703</c:v>
                </c:pt>
                <c:pt idx="1572">
                  <c:v>0.77886976129533936</c:v>
                </c:pt>
                <c:pt idx="1573">
                  <c:v>0.77918101853720612</c:v>
                </c:pt>
                <c:pt idx="1574">
                  <c:v>0.77936423421307843</c:v>
                </c:pt>
                <c:pt idx="1575">
                  <c:v>0.77937728011589491</c:v>
                </c:pt>
                <c:pt idx="1576">
                  <c:v>0.77958171642585072</c:v>
                </c:pt>
                <c:pt idx="1577">
                  <c:v>0.7796515699018266</c:v>
                </c:pt>
                <c:pt idx="1578">
                  <c:v>0.77979025402014845</c:v>
                </c:pt>
                <c:pt idx="1579">
                  <c:v>0.77978997406567063</c:v>
                </c:pt>
                <c:pt idx="1580">
                  <c:v>0.78007920275541875</c:v>
                </c:pt>
                <c:pt idx="1581">
                  <c:v>0.78052834778463898</c:v>
                </c:pt>
                <c:pt idx="1582">
                  <c:v>0.78131737654130695</c:v>
                </c:pt>
                <c:pt idx="1583">
                  <c:v>0.78136718069141042</c:v>
                </c:pt>
                <c:pt idx="1584">
                  <c:v>0.78138702639528912</c:v>
                </c:pt>
                <c:pt idx="1585">
                  <c:v>0.78141415842239281</c:v>
                </c:pt>
                <c:pt idx="1586">
                  <c:v>0.78142632711868221</c:v>
                </c:pt>
                <c:pt idx="1587">
                  <c:v>0.78222954450912052</c:v>
                </c:pt>
                <c:pt idx="1588">
                  <c:v>0.78264029942388569</c:v>
                </c:pt>
                <c:pt idx="1589">
                  <c:v>0.78266599045648078</c:v>
                </c:pt>
                <c:pt idx="1590">
                  <c:v>0.78277875706746669</c:v>
                </c:pt>
                <c:pt idx="1591">
                  <c:v>0.78277927071891973</c:v>
                </c:pt>
                <c:pt idx="1592">
                  <c:v>0.78279065357221822</c:v>
                </c:pt>
                <c:pt idx="1593">
                  <c:v>0.78394468255152261</c:v>
                </c:pt>
                <c:pt idx="1594">
                  <c:v>0.78514452657916067</c:v>
                </c:pt>
                <c:pt idx="1595">
                  <c:v>0.78658693629008003</c:v>
                </c:pt>
                <c:pt idx="1596">
                  <c:v>0.78661398303496566</c:v>
                </c:pt>
                <c:pt idx="1597">
                  <c:v>0.78666126423560456</c:v>
                </c:pt>
                <c:pt idx="1598">
                  <c:v>0.78713185318336265</c:v>
                </c:pt>
                <c:pt idx="1599">
                  <c:v>0.78713431088581998</c:v>
                </c:pt>
                <c:pt idx="1600">
                  <c:v>0.7873329549120095</c:v>
                </c:pt>
                <c:pt idx="1601">
                  <c:v>0.78743992940091423</c:v>
                </c:pt>
                <c:pt idx="1602">
                  <c:v>0.78757049797380352</c:v>
                </c:pt>
                <c:pt idx="1603">
                  <c:v>0.78788255742188607</c:v>
                </c:pt>
                <c:pt idx="1604">
                  <c:v>0.78793668628135249</c:v>
                </c:pt>
                <c:pt idx="1605">
                  <c:v>0.78802017283242021</c:v>
                </c:pt>
                <c:pt idx="1606">
                  <c:v>0.78806366522738303</c:v>
                </c:pt>
                <c:pt idx="1607">
                  <c:v>0.78817694379767034</c:v>
                </c:pt>
                <c:pt idx="1608">
                  <c:v>0.78855404136765028</c:v>
                </c:pt>
                <c:pt idx="1609">
                  <c:v>0.7885538631412975</c:v>
                </c:pt>
                <c:pt idx="1610">
                  <c:v>0.7885696378135757</c:v>
                </c:pt>
                <c:pt idx="1611">
                  <c:v>0.78858514388178846</c:v>
                </c:pt>
                <c:pt idx="1612">
                  <c:v>0.78861875194635966</c:v>
                </c:pt>
                <c:pt idx="1613">
                  <c:v>0.78881339188854438</c:v>
                </c:pt>
                <c:pt idx="1614">
                  <c:v>0.78881541197805172</c:v>
                </c:pt>
                <c:pt idx="1615">
                  <c:v>0.78882205751021395</c:v>
                </c:pt>
                <c:pt idx="1616">
                  <c:v>0.78890110129235069</c:v>
                </c:pt>
                <c:pt idx="1617">
                  <c:v>0.78891723335444597</c:v>
                </c:pt>
                <c:pt idx="1618">
                  <c:v>0.78919771083743395</c:v>
                </c:pt>
                <c:pt idx="1619">
                  <c:v>0.7893532329423355</c:v>
                </c:pt>
                <c:pt idx="1620">
                  <c:v>0.78956880538644902</c:v>
                </c:pt>
                <c:pt idx="1621">
                  <c:v>0.78973655753753125</c:v>
                </c:pt>
                <c:pt idx="1622">
                  <c:v>0.78978991667749454</c:v>
                </c:pt>
                <c:pt idx="1623">
                  <c:v>0.78979189135643069</c:v>
                </c:pt>
                <c:pt idx="1624">
                  <c:v>0.78981543422908307</c:v>
                </c:pt>
                <c:pt idx="1625">
                  <c:v>0.78995217612316604</c:v>
                </c:pt>
                <c:pt idx="1626">
                  <c:v>0.79041780172017495</c:v>
                </c:pt>
                <c:pt idx="1627">
                  <c:v>0.79062096461477538</c:v>
                </c:pt>
                <c:pt idx="1628">
                  <c:v>0.79073189036161418</c:v>
                </c:pt>
                <c:pt idx="1629">
                  <c:v>0.79085855707443886</c:v>
                </c:pt>
                <c:pt idx="1630">
                  <c:v>0.79136403962981949</c:v>
                </c:pt>
                <c:pt idx="1631">
                  <c:v>0.79213206948405068</c:v>
                </c:pt>
                <c:pt idx="1632">
                  <c:v>0.79804313721899611</c:v>
                </c:pt>
                <c:pt idx="1633">
                  <c:v>0.79812688759194694</c:v>
                </c:pt>
                <c:pt idx="1634">
                  <c:v>0.79813266711525999</c:v>
                </c:pt>
                <c:pt idx="1635">
                  <c:v>0.79871995581361055</c:v>
                </c:pt>
                <c:pt idx="1636">
                  <c:v>0.7991357664196892</c:v>
                </c:pt>
                <c:pt idx="1637">
                  <c:v>0.79927473716877839</c:v>
                </c:pt>
                <c:pt idx="1638">
                  <c:v>0.80009163363150759</c:v>
                </c:pt>
                <c:pt idx="1639">
                  <c:v>0.80011053813168265</c:v>
                </c:pt>
                <c:pt idx="1640">
                  <c:v>0.80029284168611337</c:v>
                </c:pt>
                <c:pt idx="1641">
                  <c:v>0.80062167266198325</c:v>
                </c:pt>
                <c:pt idx="1642">
                  <c:v>0.8008535627457527</c:v>
                </c:pt>
                <c:pt idx="1643">
                  <c:v>0.80093570102886646</c:v>
                </c:pt>
                <c:pt idx="1644">
                  <c:v>0.80200680379327816</c:v>
                </c:pt>
                <c:pt idx="1645">
                  <c:v>0.80201711690528532</c:v>
                </c:pt>
                <c:pt idx="1646">
                  <c:v>0.80485232672253526</c:v>
                </c:pt>
                <c:pt idx="1647">
                  <c:v>0.8049106932989939</c:v>
                </c:pt>
                <c:pt idx="1648">
                  <c:v>0.80530518057701328</c:v>
                </c:pt>
                <c:pt idx="1649">
                  <c:v>0.80566994244541212</c:v>
                </c:pt>
                <c:pt idx="1650">
                  <c:v>0.80636579595551827</c:v>
                </c:pt>
                <c:pt idx="1651">
                  <c:v>0.80644424702630357</c:v>
                </c:pt>
                <c:pt idx="1652">
                  <c:v>0.80647236850926529</c:v>
                </c:pt>
                <c:pt idx="1653">
                  <c:v>0.80741535672098297</c:v>
                </c:pt>
                <c:pt idx="1654">
                  <c:v>0.80811171209557442</c:v>
                </c:pt>
                <c:pt idx="1655">
                  <c:v>0.80811910372077467</c:v>
                </c:pt>
                <c:pt idx="1656">
                  <c:v>0.80834918549685864</c:v>
                </c:pt>
                <c:pt idx="1657">
                  <c:v>0.80885753421953821</c:v>
                </c:pt>
                <c:pt idx="1658">
                  <c:v>0.81045935935742686</c:v>
                </c:pt>
                <c:pt idx="1659">
                  <c:v>0.81088662367890341</c:v>
                </c:pt>
                <c:pt idx="1660">
                  <c:v>0.81095940914160158</c:v>
                </c:pt>
                <c:pt idx="1661">
                  <c:v>0.81134636172874963</c:v>
                </c:pt>
                <c:pt idx="1662">
                  <c:v>0.81196174625842299</c:v>
                </c:pt>
                <c:pt idx="1663">
                  <c:v>0.81243960537637128</c:v>
                </c:pt>
                <c:pt idx="1664">
                  <c:v>0.81244385752485759</c:v>
                </c:pt>
                <c:pt idx="1665">
                  <c:v>0.812541326974898</c:v>
                </c:pt>
                <c:pt idx="1666">
                  <c:v>0.81310680386873213</c:v>
                </c:pt>
                <c:pt idx="1667">
                  <c:v>0.81310807076030445</c:v>
                </c:pt>
                <c:pt idx="1668">
                  <c:v>0.813423879298525</c:v>
                </c:pt>
                <c:pt idx="1669">
                  <c:v>0.81342378009667815</c:v>
                </c:pt>
                <c:pt idx="1670">
                  <c:v>0.81373624708783976</c:v>
                </c:pt>
                <c:pt idx="1671">
                  <c:v>0.81376735566312808</c:v>
                </c:pt>
                <c:pt idx="1672">
                  <c:v>0.81389557023129522</c:v>
                </c:pt>
                <c:pt idx="1673">
                  <c:v>0.81393193833912525</c:v>
                </c:pt>
                <c:pt idx="1674">
                  <c:v>0.81393597213836333</c:v>
                </c:pt>
                <c:pt idx="1675">
                  <c:v>0.81433525542594798</c:v>
                </c:pt>
                <c:pt idx="1676">
                  <c:v>0.81450985301505774</c:v>
                </c:pt>
                <c:pt idx="1677">
                  <c:v>0.81469957914645774</c:v>
                </c:pt>
                <c:pt idx="1678">
                  <c:v>0.81469940686119979</c:v>
                </c:pt>
                <c:pt idx="1679">
                  <c:v>0.81472926465720563</c:v>
                </c:pt>
                <c:pt idx="1680">
                  <c:v>0.81594909274170324</c:v>
                </c:pt>
                <c:pt idx="1681">
                  <c:v>0.81678650692603316</c:v>
                </c:pt>
                <c:pt idx="1682">
                  <c:v>0.81678931461066706</c:v>
                </c:pt>
                <c:pt idx="1683">
                  <c:v>0.81683285875772971</c:v>
                </c:pt>
                <c:pt idx="1684">
                  <c:v>0.81686598902806817</c:v>
                </c:pt>
                <c:pt idx="1685">
                  <c:v>0.81738752226273692</c:v>
                </c:pt>
                <c:pt idx="1686">
                  <c:v>0.81743092266712303</c:v>
                </c:pt>
                <c:pt idx="1687">
                  <c:v>0.81790157550540332</c:v>
                </c:pt>
                <c:pt idx="1688">
                  <c:v>0.81801722590668779</c:v>
                </c:pt>
                <c:pt idx="1689">
                  <c:v>0.81803185749767171</c:v>
                </c:pt>
                <c:pt idx="1690">
                  <c:v>0.81808164081982981</c:v>
                </c:pt>
                <c:pt idx="1691">
                  <c:v>0.81808175342690592</c:v>
                </c:pt>
                <c:pt idx="1692">
                  <c:v>0.81810700874786513</c:v>
                </c:pt>
                <c:pt idx="1693">
                  <c:v>0.8181372185687491</c:v>
                </c:pt>
                <c:pt idx="1694">
                  <c:v>0.81822047812993437</c:v>
                </c:pt>
                <c:pt idx="1695">
                  <c:v>0.81845199081244246</c:v>
                </c:pt>
                <c:pt idx="1696">
                  <c:v>0.81865777090835712</c:v>
                </c:pt>
                <c:pt idx="1697">
                  <c:v>0.81865838174827832</c:v>
                </c:pt>
                <c:pt idx="1698">
                  <c:v>0.81909734185161831</c:v>
                </c:pt>
                <c:pt idx="1699">
                  <c:v>0.81918301377626179</c:v>
                </c:pt>
                <c:pt idx="1700">
                  <c:v>0.81940929092137293</c:v>
                </c:pt>
                <c:pt idx="1701">
                  <c:v>0.81952693914559471</c:v>
                </c:pt>
                <c:pt idx="1702">
                  <c:v>0.81970946224857866</c:v>
                </c:pt>
                <c:pt idx="1703">
                  <c:v>0.81979944056057796</c:v>
                </c:pt>
                <c:pt idx="1704">
                  <c:v>0.81981548720061426</c:v>
                </c:pt>
                <c:pt idx="1705">
                  <c:v>0.8199155465327298</c:v>
                </c:pt>
                <c:pt idx="1706">
                  <c:v>0.81993409025207442</c:v>
                </c:pt>
                <c:pt idx="1707">
                  <c:v>0.81993381570907442</c:v>
                </c:pt>
                <c:pt idx="1708">
                  <c:v>0.81999299991298857</c:v>
                </c:pt>
                <c:pt idx="1709">
                  <c:v>0.82008436734592682</c:v>
                </c:pt>
                <c:pt idx="1710">
                  <c:v>0.8200975236686725</c:v>
                </c:pt>
                <c:pt idx="1711">
                  <c:v>0.82018593964972863</c:v>
                </c:pt>
                <c:pt idx="1712">
                  <c:v>0.82020846155053984</c:v>
                </c:pt>
                <c:pt idx="1713">
                  <c:v>0.82021999184941541</c:v>
                </c:pt>
                <c:pt idx="1714">
                  <c:v>0.82050734988611085</c:v>
                </c:pt>
                <c:pt idx="1715">
                  <c:v>0.82081273926245335</c:v>
                </c:pt>
                <c:pt idx="1716">
                  <c:v>0.82081250784740778</c:v>
                </c:pt>
                <c:pt idx="1717">
                  <c:v>0.82081278219277476</c:v>
                </c:pt>
                <c:pt idx="1718">
                  <c:v>0.82096765505216263</c:v>
                </c:pt>
                <c:pt idx="1719">
                  <c:v>0.8209735236371245</c:v>
                </c:pt>
                <c:pt idx="1720">
                  <c:v>0.82102234387176998</c:v>
                </c:pt>
                <c:pt idx="1721">
                  <c:v>0.82102676783478634</c:v>
                </c:pt>
                <c:pt idx="1722">
                  <c:v>0.82105514851681338</c:v>
                </c:pt>
                <c:pt idx="1723">
                  <c:v>0.82105577742102598</c:v>
                </c:pt>
                <c:pt idx="1724">
                  <c:v>0.82105567679989433</c:v>
                </c:pt>
                <c:pt idx="1725">
                  <c:v>0.82137263698623475</c:v>
                </c:pt>
                <c:pt idx="1726">
                  <c:v>0.82145090842822721</c:v>
                </c:pt>
                <c:pt idx="1727">
                  <c:v>0.82152726158230449</c:v>
                </c:pt>
                <c:pt idx="1728">
                  <c:v>0.82158265225833049</c:v>
                </c:pt>
                <c:pt idx="1729">
                  <c:v>0.82165771474280702</c:v>
                </c:pt>
                <c:pt idx="1730">
                  <c:v>0.82166013041039487</c:v>
                </c:pt>
                <c:pt idx="1731">
                  <c:v>0.82171336849107324</c:v>
                </c:pt>
                <c:pt idx="1732">
                  <c:v>0.82173609179406071</c:v>
                </c:pt>
                <c:pt idx="1733">
                  <c:v>0.82173584276476841</c:v>
                </c:pt>
                <c:pt idx="1734">
                  <c:v>0.82173729282486874</c:v>
                </c:pt>
                <c:pt idx="1735">
                  <c:v>0.82179047604922273</c:v>
                </c:pt>
                <c:pt idx="1736">
                  <c:v>0.82197640753645862</c:v>
                </c:pt>
                <c:pt idx="1737">
                  <c:v>0.82197623606133441</c:v>
                </c:pt>
                <c:pt idx="1738">
                  <c:v>0.8220076162919705</c:v>
                </c:pt>
                <c:pt idx="1739">
                  <c:v>0.82203143462342243</c:v>
                </c:pt>
                <c:pt idx="1740">
                  <c:v>0.82204414686145355</c:v>
                </c:pt>
                <c:pt idx="1741">
                  <c:v>0.82204772719566666</c:v>
                </c:pt>
                <c:pt idx="1742">
                  <c:v>0.82216300360837657</c:v>
                </c:pt>
                <c:pt idx="1743">
                  <c:v>0.82217202737678674</c:v>
                </c:pt>
                <c:pt idx="1744">
                  <c:v>0.82217483078184495</c:v>
                </c:pt>
                <c:pt idx="1745">
                  <c:v>0.82229554330292243</c:v>
                </c:pt>
                <c:pt idx="1746">
                  <c:v>0.82244774752337169</c:v>
                </c:pt>
                <c:pt idx="1747">
                  <c:v>0.82245184055394771</c:v>
                </c:pt>
                <c:pt idx="1748">
                  <c:v>0.82245730006052886</c:v>
                </c:pt>
                <c:pt idx="1749">
                  <c:v>0.82246208536661047</c:v>
                </c:pt>
                <c:pt idx="1750">
                  <c:v>0.82278113828030863</c:v>
                </c:pt>
                <c:pt idx="1751">
                  <c:v>0.82278330647739673</c:v>
                </c:pt>
                <c:pt idx="1752">
                  <c:v>0.82279747105117507</c:v>
                </c:pt>
                <c:pt idx="1753">
                  <c:v>0.82279720394107847</c:v>
                </c:pt>
                <c:pt idx="1754">
                  <c:v>0.82287265079870353</c:v>
                </c:pt>
                <c:pt idx="1755">
                  <c:v>0.82287430374774573</c:v>
                </c:pt>
                <c:pt idx="1756">
                  <c:v>0.82288070890796627</c:v>
                </c:pt>
                <c:pt idx="1757">
                  <c:v>0.82293758898663338</c:v>
                </c:pt>
                <c:pt idx="1758">
                  <c:v>0.8230487960850198</c:v>
                </c:pt>
                <c:pt idx="1759">
                  <c:v>0.82319808397070782</c:v>
                </c:pt>
                <c:pt idx="1760">
                  <c:v>0.82355080115955692</c:v>
                </c:pt>
                <c:pt idx="1761">
                  <c:v>0.8235557697215351</c:v>
                </c:pt>
                <c:pt idx="1762">
                  <c:v>0.82370427607368435</c:v>
                </c:pt>
                <c:pt idx="1763">
                  <c:v>0.82370492766108905</c:v>
                </c:pt>
                <c:pt idx="1764">
                  <c:v>0.82401161921150867</c:v>
                </c:pt>
                <c:pt idx="1765">
                  <c:v>0.82414443961190798</c:v>
                </c:pt>
                <c:pt idx="1766">
                  <c:v>0.82449680843835316</c:v>
                </c:pt>
                <c:pt idx="1767">
                  <c:v>0.8245018983776059</c:v>
                </c:pt>
                <c:pt idx="1768">
                  <c:v>0.82452202707734135</c:v>
                </c:pt>
                <c:pt idx="1769">
                  <c:v>0.82458074915071411</c:v>
                </c:pt>
                <c:pt idx="1770">
                  <c:v>0.82536927545206451</c:v>
                </c:pt>
                <c:pt idx="1771">
                  <c:v>0.82543984130802295</c:v>
                </c:pt>
                <c:pt idx="1772">
                  <c:v>0.82552486141462045</c:v>
                </c:pt>
                <c:pt idx="1773">
                  <c:v>0.82552809521670989</c:v>
                </c:pt>
                <c:pt idx="1774">
                  <c:v>0.82560722477854331</c:v>
                </c:pt>
                <c:pt idx="1775">
                  <c:v>0.82560788166594379</c:v>
                </c:pt>
                <c:pt idx="1776">
                  <c:v>0.82564376980697263</c:v>
                </c:pt>
                <c:pt idx="1777">
                  <c:v>0.82566572280441497</c:v>
                </c:pt>
                <c:pt idx="1778">
                  <c:v>0.82612206017619727</c:v>
                </c:pt>
                <c:pt idx="1779">
                  <c:v>0.82612197816705912</c:v>
                </c:pt>
                <c:pt idx="1780">
                  <c:v>0.82619214928145601</c:v>
                </c:pt>
                <c:pt idx="1781">
                  <c:v>0.82622929619945429</c:v>
                </c:pt>
                <c:pt idx="1782">
                  <c:v>0.82794066409789413</c:v>
                </c:pt>
                <c:pt idx="1783">
                  <c:v>0.82794041844993094</c:v>
                </c:pt>
                <c:pt idx="1784">
                  <c:v>0.82795116134948676</c:v>
                </c:pt>
                <c:pt idx="1785">
                  <c:v>0.82795141251456805</c:v>
                </c:pt>
                <c:pt idx="1786">
                  <c:v>0.82797377073198475</c:v>
                </c:pt>
                <c:pt idx="1787">
                  <c:v>0.82816877138085154</c:v>
                </c:pt>
                <c:pt idx="1788">
                  <c:v>0.8282727833441359</c:v>
                </c:pt>
                <c:pt idx="1789">
                  <c:v>0.82830090348482033</c:v>
                </c:pt>
                <c:pt idx="1790">
                  <c:v>0.82850611044499611</c:v>
                </c:pt>
                <c:pt idx="1791">
                  <c:v>0.82850661468580633</c:v>
                </c:pt>
                <c:pt idx="1792">
                  <c:v>0.82882820798114532</c:v>
                </c:pt>
                <c:pt idx="1793">
                  <c:v>0.8288286093187599</c:v>
                </c:pt>
                <c:pt idx="1794">
                  <c:v>0.82882835365613128</c:v>
                </c:pt>
                <c:pt idx="1795">
                  <c:v>0.82901169345362591</c:v>
                </c:pt>
                <c:pt idx="1796">
                  <c:v>0.8290302766229648</c:v>
                </c:pt>
                <c:pt idx="1797">
                  <c:v>0.82903197985207311</c:v>
                </c:pt>
                <c:pt idx="1798">
                  <c:v>0.8290405569017042</c:v>
                </c:pt>
                <c:pt idx="1799">
                  <c:v>0.82904316498585096</c:v>
                </c:pt>
                <c:pt idx="1800">
                  <c:v>0.82913586389943206</c:v>
                </c:pt>
                <c:pt idx="1801">
                  <c:v>0.82950505604896652</c:v>
                </c:pt>
                <c:pt idx="1802">
                  <c:v>0.82950521934398336</c:v>
                </c:pt>
                <c:pt idx="1803">
                  <c:v>0.82958445981193518</c:v>
                </c:pt>
                <c:pt idx="1804">
                  <c:v>0.82958421604744093</c:v>
                </c:pt>
                <c:pt idx="1805">
                  <c:v>0.82958733214795866</c:v>
                </c:pt>
                <c:pt idx="1806">
                  <c:v>0.82995185459128373</c:v>
                </c:pt>
                <c:pt idx="1807">
                  <c:v>0.82996134971188051</c:v>
                </c:pt>
                <c:pt idx="1808">
                  <c:v>0.83201228597135179</c:v>
                </c:pt>
                <c:pt idx="1809">
                  <c:v>0.83201802014137793</c:v>
                </c:pt>
                <c:pt idx="1810">
                  <c:v>0.8320671098242991</c:v>
                </c:pt>
                <c:pt idx="1811">
                  <c:v>0.83212028850204189</c:v>
                </c:pt>
                <c:pt idx="1812">
                  <c:v>0.83255016888015809</c:v>
                </c:pt>
                <c:pt idx="1813">
                  <c:v>0.83260991592326683</c:v>
                </c:pt>
                <c:pt idx="1814">
                  <c:v>0.83265602601100441</c:v>
                </c:pt>
                <c:pt idx="1815">
                  <c:v>0.83305730246429166</c:v>
                </c:pt>
                <c:pt idx="1816">
                  <c:v>0.83323838639111536</c:v>
                </c:pt>
                <c:pt idx="1817">
                  <c:v>0.83323847281470498</c:v>
                </c:pt>
                <c:pt idx="1818">
                  <c:v>0.83327189657747947</c:v>
                </c:pt>
                <c:pt idx="1819">
                  <c:v>0.83432772739473515</c:v>
                </c:pt>
                <c:pt idx="1820">
                  <c:v>0.83434392917786537</c:v>
                </c:pt>
                <c:pt idx="1821">
                  <c:v>0.83473574194303191</c:v>
                </c:pt>
                <c:pt idx="1822">
                  <c:v>0.83474305175224461</c:v>
                </c:pt>
                <c:pt idx="1823">
                  <c:v>0.83474815910546385</c:v>
                </c:pt>
                <c:pt idx="1824">
                  <c:v>0.83490106605312708</c:v>
                </c:pt>
                <c:pt idx="1825">
                  <c:v>0.83595299921971289</c:v>
                </c:pt>
                <c:pt idx="1826">
                  <c:v>0.83656495917050999</c:v>
                </c:pt>
                <c:pt idx="1827">
                  <c:v>0.83661304797985792</c:v>
                </c:pt>
                <c:pt idx="1828">
                  <c:v>0.83668564943744683</c:v>
                </c:pt>
                <c:pt idx="1829">
                  <c:v>0.83710591924934585</c:v>
                </c:pt>
                <c:pt idx="1830">
                  <c:v>0.8379774034272377</c:v>
                </c:pt>
                <c:pt idx="1831">
                  <c:v>0.83809916694804754</c:v>
                </c:pt>
                <c:pt idx="1832">
                  <c:v>0.83809928609436202</c:v>
                </c:pt>
                <c:pt idx="1833">
                  <c:v>0.83817958361223566</c:v>
                </c:pt>
                <c:pt idx="1834">
                  <c:v>0.83817999289717604</c:v>
                </c:pt>
                <c:pt idx="1835">
                  <c:v>0.83820151149176403</c:v>
                </c:pt>
                <c:pt idx="1836">
                  <c:v>0.8382952121556615</c:v>
                </c:pt>
                <c:pt idx="1837">
                  <c:v>0.83830355157110314</c:v>
                </c:pt>
                <c:pt idx="1838">
                  <c:v>0.83832295951865654</c:v>
                </c:pt>
                <c:pt idx="1839">
                  <c:v>0.83834205812632412</c:v>
                </c:pt>
                <c:pt idx="1840">
                  <c:v>0.83835544516643734</c:v>
                </c:pt>
                <c:pt idx="1841">
                  <c:v>0.83864153375925254</c:v>
                </c:pt>
                <c:pt idx="1842">
                  <c:v>0.83891309475130871</c:v>
                </c:pt>
                <c:pt idx="1843">
                  <c:v>0.83893413044847975</c:v>
                </c:pt>
                <c:pt idx="1844">
                  <c:v>0.8389454795231549</c:v>
                </c:pt>
                <c:pt idx="1845">
                  <c:v>0.83904428275181375</c:v>
                </c:pt>
                <c:pt idx="1846">
                  <c:v>0.8390441755280339</c:v>
                </c:pt>
                <c:pt idx="1847">
                  <c:v>0.83904780695088077</c:v>
                </c:pt>
                <c:pt idx="1848">
                  <c:v>0.83909882542357395</c:v>
                </c:pt>
                <c:pt idx="1849">
                  <c:v>0.83914540010206651</c:v>
                </c:pt>
                <c:pt idx="1850">
                  <c:v>0.83930969910709485</c:v>
                </c:pt>
                <c:pt idx="1851">
                  <c:v>0.83932273351056808</c:v>
                </c:pt>
                <c:pt idx="1852">
                  <c:v>0.83937674953914743</c:v>
                </c:pt>
                <c:pt idx="1853">
                  <c:v>0.8394180682439647</c:v>
                </c:pt>
                <c:pt idx="1854">
                  <c:v>0.8394303324073048</c:v>
                </c:pt>
                <c:pt idx="1855">
                  <c:v>0.83946189187288045</c:v>
                </c:pt>
                <c:pt idx="1856">
                  <c:v>0.83948389159494585</c:v>
                </c:pt>
                <c:pt idx="1857">
                  <c:v>0.83948374179171381</c:v>
                </c:pt>
                <c:pt idx="1858">
                  <c:v>0.83950627886988216</c:v>
                </c:pt>
                <c:pt idx="1859">
                  <c:v>0.83950989607525484</c:v>
                </c:pt>
                <c:pt idx="1860">
                  <c:v>0.83960717189671541</c:v>
                </c:pt>
                <c:pt idx="1861">
                  <c:v>0.8396162532865129</c:v>
                </c:pt>
                <c:pt idx="1862">
                  <c:v>0.83961783064352835</c:v>
                </c:pt>
                <c:pt idx="1863">
                  <c:v>0.8396770569807156</c:v>
                </c:pt>
                <c:pt idx="1864">
                  <c:v>0.83967921996612849</c:v>
                </c:pt>
                <c:pt idx="1865">
                  <c:v>0.83974300990649864</c:v>
                </c:pt>
                <c:pt idx="1866">
                  <c:v>0.83975262308057319</c:v>
                </c:pt>
                <c:pt idx="1867">
                  <c:v>0.83976944603900772</c:v>
                </c:pt>
                <c:pt idx="1868">
                  <c:v>0.83979125708933555</c:v>
                </c:pt>
                <c:pt idx="1869">
                  <c:v>0.84012621966481693</c:v>
                </c:pt>
                <c:pt idx="1870">
                  <c:v>0.84013180627042039</c:v>
                </c:pt>
                <c:pt idx="1871">
                  <c:v>0.84013516721898829</c:v>
                </c:pt>
                <c:pt idx="1872">
                  <c:v>0.84031873627495457</c:v>
                </c:pt>
                <c:pt idx="1873">
                  <c:v>0.84032380599181689</c:v>
                </c:pt>
                <c:pt idx="1874">
                  <c:v>0.84033558767476024</c:v>
                </c:pt>
                <c:pt idx="1875">
                  <c:v>0.84033760566289528</c:v>
                </c:pt>
                <c:pt idx="1876">
                  <c:v>0.8403689204344641</c:v>
                </c:pt>
                <c:pt idx="1877">
                  <c:v>0.84037376995693869</c:v>
                </c:pt>
                <c:pt idx="1878">
                  <c:v>0.84037458625994155</c:v>
                </c:pt>
                <c:pt idx="1879">
                  <c:v>0.84053137370289877</c:v>
                </c:pt>
                <c:pt idx="1880">
                  <c:v>0.84053151800228987</c:v>
                </c:pt>
                <c:pt idx="1881">
                  <c:v>0.84053130662074937</c:v>
                </c:pt>
                <c:pt idx="1882">
                  <c:v>0.84080203343675852</c:v>
                </c:pt>
                <c:pt idx="1883">
                  <c:v>0.84080574894541515</c:v>
                </c:pt>
                <c:pt idx="1884">
                  <c:v>0.84082876989218325</c:v>
                </c:pt>
                <c:pt idx="1885">
                  <c:v>0.84082929925561634</c:v>
                </c:pt>
                <c:pt idx="1886">
                  <c:v>0.84091447298791777</c:v>
                </c:pt>
                <c:pt idx="1887">
                  <c:v>0.84102373251789919</c:v>
                </c:pt>
                <c:pt idx="1888">
                  <c:v>0.84102751543154175</c:v>
                </c:pt>
                <c:pt idx="1889">
                  <c:v>0.84103514228205001</c:v>
                </c:pt>
                <c:pt idx="1890">
                  <c:v>0.8413416477296396</c:v>
                </c:pt>
                <c:pt idx="1891">
                  <c:v>0.84140096629220784</c:v>
                </c:pt>
                <c:pt idx="1892">
                  <c:v>0.84140440308636977</c:v>
                </c:pt>
                <c:pt idx="1893">
                  <c:v>0.84140754091719439</c:v>
                </c:pt>
                <c:pt idx="1894">
                  <c:v>0.84140898865423142</c:v>
                </c:pt>
                <c:pt idx="1895">
                  <c:v>0.84143993139437678</c:v>
                </c:pt>
                <c:pt idx="1896">
                  <c:v>0.84166315633801136</c:v>
                </c:pt>
                <c:pt idx="1897">
                  <c:v>0.84166664012743864</c:v>
                </c:pt>
                <c:pt idx="1898">
                  <c:v>0.84186709723795539</c:v>
                </c:pt>
                <c:pt idx="1899">
                  <c:v>0.84188461100470358</c:v>
                </c:pt>
                <c:pt idx="1900">
                  <c:v>0.84194386766615936</c:v>
                </c:pt>
                <c:pt idx="1901">
                  <c:v>0.84196007147010143</c:v>
                </c:pt>
                <c:pt idx="1902">
                  <c:v>0.84196357769797292</c:v>
                </c:pt>
                <c:pt idx="1903">
                  <c:v>0.84197763909685552</c:v>
                </c:pt>
                <c:pt idx="1904">
                  <c:v>0.84204716544648262</c:v>
                </c:pt>
                <c:pt idx="1905">
                  <c:v>0.84224298668830944</c:v>
                </c:pt>
                <c:pt idx="1906">
                  <c:v>0.84245250033320362</c:v>
                </c:pt>
                <c:pt idx="1907">
                  <c:v>0.84250857859931494</c:v>
                </c:pt>
                <c:pt idx="1908">
                  <c:v>0.84258711797289521</c:v>
                </c:pt>
                <c:pt idx="1909">
                  <c:v>0.84258773341241711</c:v>
                </c:pt>
                <c:pt idx="1910">
                  <c:v>0.84259589624525277</c:v>
                </c:pt>
                <c:pt idx="1911">
                  <c:v>0.84262122201024292</c:v>
                </c:pt>
                <c:pt idx="1912">
                  <c:v>0.84265292054279561</c:v>
                </c:pt>
                <c:pt idx="1913">
                  <c:v>0.84267195109704496</c:v>
                </c:pt>
                <c:pt idx="1914">
                  <c:v>0.84268719954014948</c:v>
                </c:pt>
                <c:pt idx="1915">
                  <c:v>0.84269827802267205</c:v>
                </c:pt>
                <c:pt idx="1916">
                  <c:v>0.84269805620104532</c:v>
                </c:pt>
                <c:pt idx="1917">
                  <c:v>0.84272150745196817</c:v>
                </c:pt>
                <c:pt idx="1918">
                  <c:v>0.84272475310358597</c:v>
                </c:pt>
                <c:pt idx="1919">
                  <c:v>0.84277953079113543</c:v>
                </c:pt>
                <c:pt idx="1920">
                  <c:v>0.84277931728848576</c:v>
                </c:pt>
                <c:pt idx="1921">
                  <c:v>0.84277946934729364</c:v>
                </c:pt>
                <c:pt idx="1922">
                  <c:v>0.84290567862623789</c:v>
                </c:pt>
                <c:pt idx="1923">
                  <c:v>0.84290549193017272</c:v>
                </c:pt>
                <c:pt idx="1924">
                  <c:v>0.84294720071767326</c:v>
                </c:pt>
                <c:pt idx="1925">
                  <c:v>0.84297579174305148</c:v>
                </c:pt>
                <c:pt idx="1926">
                  <c:v>0.84306763400687557</c:v>
                </c:pt>
                <c:pt idx="1927">
                  <c:v>0.84307741669527791</c:v>
                </c:pt>
                <c:pt idx="1928">
                  <c:v>0.84307832614659739</c:v>
                </c:pt>
                <c:pt idx="1929">
                  <c:v>0.84308141549839311</c:v>
                </c:pt>
                <c:pt idx="1930">
                  <c:v>0.84314810789159722</c:v>
                </c:pt>
                <c:pt idx="1931">
                  <c:v>0.84316256678138901</c:v>
                </c:pt>
                <c:pt idx="1932">
                  <c:v>0.8431659043867431</c:v>
                </c:pt>
                <c:pt idx="1933">
                  <c:v>0.84318355665390277</c:v>
                </c:pt>
                <c:pt idx="1934">
                  <c:v>0.84321292288166116</c:v>
                </c:pt>
                <c:pt idx="1935">
                  <c:v>0.84337970571819165</c:v>
                </c:pt>
                <c:pt idx="1936">
                  <c:v>0.84338054751336167</c:v>
                </c:pt>
                <c:pt idx="1937">
                  <c:v>0.8436660440104411</c:v>
                </c:pt>
                <c:pt idx="1938">
                  <c:v>0.84366647359373692</c:v>
                </c:pt>
                <c:pt idx="1939">
                  <c:v>0.84369546681390883</c:v>
                </c:pt>
                <c:pt idx="1940">
                  <c:v>0.84372373188278615</c:v>
                </c:pt>
                <c:pt idx="1941">
                  <c:v>0.84373113084592666</c:v>
                </c:pt>
                <c:pt idx="1942">
                  <c:v>0.8437324323446932</c:v>
                </c:pt>
                <c:pt idx="1943">
                  <c:v>0.84395112509486392</c:v>
                </c:pt>
                <c:pt idx="1944">
                  <c:v>0.84395653994320818</c:v>
                </c:pt>
                <c:pt idx="1945">
                  <c:v>0.84396742467950092</c:v>
                </c:pt>
                <c:pt idx="1946">
                  <c:v>0.84396901322355444</c:v>
                </c:pt>
                <c:pt idx="1947">
                  <c:v>0.84397743519374402</c:v>
                </c:pt>
                <c:pt idx="1948">
                  <c:v>0.84403070331833674</c:v>
                </c:pt>
                <c:pt idx="1949">
                  <c:v>0.84409516828267439</c:v>
                </c:pt>
                <c:pt idx="1950">
                  <c:v>0.844106515937466</c:v>
                </c:pt>
                <c:pt idx="1951">
                  <c:v>0.84415767289880483</c:v>
                </c:pt>
                <c:pt idx="1952">
                  <c:v>0.84421465056923928</c:v>
                </c:pt>
                <c:pt idx="1953">
                  <c:v>0.8442145674911552</c:v>
                </c:pt>
                <c:pt idx="1954">
                  <c:v>0.84448446505303176</c:v>
                </c:pt>
                <c:pt idx="1955">
                  <c:v>0.84460440538930959</c:v>
                </c:pt>
                <c:pt idx="1956">
                  <c:v>0.84460652312392026</c:v>
                </c:pt>
                <c:pt idx="1957">
                  <c:v>0.84461829783727382</c:v>
                </c:pt>
                <c:pt idx="1958">
                  <c:v>0.84461846726382417</c:v>
                </c:pt>
                <c:pt idx="1959">
                  <c:v>0.84463029631231734</c:v>
                </c:pt>
                <c:pt idx="1960">
                  <c:v>0.84464360066376942</c:v>
                </c:pt>
                <c:pt idx="1961">
                  <c:v>0.84468596949154739</c:v>
                </c:pt>
                <c:pt idx="1962">
                  <c:v>0.84479052838523039</c:v>
                </c:pt>
                <c:pt idx="1963">
                  <c:v>0.84482894574797329</c:v>
                </c:pt>
                <c:pt idx="1964">
                  <c:v>0.84483641980498636</c:v>
                </c:pt>
                <c:pt idx="1965">
                  <c:v>0.84493776061582693</c:v>
                </c:pt>
                <c:pt idx="1966">
                  <c:v>0.84501613119492913</c:v>
                </c:pt>
                <c:pt idx="1967">
                  <c:v>0.84501659210944957</c:v>
                </c:pt>
                <c:pt idx="1968">
                  <c:v>0.84511636226370612</c:v>
                </c:pt>
                <c:pt idx="1969">
                  <c:v>0.84511678286341196</c:v>
                </c:pt>
                <c:pt idx="1970">
                  <c:v>0.84527081182428798</c:v>
                </c:pt>
                <c:pt idx="1971">
                  <c:v>0.84527311451386034</c:v>
                </c:pt>
                <c:pt idx="1972">
                  <c:v>0.84531287746762018</c:v>
                </c:pt>
                <c:pt idx="1973">
                  <c:v>0.84562843190941461</c:v>
                </c:pt>
                <c:pt idx="1974">
                  <c:v>0.84583800642618934</c:v>
                </c:pt>
                <c:pt idx="1975">
                  <c:v>0.84589683209670885</c:v>
                </c:pt>
                <c:pt idx="1976">
                  <c:v>0.84590308762471322</c:v>
                </c:pt>
                <c:pt idx="1977">
                  <c:v>0.84590692183434579</c:v>
                </c:pt>
                <c:pt idx="1978">
                  <c:v>0.84590737813637307</c:v>
                </c:pt>
                <c:pt idx="1979">
                  <c:v>0.84592983828748447</c:v>
                </c:pt>
                <c:pt idx="1980">
                  <c:v>0.84605338372824535</c:v>
                </c:pt>
                <c:pt idx="1981">
                  <c:v>0.84605316848636469</c:v>
                </c:pt>
                <c:pt idx="1982">
                  <c:v>0.84608184168474854</c:v>
                </c:pt>
                <c:pt idx="1983">
                  <c:v>0.84608448354026011</c:v>
                </c:pt>
                <c:pt idx="1984">
                  <c:v>0.84624778042902205</c:v>
                </c:pt>
                <c:pt idx="1985">
                  <c:v>0.8464287269761771</c:v>
                </c:pt>
                <c:pt idx="1986">
                  <c:v>0.84644122952345269</c:v>
                </c:pt>
                <c:pt idx="1987">
                  <c:v>0.84644651999683662</c:v>
                </c:pt>
                <c:pt idx="1988">
                  <c:v>0.84662348501619367</c:v>
                </c:pt>
                <c:pt idx="1989">
                  <c:v>0.84673375724484179</c:v>
                </c:pt>
                <c:pt idx="1990">
                  <c:v>0.84673956312538745</c:v>
                </c:pt>
                <c:pt idx="1991">
                  <c:v>0.8468281839123869</c:v>
                </c:pt>
                <c:pt idx="1992">
                  <c:v>0.84683156895820388</c:v>
                </c:pt>
                <c:pt idx="1993">
                  <c:v>0.84683200165948336</c:v>
                </c:pt>
                <c:pt idx="1994">
                  <c:v>0.84686366185583861</c:v>
                </c:pt>
                <c:pt idx="1995">
                  <c:v>0.84691534875821994</c:v>
                </c:pt>
                <c:pt idx="1996">
                  <c:v>0.84696143476334596</c:v>
                </c:pt>
                <c:pt idx="1997">
                  <c:v>0.84696380809813676</c:v>
                </c:pt>
                <c:pt idx="1998">
                  <c:v>0.84768651725270339</c:v>
                </c:pt>
                <c:pt idx="1999">
                  <c:v>0.84772347266278369</c:v>
                </c:pt>
                <c:pt idx="2000">
                  <c:v>0.84778714876564276</c:v>
                </c:pt>
                <c:pt idx="2001">
                  <c:v>0.84795063969867446</c:v>
                </c:pt>
                <c:pt idx="2002">
                  <c:v>0.84812153587424433</c:v>
                </c:pt>
                <c:pt idx="2003">
                  <c:v>0.84823576709163084</c:v>
                </c:pt>
                <c:pt idx="2004">
                  <c:v>0.84826720357369156</c:v>
                </c:pt>
                <c:pt idx="2005">
                  <c:v>0.84828528822943172</c:v>
                </c:pt>
                <c:pt idx="2006">
                  <c:v>0.84829230779297371</c:v>
                </c:pt>
                <c:pt idx="2007">
                  <c:v>0.84855299313720378</c:v>
                </c:pt>
                <c:pt idx="2008">
                  <c:v>0.84857732603491021</c:v>
                </c:pt>
                <c:pt idx="2009">
                  <c:v>0.84859922351892336</c:v>
                </c:pt>
                <c:pt idx="2010">
                  <c:v>0.84869684345469432</c:v>
                </c:pt>
                <c:pt idx="2011">
                  <c:v>0.848703383144912</c:v>
                </c:pt>
                <c:pt idx="2012">
                  <c:v>0.84871056587904214</c:v>
                </c:pt>
                <c:pt idx="2013">
                  <c:v>0.84871973557310432</c:v>
                </c:pt>
                <c:pt idx="2014">
                  <c:v>0.8489395795309993</c:v>
                </c:pt>
                <c:pt idx="2015">
                  <c:v>0.84922842613200911</c:v>
                </c:pt>
                <c:pt idx="2016">
                  <c:v>0.84923671304852921</c:v>
                </c:pt>
                <c:pt idx="2017">
                  <c:v>0.84942616434678164</c:v>
                </c:pt>
                <c:pt idx="2018">
                  <c:v>0.8494266450556256</c:v>
                </c:pt>
                <c:pt idx="2019">
                  <c:v>0.84946302269346641</c:v>
                </c:pt>
                <c:pt idx="2020">
                  <c:v>0.84946684676236239</c:v>
                </c:pt>
                <c:pt idx="2021">
                  <c:v>0.84952650945588837</c:v>
                </c:pt>
                <c:pt idx="2022">
                  <c:v>0.84959334376723472</c:v>
                </c:pt>
                <c:pt idx="2023">
                  <c:v>0.84960018484901745</c:v>
                </c:pt>
                <c:pt idx="2024">
                  <c:v>0.84962946551651397</c:v>
                </c:pt>
                <c:pt idx="2025">
                  <c:v>0.85025409937959562</c:v>
                </c:pt>
                <c:pt idx="2026">
                  <c:v>0.85028302153587543</c:v>
                </c:pt>
                <c:pt idx="2027">
                  <c:v>0.85048896012442099</c:v>
                </c:pt>
                <c:pt idx="2028">
                  <c:v>0.85049126855354351</c:v>
                </c:pt>
                <c:pt idx="2029">
                  <c:v>0.85053786572461287</c:v>
                </c:pt>
                <c:pt idx="2030">
                  <c:v>0.85057382486217648</c:v>
                </c:pt>
                <c:pt idx="2031">
                  <c:v>0.8505863235454626</c:v>
                </c:pt>
                <c:pt idx="2032">
                  <c:v>0.85088582821109637</c:v>
                </c:pt>
                <c:pt idx="2033">
                  <c:v>0.85120264788578581</c:v>
                </c:pt>
                <c:pt idx="2034">
                  <c:v>0.85122235039866845</c:v>
                </c:pt>
                <c:pt idx="2035">
                  <c:v>0.85133766912203312</c:v>
                </c:pt>
                <c:pt idx="2036">
                  <c:v>0.85155164868344069</c:v>
                </c:pt>
                <c:pt idx="2037">
                  <c:v>0.85156502026135483</c:v>
                </c:pt>
                <c:pt idx="2038">
                  <c:v>0.85160582473837731</c:v>
                </c:pt>
                <c:pt idx="2039">
                  <c:v>0.85161760195854019</c:v>
                </c:pt>
                <c:pt idx="2040">
                  <c:v>0.85169737461975148</c:v>
                </c:pt>
                <c:pt idx="2041">
                  <c:v>0.85217545937013628</c:v>
                </c:pt>
                <c:pt idx="2042">
                  <c:v>0.85217561328775682</c:v>
                </c:pt>
                <c:pt idx="2043">
                  <c:v>0.85228594254327161</c:v>
                </c:pt>
                <c:pt idx="2044">
                  <c:v>0.85251050490537128</c:v>
                </c:pt>
                <c:pt idx="2045">
                  <c:v>0.85258238342810433</c:v>
                </c:pt>
                <c:pt idx="2046">
                  <c:v>0.85258518504177083</c:v>
                </c:pt>
                <c:pt idx="2047">
                  <c:v>0.85283028895980162</c:v>
                </c:pt>
                <c:pt idx="2048">
                  <c:v>0.85285924335318553</c:v>
                </c:pt>
                <c:pt idx="2049">
                  <c:v>0.85643491595790866</c:v>
                </c:pt>
                <c:pt idx="2050">
                  <c:v>0.85643849144073458</c:v>
                </c:pt>
                <c:pt idx="2051">
                  <c:v>0.85679738931781668</c:v>
                </c:pt>
                <c:pt idx="2052">
                  <c:v>0.85679769079559942</c:v>
                </c:pt>
                <c:pt idx="2053">
                  <c:v>0.85712415969058708</c:v>
                </c:pt>
                <c:pt idx="2054">
                  <c:v>0.8574127219579315</c:v>
                </c:pt>
                <c:pt idx="2055">
                  <c:v>0.85741252574773241</c:v>
                </c:pt>
                <c:pt idx="2056">
                  <c:v>0.85743832111602403</c:v>
                </c:pt>
                <c:pt idx="2057">
                  <c:v>0.85749266641666755</c:v>
                </c:pt>
                <c:pt idx="2058">
                  <c:v>0.85759684979413497</c:v>
                </c:pt>
                <c:pt idx="2059">
                  <c:v>0.8575967840960701</c:v>
                </c:pt>
                <c:pt idx="2060">
                  <c:v>0.8576137067010503</c:v>
                </c:pt>
                <c:pt idx="2061">
                  <c:v>0.85791482827473486</c:v>
                </c:pt>
                <c:pt idx="2062">
                  <c:v>0.85791712708159051</c:v>
                </c:pt>
                <c:pt idx="2063">
                  <c:v>0.85791716109081984</c:v>
                </c:pt>
                <c:pt idx="2064">
                  <c:v>0.85791824872715672</c:v>
                </c:pt>
                <c:pt idx="2065">
                  <c:v>0.85794323502898495</c:v>
                </c:pt>
                <c:pt idx="2066">
                  <c:v>0.85806391703749918</c:v>
                </c:pt>
                <c:pt idx="2067">
                  <c:v>0.85806497425430994</c:v>
                </c:pt>
                <c:pt idx="2068">
                  <c:v>0.85826225957270452</c:v>
                </c:pt>
                <c:pt idx="2069">
                  <c:v>0.85835795444065432</c:v>
                </c:pt>
                <c:pt idx="2070">
                  <c:v>0.85836627570906732</c:v>
                </c:pt>
                <c:pt idx="2071">
                  <c:v>0.85875024026835545</c:v>
                </c:pt>
                <c:pt idx="2072">
                  <c:v>0.85881766258214509</c:v>
                </c:pt>
                <c:pt idx="2073">
                  <c:v>0.85896874719781369</c:v>
                </c:pt>
                <c:pt idx="2074">
                  <c:v>0.85904820176400543</c:v>
                </c:pt>
                <c:pt idx="2075">
                  <c:v>0.85907707453839777</c:v>
                </c:pt>
                <c:pt idx="2076">
                  <c:v>0.85913637438075541</c:v>
                </c:pt>
                <c:pt idx="2077">
                  <c:v>0.85915459555564699</c:v>
                </c:pt>
                <c:pt idx="2078">
                  <c:v>0.85918892401450997</c:v>
                </c:pt>
                <c:pt idx="2079">
                  <c:v>0.85933977895269509</c:v>
                </c:pt>
                <c:pt idx="2080">
                  <c:v>0.85934138279685357</c:v>
                </c:pt>
                <c:pt idx="2081">
                  <c:v>0.8594125048743444</c:v>
                </c:pt>
                <c:pt idx="2082">
                  <c:v>0.85951947239381532</c:v>
                </c:pt>
                <c:pt idx="2083">
                  <c:v>0.85964048073056143</c:v>
                </c:pt>
                <c:pt idx="2084">
                  <c:v>0.85992266424002639</c:v>
                </c:pt>
                <c:pt idx="2085">
                  <c:v>0.86009796318137965</c:v>
                </c:pt>
                <c:pt idx="2086">
                  <c:v>0.86013915913154937</c:v>
                </c:pt>
                <c:pt idx="2087">
                  <c:v>0.86033614248735213</c:v>
                </c:pt>
                <c:pt idx="2088">
                  <c:v>0.86040488247052527</c:v>
                </c:pt>
                <c:pt idx="2089">
                  <c:v>0.86059961294664</c:v>
                </c:pt>
                <c:pt idx="2090">
                  <c:v>0.86063024136545496</c:v>
                </c:pt>
                <c:pt idx="2091">
                  <c:v>0.86079602037889391</c:v>
                </c:pt>
                <c:pt idx="2092">
                  <c:v>0.86159173165319847</c:v>
                </c:pt>
                <c:pt idx="2093">
                  <c:v>0.86160643378722068</c:v>
                </c:pt>
                <c:pt idx="2094">
                  <c:v>0.86183002189984637</c:v>
                </c:pt>
                <c:pt idx="2095">
                  <c:v>0.86185193049894482</c:v>
                </c:pt>
                <c:pt idx="2096">
                  <c:v>0.86185620882147029</c:v>
                </c:pt>
                <c:pt idx="2097">
                  <c:v>0.86185920411694961</c:v>
                </c:pt>
                <c:pt idx="2098">
                  <c:v>0.86187717809854225</c:v>
                </c:pt>
                <c:pt idx="2099">
                  <c:v>0.86189542853410073</c:v>
                </c:pt>
                <c:pt idx="2100">
                  <c:v>0.86210015770995196</c:v>
                </c:pt>
                <c:pt idx="2101">
                  <c:v>0.86210477446082823</c:v>
                </c:pt>
                <c:pt idx="2102">
                  <c:v>0.86223204782486629</c:v>
                </c:pt>
                <c:pt idx="2103">
                  <c:v>0.86229741480031996</c:v>
                </c:pt>
                <c:pt idx="2104">
                  <c:v>0.86236461625561578</c:v>
                </c:pt>
                <c:pt idx="2105">
                  <c:v>0.86254243099127326</c:v>
                </c:pt>
                <c:pt idx="2106">
                  <c:v>0.86254783404779722</c:v>
                </c:pt>
                <c:pt idx="2107">
                  <c:v>0.86255936096621622</c:v>
                </c:pt>
                <c:pt idx="2108">
                  <c:v>0.86288545064881417</c:v>
                </c:pt>
                <c:pt idx="2109">
                  <c:v>0.86288952171840561</c:v>
                </c:pt>
                <c:pt idx="2110">
                  <c:v>0.86307720982458724</c:v>
                </c:pt>
                <c:pt idx="2111">
                  <c:v>0.86309556674634358</c:v>
                </c:pt>
                <c:pt idx="2112">
                  <c:v>0.8631063004744538</c:v>
                </c:pt>
                <c:pt idx="2113">
                  <c:v>0.86312591283693973</c:v>
                </c:pt>
                <c:pt idx="2114">
                  <c:v>0.86324921398707655</c:v>
                </c:pt>
                <c:pt idx="2115">
                  <c:v>0.86325968186242696</c:v>
                </c:pt>
                <c:pt idx="2116">
                  <c:v>0.86328694523639193</c:v>
                </c:pt>
                <c:pt idx="2117">
                  <c:v>0.86328718216929623</c:v>
                </c:pt>
                <c:pt idx="2118">
                  <c:v>0.86328766857990469</c:v>
                </c:pt>
                <c:pt idx="2119">
                  <c:v>0.86329294153123848</c:v>
                </c:pt>
                <c:pt idx="2120">
                  <c:v>0.86352431518085027</c:v>
                </c:pt>
                <c:pt idx="2121">
                  <c:v>0.86373068784872487</c:v>
                </c:pt>
                <c:pt idx="2122">
                  <c:v>0.8638566382241406</c:v>
                </c:pt>
                <c:pt idx="2123">
                  <c:v>0.86386278508577397</c:v>
                </c:pt>
                <c:pt idx="2124">
                  <c:v>0.86388489186550255</c:v>
                </c:pt>
                <c:pt idx="2125">
                  <c:v>0.86419439927585895</c:v>
                </c:pt>
                <c:pt idx="2126">
                  <c:v>0.8643093534648455</c:v>
                </c:pt>
                <c:pt idx="2127">
                  <c:v>0.86584507185251613</c:v>
                </c:pt>
                <c:pt idx="2128">
                  <c:v>0.86584517033613084</c:v>
                </c:pt>
                <c:pt idx="2129">
                  <c:v>0.86598054406548652</c:v>
                </c:pt>
                <c:pt idx="2130">
                  <c:v>0.86600116733393073</c:v>
                </c:pt>
                <c:pt idx="2131">
                  <c:v>0.86614845481758007</c:v>
                </c:pt>
                <c:pt idx="2132">
                  <c:v>0.86618808979904316</c:v>
                </c:pt>
                <c:pt idx="2133">
                  <c:v>0.86618823528726674</c:v>
                </c:pt>
                <c:pt idx="2134">
                  <c:v>0.86632287484449377</c:v>
                </c:pt>
                <c:pt idx="2135">
                  <c:v>0.86673684416645158</c:v>
                </c:pt>
                <c:pt idx="2136">
                  <c:v>0.86681738912981798</c:v>
                </c:pt>
                <c:pt idx="2137">
                  <c:v>0.86685514547722753</c:v>
                </c:pt>
                <c:pt idx="2138">
                  <c:v>0.86688350636285894</c:v>
                </c:pt>
                <c:pt idx="2139">
                  <c:v>0.8671559384952654</c:v>
                </c:pt>
                <c:pt idx="2140">
                  <c:v>0.86720287799205042</c:v>
                </c:pt>
                <c:pt idx="2141">
                  <c:v>0.8672027311473216</c:v>
                </c:pt>
                <c:pt idx="2142">
                  <c:v>0.86720290383675269</c:v>
                </c:pt>
                <c:pt idx="2143">
                  <c:v>0.8672074822943403</c:v>
                </c:pt>
                <c:pt idx="2144">
                  <c:v>0.86726078576394472</c:v>
                </c:pt>
                <c:pt idx="2145">
                  <c:v>0.86726068401429446</c:v>
                </c:pt>
                <c:pt idx="2146">
                  <c:v>0.86731715650662566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1976896"/>
        <c:axId val="27057195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volatility_v2!$J$34:$J$2180</c15:sqref>
                        </c15:formulaRef>
                      </c:ext>
                    </c:extLst>
                    <c:numCache>
                      <c:formatCode>General</c:formatCode>
                      <c:ptCount val="2147"/>
                      <c:pt idx="0">
                        <c:v>3</c:v>
                      </c:pt>
                      <c:pt idx="1">
                        <c:v>4</c:v>
                      </c:pt>
                      <c:pt idx="2">
                        <c:v>5</c:v>
                      </c:pt>
                      <c:pt idx="3">
                        <c:v>6</c:v>
                      </c:pt>
                      <c:pt idx="4">
                        <c:v>7</c:v>
                      </c:pt>
                      <c:pt idx="5">
                        <c:v>8</c:v>
                      </c:pt>
                      <c:pt idx="6">
                        <c:v>9</c:v>
                      </c:pt>
                      <c:pt idx="7">
                        <c:v>10</c:v>
                      </c:pt>
                      <c:pt idx="8">
                        <c:v>11</c:v>
                      </c:pt>
                      <c:pt idx="9">
                        <c:v>12</c:v>
                      </c:pt>
                      <c:pt idx="10">
                        <c:v>13</c:v>
                      </c:pt>
                      <c:pt idx="11">
                        <c:v>14</c:v>
                      </c:pt>
                      <c:pt idx="12">
                        <c:v>15</c:v>
                      </c:pt>
                      <c:pt idx="13">
                        <c:v>16</c:v>
                      </c:pt>
                      <c:pt idx="14">
                        <c:v>17</c:v>
                      </c:pt>
                      <c:pt idx="15">
                        <c:v>18</c:v>
                      </c:pt>
                      <c:pt idx="16">
                        <c:v>19</c:v>
                      </c:pt>
                      <c:pt idx="17">
                        <c:v>20</c:v>
                      </c:pt>
                      <c:pt idx="18">
                        <c:v>21</c:v>
                      </c:pt>
                      <c:pt idx="19">
                        <c:v>22</c:v>
                      </c:pt>
                      <c:pt idx="20">
                        <c:v>23</c:v>
                      </c:pt>
                      <c:pt idx="21">
                        <c:v>24</c:v>
                      </c:pt>
                      <c:pt idx="22">
                        <c:v>25</c:v>
                      </c:pt>
                      <c:pt idx="23">
                        <c:v>26</c:v>
                      </c:pt>
                      <c:pt idx="24">
                        <c:v>27</c:v>
                      </c:pt>
                      <c:pt idx="25">
                        <c:v>28</c:v>
                      </c:pt>
                      <c:pt idx="26">
                        <c:v>29</c:v>
                      </c:pt>
                      <c:pt idx="27">
                        <c:v>30</c:v>
                      </c:pt>
                      <c:pt idx="28">
                        <c:v>31</c:v>
                      </c:pt>
                      <c:pt idx="29">
                        <c:v>32</c:v>
                      </c:pt>
                      <c:pt idx="30">
                        <c:v>33</c:v>
                      </c:pt>
                      <c:pt idx="31">
                        <c:v>34</c:v>
                      </c:pt>
                      <c:pt idx="32">
                        <c:v>35</c:v>
                      </c:pt>
                      <c:pt idx="33">
                        <c:v>36</c:v>
                      </c:pt>
                      <c:pt idx="34">
                        <c:v>37</c:v>
                      </c:pt>
                      <c:pt idx="35">
                        <c:v>38</c:v>
                      </c:pt>
                      <c:pt idx="36">
                        <c:v>39</c:v>
                      </c:pt>
                      <c:pt idx="37">
                        <c:v>40</c:v>
                      </c:pt>
                      <c:pt idx="38">
                        <c:v>41</c:v>
                      </c:pt>
                      <c:pt idx="39">
                        <c:v>42</c:v>
                      </c:pt>
                      <c:pt idx="40">
                        <c:v>43</c:v>
                      </c:pt>
                      <c:pt idx="41">
                        <c:v>44</c:v>
                      </c:pt>
                      <c:pt idx="42">
                        <c:v>45</c:v>
                      </c:pt>
                      <c:pt idx="43">
                        <c:v>46</c:v>
                      </c:pt>
                      <c:pt idx="44">
                        <c:v>47</c:v>
                      </c:pt>
                      <c:pt idx="45">
                        <c:v>48</c:v>
                      </c:pt>
                      <c:pt idx="46">
                        <c:v>49</c:v>
                      </c:pt>
                      <c:pt idx="47">
                        <c:v>50</c:v>
                      </c:pt>
                      <c:pt idx="48">
                        <c:v>51</c:v>
                      </c:pt>
                      <c:pt idx="49">
                        <c:v>52</c:v>
                      </c:pt>
                      <c:pt idx="50">
                        <c:v>53</c:v>
                      </c:pt>
                      <c:pt idx="51">
                        <c:v>54</c:v>
                      </c:pt>
                      <c:pt idx="52">
                        <c:v>55</c:v>
                      </c:pt>
                      <c:pt idx="53">
                        <c:v>56</c:v>
                      </c:pt>
                      <c:pt idx="54">
                        <c:v>57</c:v>
                      </c:pt>
                      <c:pt idx="55">
                        <c:v>58</c:v>
                      </c:pt>
                      <c:pt idx="56">
                        <c:v>59</c:v>
                      </c:pt>
                      <c:pt idx="57">
                        <c:v>60</c:v>
                      </c:pt>
                      <c:pt idx="58">
                        <c:v>61</c:v>
                      </c:pt>
                      <c:pt idx="59">
                        <c:v>62</c:v>
                      </c:pt>
                      <c:pt idx="60">
                        <c:v>63</c:v>
                      </c:pt>
                      <c:pt idx="61">
                        <c:v>64</c:v>
                      </c:pt>
                      <c:pt idx="62">
                        <c:v>65</c:v>
                      </c:pt>
                      <c:pt idx="63">
                        <c:v>66</c:v>
                      </c:pt>
                      <c:pt idx="64">
                        <c:v>67</c:v>
                      </c:pt>
                      <c:pt idx="65">
                        <c:v>68</c:v>
                      </c:pt>
                      <c:pt idx="66">
                        <c:v>69</c:v>
                      </c:pt>
                      <c:pt idx="67">
                        <c:v>70</c:v>
                      </c:pt>
                      <c:pt idx="68">
                        <c:v>71</c:v>
                      </c:pt>
                      <c:pt idx="69">
                        <c:v>72</c:v>
                      </c:pt>
                      <c:pt idx="70">
                        <c:v>73</c:v>
                      </c:pt>
                      <c:pt idx="71">
                        <c:v>74</c:v>
                      </c:pt>
                      <c:pt idx="72">
                        <c:v>75</c:v>
                      </c:pt>
                      <c:pt idx="73">
                        <c:v>76</c:v>
                      </c:pt>
                      <c:pt idx="74">
                        <c:v>77</c:v>
                      </c:pt>
                      <c:pt idx="75">
                        <c:v>78</c:v>
                      </c:pt>
                      <c:pt idx="76">
                        <c:v>79</c:v>
                      </c:pt>
                      <c:pt idx="77">
                        <c:v>80</c:v>
                      </c:pt>
                      <c:pt idx="78">
                        <c:v>81</c:v>
                      </c:pt>
                      <c:pt idx="79">
                        <c:v>82</c:v>
                      </c:pt>
                      <c:pt idx="80">
                        <c:v>83</c:v>
                      </c:pt>
                      <c:pt idx="81">
                        <c:v>84</c:v>
                      </c:pt>
                      <c:pt idx="82">
                        <c:v>85</c:v>
                      </c:pt>
                      <c:pt idx="83">
                        <c:v>86</c:v>
                      </c:pt>
                      <c:pt idx="84">
                        <c:v>87</c:v>
                      </c:pt>
                      <c:pt idx="85">
                        <c:v>88</c:v>
                      </c:pt>
                      <c:pt idx="86">
                        <c:v>89</c:v>
                      </c:pt>
                      <c:pt idx="87">
                        <c:v>90</c:v>
                      </c:pt>
                      <c:pt idx="88">
                        <c:v>91</c:v>
                      </c:pt>
                      <c:pt idx="89">
                        <c:v>92</c:v>
                      </c:pt>
                      <c:pt idx="90">
                        <c:v>93</c:v>
                      </c:pt>
                      <c:pt idx="91">
                        <c:v>94</c:v>
                      </c:pt>
                      <c:pt idx="92">
                        <c:v>95</c:v>
                      </c:pt>
                      <c:pt idx="93">
                        <c:v>96</c:v>
                      </c:pt>
                      <c:pt idx="94">
                        <c:v>97</c:v>
                      </c:pt>
                      <c:pt idx="95">
                        <c:v>98</c:v>
                      </c:pt>
                      <c:pt idx="96">
                        <c:v>99</c:v>
                      </c:pt>
                      <c:pt idx="97">
                        <c:v>100</c:v>
                      </c:pt>
                      <c:pt idx="98">
                        <c:v>101</c:v>
                      </c:pt>
                      <c:pt idx="99">
                        <c:v>102</c:v>
                      </c:pt>
                      <c:pt idx="100">
                        <c:v>103</c:v>
                      </c:pt>
                      <c:pt idx="101">
                        <c:v>104</c:v>
                      </c:pt>
                      <c:pt idx="102">
                        <c:v>105</c:v>
                      </c:pt>
                      <c:pt idx="103">
                        <c:v>106</c:v>
                      </c:pt>
                      <c:pt idx="104">
                        <c:v>107</c:v>
                      </c:pt>
                      <c:pt idx="105">
                        <c:v>108</c:v>
                      </c:pt>
                      <c:pt idx="106">
                        <c:v>109</c:v>
                      </c:pt>
                      <c:pt idx="107">
                        <c:v>110</c:v>
                      </c:pt>
                      <c:pt idx="108">
                        <c:v>111</c:v>
                      </c:pt>
                      <c:pt idx="109">
                        <c:v>112</c:v>
                      </c:pt>
                      <c:pt idx="110">
                        <c:v>113</c:v>
                      </c:pt>
                      <c:pt idx="111">
                        <c:v>114</c:v>
                      </c:pt>
                      <c:pt idx="112">
                        <c:v>115</c:v>
                      </c:pt>
                      <c:pt idx="113">
                        <c:v>116</c:v>
                      </c:pt>
                      <c:pt idx="114">
                        <c:v>117</c:v>
                      </c:pt>
                      <c:pt idx="115">
                        <c:v>118</c:v>
                      </c:pt>
                      <c:pt idx="116">
                        <c:v>119</c:v>
                      </c:pt>
                      <c:pt idx="117">
                        <c:v>120</c:v>
                      </c:pt>
                      <c:pt idx="118">
                        <c:v>121</c:v>
                      </c:pt>
                      <c:pt idx="119">
                        <c:v>122</c:v>
                      </c:pt>
                      <c:pt idx="120">
                        <c:v>123</c:v>
                      </c:pt>
                      <c:pt idx="121">
                        <c:v>124</c:v>
                      </c:pt>
                      <c:pt idx="122">
                        <c:v>125</c:v>
                      </c:pt>
                      <c:pt idx="123">
                        <c:v>126</c:v>
                      </c:pt>
                      <c:pt idx="124">
                        <c:v>127</c:v>
                      </c:pt>
                      <c:pt idx="125">
                        <c:v>128</c:v>
                      </c:pt>
                      <c:pt idx="126">
                        <c:v>129</c:v>
                      </c:pt>
                      <c:pt idx="127">
                        <c:v>130</c:v>
                      </c:pt>
                      <c:pt idx="128">
                        <c:v>131</c:v>
                      </c:pt>
                      <c:pt idx="129">
                        <c:v>132</c:v>
                      </c:pt>
                      <c:pt idx="130">
                        <c:v>133</c:v>
                      </c:pt>
                      <c:pt idx="131">
                        <c:v>134</c:v>
                      </c:pt>
                      <c:pt idx="132">
                        <c:v>135</c:v>
                      </c:pt>
                      <c:pt idx="133">
                        <c:v>136</c:v>
                      </c:pt>
                      <c:pt idx="134">
                        <c:v>137</c:v>
                      </c:pt>
                      <c:pt idx="135">
                        <c:v>138</c:v>
                      </c:pt>
                      <c:pt idx="136">
                        <c:v>139</c:v>
                      </c:pt>
                      <c:pt idx="137">
                        <c:v>140</c:v>
                      </c:pt>
                      <c:pt idx="138">
                        <c:v>141</c:v>
                      </c:pt>
                      <c:pt idx="139">
                        <c:v>142</c:v>
                      </c:pt>
                      <c:pt idx="140">
                        <c:v>143</c:v>
                      </c:pt>
                      <c:pt idx="141">
                        <c:v>144</c:v>
                      </c:pt>
                      <c:pt idx="142">
                        <c:v>145</c:v>
                      </c:pt>
                      <c:pt idx="143">
                        <c:v>146</c:v>
                      </c:pt>
                      <c:pt idx="144">
                        <c:v>147</c:v>
                      </c:pt>
                      <c:pt idx="145">
                        <c:v>148</c:v>
                      </c:pt>
                      <c:pt idx="146">
                        <c:v>149</c:v>
                      </c:pt>
                      <c:pt idx="147">
                        <c:v>150</c:v>
                      </c:pt>
                      <c:pt idx="148">
                        <c:v>151</c:v>
                      </c:pt>
                      <c:pt idx="149">
                        <c:v>152</c:v>
                      </c:pt>
                      <c:pt idx="150">
                        <c:v>153</c:v>
                      </c:pt>
                      <c:pt idx="151">
                        <c:v>154</c:v>
                      </c:pt>
                      <c:pt idx="152">
                        <c:v>155</c:v>
                      </c:pt>
                      <c:pt idx="153">
                        <c:v>156</c:v>
                      </c:pt>
                      <c:pt idx="154">
                        <c:v>157</c:v>
                      </c:pt>
                      <c:pt idx="155">
                        <c:v>158</c:v>
                      </c:pt>
                      <c:pt idx="156">
                        <c:v>159</c:v>
                      </c:pt>
                      <c:pt idx="157">
                        <c:v>160</c:v>
                      </c:pt>
                      <c:pt idx="158">
                        <c:v>161</c:v>
                      </c:pt>
                      <c:pt idx="159">
                        <c:v>162</c:v>
                      </c:pt>
                      <c:pt idx="160">
                        <c:v>163</c:v>
                      </c:pt>
                      <c:pt idx="161">
                        <c:v>164</c:v>
                      </c:pt>
                      <c:pt idx="162">
                        <c:v>165</c:v>
                      </c:pt>
                      <c:pt idx="163">
                        <c:v>166</c:v>
                      </c:pt>
                      <c:pt idx="164">
                        <c:v>167</c:v>
                      </c:pt>
                      <c:pt idx="165">
                        <c:v>168</c:v>
                      </c:pt>
                      <c:pt idx="166">
                        <c:v>169</c:v>
                      </c:pt>
                      <c:pt idx="167">
                        <c:v>170</c:v>
                      </c:pt>
                      <c:pt idx="168">
                        <c:v>171</c:v>
                      </c:pt>
                      <c:pt idx="169">
                        <c:v>172</c:v>
                      </c:pt>
                      <c:pt idx="170">
                        <c:v>173</c:v>
                      </c:pt>
                      <c:pt idx="171">
                        <c:v>174</c:v>
                      </c:pt>
                      <c:pt idx="172">
                        <c:v>175</c:v>
                      </c:pt>
                      <c:pt idx="173">
                        <c:v>176</c:v>
                      </c:pt>
                      <c:pt idx="174">
                        <c:v>177</c:v>
                      </c:pt>
                      <c:pt idx="175">
                        <c:v>178</c:v>
                      </c:pt>
                      <c:pt idx="176">
                        <c:v>179</c:v>
                      </c:pt>
                      <c:pt idx="177">
                        <c:v>180</c:v>
                      </c:pt>
                      <c:pt idx="178">
                        <c:v>181</c:v>
                      </c:pt>
                      <c:pt idx="179">
                        <c:v>182</c:v>
                      </c:pt>
                      <c:pt idx="180">
                        <c:v>183</c:v>
                      </c:pt>
                      <c:pt idx="181">
                        <c:v>184</c:v>
                      </c:pt>
                      <c:pt idx="182">
                        <c:v>185</c:v>
                      </c:pt>
                      <c:pt idx="183">
                        <c:v>186</c:v>
                      </c:pt>
                      <c:pt idx="184">
                        <c:v>187</c:v>
                      </c:pt>
                      <c:pt idx="185">
                        <c:v>188</c:v>
                      </c:pt>
                      <c:pt idx="186">
                        <c:v>189</c:v>
                      </c:pt>
                      <c:pt idx="187">
                        <c:v>190</c:v>
                      </c:pt>
                      <c:pt idx="188">
                        <c:v>191</c:v>
                      </c:pt>
                      <c:pt idx="189">
                        <c:v>192</c:v>
                      </c:pt>
                      <c:pt idx="190">
                        <c:v>193</c:v>
                      </c:pt>
                      <c:pt idx="191">
                        <c:v>194</c:v>
                      </c:pt>
                      <c:pt idx="192">
                        <c:v>195</c:v>
                      </c:pt>
                      <c:pt idx="193">
                        <c:v>196</c:v>
                      </c:pt>
                      <c:pt idx="194">
                        <c:v>197</c:v>
                      </c:pt>
                      <c:pt idx="195">
                        <c:v>198</c:v>
                      </c:pt>
                      <c:pt idx="196">
                        <c:v>199</c:v>
                      </c:pt>
                      <c:pt idx="197">
                        <c:v>200</c:v>
                      </c:pt>
                      <c:pt idx="198">
                        <c:v>201</c:v>
                      </c:pt>
                      <c:pt idx="199">
                        <c:v>202</c:v>
                      </c:pt>
                      <c:pt idx="200">
                        <c:v>203</c:v>
                      </c:pt>
                      <c:pt idx="201">
                        <c:v>204</c:v>
                      </c:pt>
                      <c:pt idx="202">
                        <c:v>205</c:v>
                      </c:pt>
                      <c:pt idx="203">
                        <c:v>206</c:v>
                      </c:pt>
                      <c:pt idx="204">
                        <c:v>207</c:v>
                      </c:pt>
                      <c:pt idx="205">
                        <c:v>208</c:v>
                      </c:pt>
                      <c:pt idx="206">
                        <c:v>209</c:v>
                      </c:pt>
                      <c:pt idx="207">
                        <c:v>210</c:v>
                      </c:pt>
                      <c:pt idx="208">
                        <c:v>211</c:v>
                      </c:pt>
                      <c:pt idx="209">
                        <c:v>212</c:v>
                      </c:pt>
                      <c:pt idx="210">
                        <c:v>213</c:v>
                      </c:pt>
                      <c:pt idx="211">
                        <c:v>214</c:v>
                      </c:pt>
                      <c:pt idx="212">
                        <c:v>215</c:v>
                      </c:pt>
                      <c:pt idx="213">
                        <c:v>216</c:v>
                      </c:pt>
                      <c:pt idx="214">
                        <c:v>217</c:v>
                      </c:pt>
                      <c:pt idx="215">
                        <c:v>218</c:v>
                      </c:pt>
                      <c:pt idx="216">
                        <c:v>219</c:v>
                      </c:pt>
                      <c:pt idx="217">
                        <c:v>220</c:v>
                      </c:pt>
                      <c:pt idx="218">
                        <c:v>221</c:v>
                      </c:pt>
                      <c:pt idx="219">
                        <c:v>222</c:v>
                      </c:pt>
                      <c:pt idx="220">
                        <c:v>223</c:v>
                      </c:pt>
                      <c:pt idx="221">
                        <c:v>224</c:v>
                      </c:pt>
                      <c:pt idx="222">
                        <c:v>225</c:v>
                      </c:pt>
                      <c:pt idx="223">
                        <c:v>226</c:v>
                      </c:pt>
                      <c:pt idx="224">
                        <c:v>227</c:v>
                      </c:pt>
                      <c:pt idx="225">
                        <c:v>228</c:v>
                      </c:pt>
                      <c:pt idx="226">
                        <c:v>229</c:v>
                      </c:pt>
                      <c:pt idx="227">
                        <c:v>230</c:v>
                      </c:pt>
                      <c:pt idx="228">
                        <c:v>231</c:v>
                      </c:pt>
                      <c:pt idx="229">
                        <c:v>232</c:v>
                      </c:pt>
                      <c:pt idx="230">
                        <c:v>233</c:v>
                      </c:pt>
                      <c:pt idx="231">
                        <c:v>234</c:v>
                      </c:pt>
                      <c:pt idx="232">
                        <c:v>235</c:v>
                      </c:pt>
                      <c:pt idx="233">
                        <c:v>236</c:v>
                      </c:pt>
                      <c:pt idx="234">
                        <c:v>237</c:v>
                      </c:pt>
                      <c:pt idx="235">
                        <c:v>238</c:v>
                      </c:pt>
                      <c:pt idx="236">
                        <c:v>239</c:v>
                      </c:pt>
                      <c:pt idx="237">
                        <c:v>240</c:v>
                      </c:pt>
                      <c:pt idx="238">
                        <c:v>241</c:v>
                      </c:pt>
                      <c:pt idx="239">
                        <c:v>242</c:v>
                      </c:pt>
                      <c:pt idx="240">
                        <c:v>243</c:v>
                      </c:pt>
                      <c:pt idx="241">
                        <c:v>244</c:v>
                      </c:pt>
                      <c:pt idx="242">
                        <c:v>245</c:v>
                      </c:pt>
                      <c:pt idx="243">
                        <c:v>246</c:v>
                      </c:pt>
                      <c:pt idx="244">
                        <c:v>247</c:v>
                      </c:pt>
                      <c:pt idx="245">
                        <c:v>248</c:v>
                      </c:pt>
                      <c:pt idx="246">
                        <c:v>249</c:v>
                      </c:pt>
                      <c:pt idx="247">
                        <c:v>250</c:v>
                      </c:pt>
                      <c:pt idx="248">
                        <c:v>251</c:v>
                      </c:pt>
                      <c:pt idx="249">
                        <c:v>252</c:v>
                      </c:pt>
                      <c:pt idx="250">
                        <c:v>253</c:v>
                      </c:pt>
                      <c:pt idx="251">
                        <c:v>254</c:v>
                      </c:pt>
                      <c:pt idx="252">
                        <c:v>255</c:v>
                      </c:pt>
                      <c:pt idx="253">
                        <c:v>256</c:v>
                      </c:pt>
                      <c:pt idx="254">
                        <c:v>257</c:v>
                      </c:pt>
                      <c:pt idx="255">
                        <c:v>258</c:v>
                      </c:pt>
                      <c:pt idx="256">
                        <c:v>259</c:v>
                      </c:pt>
                      <c:pt idx="257">
                        <c:v>260</c:v>
                      </c:pt>
                      <c:pt idx="258">
                        <c:v>261</c:v>
                      </c:pt>
                      <c:pt idx="259">
                        <c:v>262</c:v>
                      </c:pt>
                      <c:pt idx="260">
                        <c:v>263</c:v>
                      </c:pt>
                      <c:pt idx="261">
                        <c:v>264</c:v>
                      </c:pt>
                      <c:pt idx="262">
                        <c:v>265</c:v>
                      </c:pt>
                      <c:pt idx="263">
                        <c:v>266</c:v>
                      </c:pt>
                      <c:pt idx="264">
                        <c:v>267</c:v>
                      </c:pt>
                      <c:pt idx="265">
                        <c:v>268</c:v>
                      </c:pt>
                      <c:pt idx="266">
                        <c:v>269</c:v>
                      </c:pt>
                      <c:pt idx="267">
                        <c:v>270</c:v>
                      </c:pt>
                      <c:pt idx="268">
                        <c:v>271</c:v>
                      </c:pt>
                      <c:pt idx="269">
                        <c:v>272</c:v>
                      </c:pt>
                      <c:pt idx="270">
                        <c:v>273</c:v>
                      </c:pt>
                      <c:pt idx="271">
                        <c:v>274</c:v>
                      </c:pt>
                      <c:pt idx="272">
                        <c:v>275</c:v>
                      </c:pt>
                      <c:pt idx="273">
                        <c:v>276</c:v>
                      </c:pt>
                      <c:pt idx="274">
                        <c:v>277</c:v>
                      </c:pt>
                      <c:pt idx="275">
                        <c:v>278</c:v>
                      </c:pt>
                      <c:pt idx="276">
                        <c:v>279</c:v>
                      </c:pt>
                      <c:pt idx="277">
                        <c:v>280</c:v>
                      </c:pt>
                      <c:pt idx="278">
                        <c:v>281</c:v>
                      </c:pt>
                      <c:pt idx="279">
                        <c:v>282</c:v>
                      </c:pt>
                      <c:pt idx="280">
                        <c:v>283</c:v>
                      </c:pt>
                      <c:pt idx="281">
                        <c:v>284</c:v>
                      </c:pt>
                      <c:pt idx="282">
                        <c:v>285</c:v>
                      </c:pt>
                      <c:pt idx="283">
                        <c:v>286</c:v>
                      </c:pt>
                      <c:pt idx="284">
                        <c:v>287</c:v>
                      </c:pt>
                      <c:pt idx="285">
                        <c:v>288</c:v>
                      </c:pt>
                      <c:pt idx="286">
                        <c:v>289</c:v>
                      </c:pt>
                      <c:pt idx="287">
                        <c:v>290</c:v>
                      </c:pt>
                      <c:pt idx="288">
                        <c:v>291</c:v>
                      </c:pt>
                      <c:pt idx="289">
                        <c:v>292</c:v>
                      </c:pt>
                      <c:pt idx="290">
                        <c:v>293</c:v>
                      </c:pt>
                      <c:pt idx="291">
                        <c:v>294</c:v>
                      </c:pt>
                      <c:pt idx="292">
                        <c:v>295</c:v>
                      </c:pt>
                      <c:pt idx="293">
                        <c:v>296</c:v>
                      </c:pt>
                      <c:pt idx="294">
                        <c:v>297</c:v>
                      </c:pt>
                      <c:pt idx="295">
                        <c:v>298</c:v>
                      </c:pt>
                      <c:pt idx="296">
                        <c:v>299</c:v>
                      </c:pt>
                      <c:pt idx="297">
                        <c:v>300</c:v>
                      </c:pt>
                      <c:pt idx="298">
                        <c:v>301</c:v>
                      </c:pt>
                      <c:pt idx="299">
                        <c:v>302</c:v>
                      </c:pt>
                      <c:pt idx="300">
                        <c:v>303</c:v>
                      </c:pt>
                      <c:pt idx="301">
                        <c:v>304</c:v>
                      </c:pt>
                      <c:pt idx="302">
                        <c:v>305</c:v>
                      </c:pt>
                      <c:pt idx="303">
                        <c:v>306</c:v>
                      </c:pt>
                      <c:pt idx="304">
                        <c:v>307</c:v>
                      </c:pt>
                      <c:pt idx="305">
                        <c:v>308</c:v>
                      </c:pt>
                      <c:pt idx="306">
                        <c:v>309</c:v>
                      </c:pt>
                      <c:pt idx="307">
                        <c:v>310</c:v>
                      </c:pt>
                      <c:pt idx="308">
                        <c:v>311</c:v>
                      </c:pt>
                      <c:pt idx="309">
                        <c:v>312</c:v>
                      </c:pt>
                      <c:pt idx="310">
                        <c:v>313</c:v>
                      </c:pt>
                      <c:pt idx="311">
                        <c:v>314</c:v>
                      </c:pt>
                      <c:pt idx="312">
                        <c:v>315</c:v>
                      </c:pt>
                      <c:pt idx="313">
                        <c:v>316</c:v>
                      </c:pt>
                      <c:pt idx="314">
                        <c:v>317</c:v>
                      </c:pt>
                      <c:pt idx="315">
                        <c:v>318</c:v>
                      </c:pt>
                      <c:pt idx="316">
                        <c:v>319</c:v>
                      </c:pt>
                      <c:pt idx="317">
                        <c:v>320</c:v>
                      </c:pt>
                      <c:pt idx="318">
                        <c:v>321</c:v>
                      </c:pt>
                      <c:pt idx="319">
                        <c:v>322</c:v>
                      </c:pt>
                      <c:pt idx="320">
                        <c:v>323</c:v>
                      </c:pt>
                      <c:pt idx="321">
                        <c:v>324</c:v>
                      </c:pt>
                      <c:pt idx="322">
                        <c:v>325</c:v>
                      </c:pt>
                      <c:pt idx="323">
                        <c:v>326</c:v>
                      </c:pt>
                      <c:pt idx="324">
                        <c:v>327</c:v>
                      </c:pt>
                      <c:pt idx="325">
                        <c:v>328</c:v>
                      </c:pt>
                      <c:pt idx="326">
                        <c:v>329</c:v>
                      </c:pt>
                      <c:pt idx="327">
                        <c:v>330</c:v>
                      </c:pt>
                      <c:pt idx="328">
                        <c:v>331</c:v>
                      </c:pt>
                      <c:pt idx="329">
                        <c:v>332</c:v>
                      </c:pt>
                      <c:pt idx="330">
                        <c:v>333</c:v>
                      </c:pt>
                      <c:pt idx="331">
                        <c:v>334</c:v>
                      </c:pt>
                      <c:pt idx="332">
                        <c:v>335</c:v>
                      </c:pt>
                      <c:pt idx="333">
                        <c:v>336</c:v>
                      </c:pt>
                      <c:pt idx="334">
                        <c:v>337</c:v>
                      </c:pt>
                      <c:pt idx="335">
                        <c:v>338</c:v>
                      </c:pt>
                      <c:pt idx="336">
                        <c:v>339</c:v>
                      </c:pt>
                      <c:pt idx="337">
                        <c:v>340</c:v>
                      </c:pt>
                      <c:pt idx="338">
                        <c:v>341</c:v>
                      </c:pt>
                      <c:pt idx="339">
                        <c:v>342</c:v>
                      </c:pt>
                      <c:pt idx="340">
                        <c:v>343</c:v>
                      </c:pt>
                      <c:pt idx="341">
                        <c:v>344</c:v>
                      </c:pt>
                      <c:pt idx="342">
                        <c:v>345</c:v>
                      </c:pt>
                      <c:pt idx="343">
                        <c:v>346</c:v>
                      </c:pt>
                      <c:pt idx="344">
                        <c:v>347</c:v>
                      </c:pt>
                      <c:pt idx="345">
                        <c:v>348</c:v>
                      </c:pt>
                      <c:pt idx="346">
                        <c:v>349</c:v>
                      </c:pt>
                      <c:pt idx="347">
                        <c:v>350</c:v>
                      </c:pt>
                      <c:pt idx="348">
                        <c:v>351</c:v>
                      </c:pt>
                      <c:pt idx="349">
                        <c:v>352</c:v>
                      </c:pt>
                      <c:pt idx="350">
                        <c:v>353</c:v>
                      </c:pt>
                      <c:pt idx="351">
                        <c:v>354</c:v>
                      </c:pt>
                      <c:pt idx="352">
                        <c:v>355</c:v>
                      </c:pt>
                      <c:pt idx="353">
                        <c:v>356</c:v>
                      </c:pt>
                      <c:pt idx="354">
                        <c:v>357</c:v>
                      </c:pt>
                      <c:pt idx="355">
                        <c:v>358</c:v>
                      </c:pt>
                      <c:pt idx="356">
                        <c:v>359</c:v>
                      </c:pt>
                      <c:pt idx="357">
                        <c:v>360</c:v>
                      </c:pt>
                      <c:pt idx="358">
                        <c:v>361</c:v>
                      </c:pt>
                      <c:pt idx="359">
                        <c:v>362</c:v>
                      </c:pt>
                      <c:pt idx="360">
                        <c:v>363</c:v>
                      </c:pt>
                      <c:pt idx="361">
                        <c:v>364</c:v>
                      </c:pt>
                      <c:pt idx="362">
                        <c:v>365</c:v>
                      </c:pt>
                      <c:pt idx="363">
                        <c:v>366</c:v>
                      </c:pt>
                      <c:pt idx="364">
                        <c:v>367</c:v>
                      </c:pt>
                      <c:pt idx="365">
                        <c:v>368</c:v>
                      </c:pt>
                      <c:pt idx="366">
                        <c:v>369</c:v>
                      </c:pt>
                      <c:pt idx="367">
                        <c:v>370</c:v>
                      </c:pt>
                      <c:pt idx="368">
                        <c:v>371</c:v>
                      </c:pt>
                      <c:pt idx="369">
                        <c:v>372</c:v>
                      </c:pt>
                      <c:pt idx="370">
                        <c:v>373</c:v>
                      </c:pt>
                      <c:pt idx="371">
                        <c:v>374</c:v>
                      </c:pt>
                      <c:pt idx="372">
                        <c:v>375</c:v>
                      </c:pt>
                      <c:pt idx="373">
                        <c:v>376</c:v>
                      </c:pt>
                      <c:pt idx="374">
                        <c:v>377</c:v>
                      </c:pt>
                      <c:pt idx="375">
                        <c:v>378</c:v>
                      </c:pt>
                      <c:pt idx="376">
                        <c:v>379</c:v>
                      </c:pt>
                      <c:pt idx="377">
                        <c:v>380</c:v>
                      </c:pt>
                      <c:pt idx="378">
                        <c:v>381</c:v>
                      </c:pt>
                      <c:pt idx="379">
                        <c:v>382</c:v>
                      </c:pt>
                      <c:pt idx="380">
                        <c:v>383</c:v>
                      </c:pt>
                      <c:pt idx="381">
                        <c:v>384</c:v>
                      </c:pt>
                      <c:pt idx="382">
                        <c:v>385</c:v>
                      </c:pt>
                      <c:pt idx="383">
                        <c:v>386</c:v>
                      </c:pt>
                      <c:pt idx="384">
                        <c:v>387</c:v>
                      </c:pt>
                      <c:pt idx="385">
                        <c:v>388</c:v>
                      </c:pt>
                      <c:pt idx="386">
                        <c:v>389</c:v>
                      </c:pt>
                      <c:pt idx="387">
                        <c:v>390</c:v>
                      </c:pt>
                      <c:pt idx="388">
                        <c:v>391</c:v>
                      </c:pt>
                      <c:pt idx="389">
                        <c:v>392</c:v>
                      </c:pt>
                      <c:pt idx="390">
                        <c:v>393</c:v>
                      </c:pt>
                      <c:pt idx="391">
                        <c:v>394</c:v>
                      </c:pt>
                      <c:pt idx="392">
                        <c:v>395</c:v>
                      </c:pt>
                      <c:pt idx="393">
                        <c:v>396</c:v>
                      </c:pt>
                      <c:pt idx="394">
                        <c:v>397</c:v>
                      </c:pt>
                      <c:pt idx="395">
                        <c:v>398</c:v>
                      </c:pt>
                      <c:pt idx="396">
                        <c:v>399</c:v>
                      </c:pt>
                      <c:pt idx="397">
                        <c:v>400</c:v>
                      </c:pt>
                      <c:pt idx="398">
                        <c:v>401</c:v>
                      </c:pt>
                      <c:pt idx="399">
                        <c:v>402</c:v>
                      </c:pt>
                      <c:pt idx="400">
                        <c:v>403</c:v>
                      </c:pt>
                      <c:pt idx="401">
                        <c:v>404</c:v>
                      </c:pt>
                      <c:pt idx="402">
                        <c:v>405</c:v>
                      </c:pt>
                      <c:pt idx="403">
                        <c:v>406</c:v>
                      </c:pt>
                      <c:pt idx="404">
                        <c:v>407</c:v>
                      </c:pt>
                      <c:pt idx="405">
                        <c:v>408</c:v>
                      </c:pt>
                      <c:pt idx="406">
                        <c:v>409</c:v>
                      </c:pt>
                      <c:pt idx="407">
                        <c:v>410</c:v>
                      </c:pt>
                      <c:pt idx="408">
                        <c:v>411</c:v>
                      </c:pt>
                      <c:pt idx="409">
                        <c:v>412</c:v>
                      </c:pt>
                      <c:pt idx="410">
                        <c:v>413</c:v>
                      </c:pt>
                      <c:pt idx="411">
                        <c:v>414</c:v>
                      </c:pt>
                      <c:pt idx="412">
                        <c:v>415</c:v>
                      </c:pt>
                      <c:pt idx="413">
                        <c:v>416</c:v>
                      </c:pt>
                      <c:pt idx="414">
                        <c:v>417</c:v>
                      </c:pt>
                      <c:pt idx="415">
                        <c:v>418</c:v>
                      </c:pt>
                      <c:pt idx="416">
                        <c:v>419</c:v>
                      </c:pt>
                      <c:pt idx="417">
                        <c:v>420</c:v>
                      </c:pt>
                      <c:pt idx="418">
                        <c:v>421</c:v>
                      </c:pt>
                      <c:pt idx="419">
                        <c:v>422</c:v>
                      </c:pt>
                      <c:pt idx="420">
                        <c:v>423</c:v>
                      </c:pt>
                      <c:pt idx="421">
                        <c:v>424</c:v>
                      </c:pt>
                      <c:pt idx="422">
                        <c:v>425</c:v>
                      </c:pt>
                      <c:pt idx="423">
                        <c:v>426</c:v>
                      </c:pt>
                      <c:pt idx="424">
                        <c:v>427</c:v>
                      </c:pt>
                      <c:pt idx="425">
                        <c:v>428</c:v>
                      </c:pt>
                      <c:pt idx="426">
                        <c:v>429</c:v>
                      </c:pt>
                      <c:pt idx="427">
                        <c:v>430</c:v>
                      </c:pt>
                      <c:pt idx="428">
                        <c:v>431</c:v>
                      </c:pt>
                      <c:pt idx="429">
                        <c:v>432</c:v>
                      </c:pt>
                      <c:pt idx="430">
                        <c:v>433</c:v>
                      </c:pt>
                      <c:pt idx="431">
                        <c:v>434</c:v>
                      </c:pt>
                      <c:pt idx="432">
                        <c:v>435</c:v>
                      </c:pt>
                      <c:pt idx="433">
                        <c:v>436</c:v>
                      </c:pt>
                      <c:pt idx="434">
                        <c:v>437</c:v>
                      </c:pt>
                      <c:pt idx="435">
                        <c:v>438</c:v>
                      </c:pt>
                      <c:pt idx="436">
                        <c:v>439</c:v>
                      </c:pt>
                      <c:pt idx="437">
                        <c:v>440</c:v>
                      </c:pt>
                      <c:pt idx="438">
                        <c:v>441</c:v>
                      </c:pt>
                      <c:pt idx="439">
                        <c:v>442</c:v>
                      </c:pt>
                      <c:pt idx="440">
                        <c:v>443</c:v>
                      </c:pt>
                      <c:pt idx="441">
                        <c:v>444</c:v>
                      </c:pt>
                      <c:pt idx="442">
                        <c:v>445</c:v>
                      </c:pt>
                      <c:pt idx="443">
                        <c:v>446</c:v>
                      </c:pt>
                      <c:pt idx="444">
                        <c:v>447</c:v>
                      </c:pt>
                      <c:pt idx="445">
                        <c:v>448</c:v>
                      </c:pt>
                      <c:pt idx="446">
                        <c:v>449</c:v>
                      </c:pt>
                      <c:pt idx="447">
                        <c:v>450</c:v>
                      </c:pt>
                      <c:pt idx="448">
                        <c:v>451</c:v>
                      </c:pt>
                      <c:pt idx="449">
                        <c:v>452</c:v>
                      </c:pt>
                      <c:pt idx="450">
                        <c:v>453</c:v>
                      </c:pt>
                      <c:pt idx="451">
                        <c:v>454</c:v>
                      </c:pt>
                      <c:pt idx="452">
                        <c:v>455</c:v>
                      </c:pt>
                      <c:pt idx="453">
                        <c:v>456</c:v>
                      </c:pt>
                      <c:pt idx="454">
                        <c:v>457</c:v>
                      </c:pt>
                      <c:pt idx="455">
                        <c:v>458</c:v>
                      </c:pt>
                      <c:pt idx="456">
                        <c:v>459</c:v>
                      </c:pt>
                      <c:pt idx="457">
                        <c:v>460</c:v>
                      </c:pt>
                      <c:pt idx="458">
                        <c:v>461</c:v>
                      </c:pt>
                      <c:pt idx="459">
                        <c:v>462</c:v>
                      </c:pt>
                      <c:pt idx="460">
                        <c:v>463</c:v>
                      </c:pt>
                      <c:pt idx="461">
                        <c:v>464</c:v>
                      </c:pt>
                      <c:pt idx="462">
                        <c:v>465</c:v>
                      </c:pt>
                      <c:pt idx="463">
                        <c:v>466</c:v>
                      </c:pt>
                      <c:pt idx="464">
                        <c:v>467</c:v>
                      </c:pt>
                      <c:pt idx="465">
                        <c:v>468</c:v>
                      </c:pt>
                      <c:pt idx="466">
                        <c:v>469</c:v>
                      </c:pt>
                      <c:pt idx="467">
                        <c:v>470</c:v>
                      </c:pt>
                      <c:pt idx="468">
                        <c:v>471</c:v>
                      </c:pt>
                      <c:pt idx="469">
                        <c:v>472</c:v>
                      </c:pt>
                      <c:pt idx="470">
                        <c:v>473</c:v>
                      </c:pt>
                      <c:pt idx="471">
                        <c:v>474</c:v>
                      </c:pt>
                      <c:pt idx="472">
                        <c:v>475</c:v>
                      </c:pt>
                      <c:pt idx="473">
                        <c:v>476</c:v>
                      </c:pt>
                      <c:pt idx="474">
                        <c:v>477</c:v>
                      </c:pt>
                      <c:pt idx="475">
                        <c:v>478</c:v>
                      </c:pt>
                      <c:pt idx="476">
                        <c:v>479</c:v>
                      </c:pt>
                      <c:pt idx="477">
                        <c:v>480</c:v>
                      </c:pt>
                      <c:pt idx="478">
                        <c:v>481</c:v>
                      </c:pt>
                      <c:pt idx="479">
                        <c:v>482</c:v>
                      </c:pt>
                      <c:pt idx="480">
                        <c:v>483</c:v>
                      </c:pt>
                      <c:pt idx="481">
                        <c:v>484</c:v>
                      </c:pt>
                      <c:pt idx="482">
                        <c:v>485</c:v>
                      </c:pt>
                      <c:pt idx="483">
                        <c:v>486</c:v>
                      </c:pt>
                      <c:pt idx="484">
                        <c:v>487</c:v>
                      </c:pt>
                      <c:pt idx="485">
                        <c:v>488</c:v>
                      </c:pt>
                      <c:pt idx="486">
                        <c:v>489</c:v>
                      </c:pt>
                      <c:pt idx="487">
                        <c:v>490</c:v>
                      </c:pt>
                      <c:pt idx="488">
                        <c:v>491</c:v>
                      </c:pt>
                      <c:pt idx="489">
                        <c:v>492</c:v>
                      </c:pt>
                      <c:pt idx="490">
                        <c:v>493</c:v>
                      </c:pt>
                      <c:pt idx="491">
                        <c:v>494</c:v>
                      </c:pt>
                      <c:pt idx="492">
                        <c:v>495</c:v>
                      </c:pt>
                      <c:pt idx="493">
                        <c:v>496</c:v>
                      </c:pt>
                      <c:pt idx="494">
                        <c:v>497</c:v>
                      </c:pt>
                      <c:pt idx="495">
                        <c:v>498</c:v>
                      </c:pt>
                      <c:pt idx="496">
                        <c:v>499</c:v>
                      </c:pt>
                      <c:pt idx="497">
                        <c:v>500</c:v>
                      </c:pt>
                      <c:pt idx="498">
                        <c:v>501</c:v>
                      </c:pt>
                      <c:pt idx="499">
                        <c:v>502</c:v>
                      </c:pt>
                      <c:pt idx="500">
                        <c:v>503</c:v>
                      </c:pt>
                      <c:pt idx="501">
                        <c:v>504</c:v>
                      </c:pt>
                      <c:pt idx="502">
                        <c:v>505</c:v>
                      </c:pt>
                      <c:pt idx="503">
                        <c:v>506</c:v>
                      </c:pt>
                      <c:pt idx="504">
                        <c:v>507</c:v>
                      </c:pt>
                      <c:pt idx="505">
                        <c:v>508</c:v>
                      </c:pt>
                      <c:pt idx="506">
                        <c:v>509</c:v>
                      </c:pt>
                      <c:pt idx="507">
                        <c:v>510</c:v>
                      </c:pt>
                      <c:pt idx="508">
                        <c:v>511</c:v>
                      </c:pt>
                      <c:pt idx="509">
                        <c:v>512</c:v>
                      </c:pt>
                      <c:pt idx="510">
                        <c:v>513</c:v>
                      </c:pt>
                      <c:pt idx="511">
                        <c:v>514</c:v>
                      </c:pt>
                      <c:pt idx="512">
                        <c:v>515</c:v>
                      </c:pt>
                      <c:pt idx="513">
                        <c:v>516</c:v>
                      </c:pt>
                      <c:pt idx="514">
                        <c:v>517</c:v>
                      </c:pt>
                      <c:pt idx="515">
                        <c:v>518</c:v>
                      </c:pt>
                      <c:pt idx="516">
                        <c:v>519</c:v>
                      </c:pt>
                      <c:pt idx="517">
                        <c:v>520</c:v>
                      </c:pt>
                      <c:pt idx="518">
                        <c:v>521</c:v>
                      </c:pt>
                      <c:pt idx="519">
                        <c:v>522</c:v>
                      </c:pt>
                      <c:pt idx="520">
                        <c:v>523</c:v>
                      </c:pt>
                      <c:pt idx="521">
                        <c:v>524</c:v>
                      </c:pt>
                      <c:pt idx="522">
                        <c:v>525</c:v>
                      </c:pt>
                      <c:pt idx="523">
                        <c:v>526</c:v>
                      </c:pt>
                      <c:pt idx="524">
                        <c:v>527</c:v>
                      </c:pt>
                      <c:pt idx="525">
                        <c:v>528</c:v>
                      </c:pt>
                      <c:pt idx="526">
                        <c:v>529</c:v>
                      </c:pt>
                      <c:pt idx="527">
                        <c:v>530</c:v>
                      </c:pt>
                      <c:pt idx="528">
                        <c:v>531</c:v>
                      </c:pt>
                      <c:pt idx="529">
                        <c:v>532</c:v>
                      </c:pt>
                      <c:pt idx="530">
                        <c:v>533</c:v>
                      </c:pt>
                      <c:pt idx="531">
                        <c:v>534</c:v>
                      </c:pt>
                      <c:pt idx="532">
                        <c:v>535</c:v>
                      </c:pt>
                      <c:pt idx="533">
                        <c:v>536</c:v>
                      </c:pt>
                      <c:pt idx="534">
                        <c:v>537</c:v>
                      </c:pt>
                      <c:pt idx="535">
                        <c:v>538</c:v>
                      </c:pt>
                      <c:pt idx="536">
                        <c:v>539</c:v>
                      </c:pt>
                      <c:pt idx="537">
                        <c:v>540</c:v>
                      </c:pt>
                      <c:pt idx="538">
                        <c:v>541</c:v>
                      </c:pt>
                      <c:pt idx="539">
                        <c:v>542</c:v>
                      </c:pt>
                      <c:pt idx="540">
                        <c:v>543</c:v>
                      </c:pt>
                      <c:pt idx="541">
                        <c:v>544</c:v>
                      </c:pt>
                      <c:pt idx="542">
                        <c:v>545</c:v>
                      </c:pt>
                      <c:pt idx="543">
                        <c:v>546</c:v>
                      </c:pt>
                      <c:pt idx="544">
                        <c:v>547</c:v>
                      </c:pt>
                      <c:pt idx="545">
                        <c:v>548</c:v>
                      </c:pt>
                      <c:pt idx="546">
                        <c:v>549</c:v>
                      </c:pt>
                      <c:pt idx="547">
                        <c:v>550</c:v>
                      </c:pt>
                      <c:pt idx="548">
                        <c:v>551</c:v>
                      </c:pt>
                      <c:pt idx="549">
                        <c:v>552</c:v>
                      </c:pt>
                      <c:pt idx="550">
                        <c:v>553</c:v>
                      </c:pt>
                      <c:pt idx="551">
                        <c:v>554</c:v>
                      </c:pt>
                      <c:pt idx="552">
                        <c:v>555</c:v>
                      </c:pt>
                      <c:pt idx="553">
                        <c:v>556</c:v>
                      </c:pt>
                      <c:pt idx="554">
                        <c:v>557</c:v>
                      </c:pt>
                      <c:pt idx="555">
                        <c:v>558</c:v>
                      </c:pt>
                      <c:pt idx="556">
                        <c:v>559</c:v>
                      </c:pt>
                      <c:pt idx="557">
                        <c:v>560</c:v>
                      </c:pt>
                      <c:pt idx="558">
                        <c:v>561</c:v>
                      </c:pt>
                      <c:pt idx="559">
                        <c:v>562</c:v>
                      </c:pt>
                      <c:pt idx="560">
                        <c:v>563</c:v>
                      </c:pt>
                      <c:pt idx="561">
                        <c:v>564</c:v>
                      </c:pt>
                      <c:pt idx="562">
                        <c:v>565</c:v>
                      </c:pt>
                      <c:pt idx="563">
                        <c:v>566</c:v>
                      </c:pt>
                      <c:pt idx="564">
                        <c:v>567</c:v>
                      </c:pt>
                      <c:pt idx="565">
                        <c:v>568</c:v>
                      </c:pt>
                      <c:pt idx="566">
                        <c:v>569</c:v>
                      </c:pt>
                      <c:pt idx="567">
                        <c:v>570</c:v>
                      </c:pt>
                      <c:pt idx="568">
                        <c:v>571</c:v>
                      </c:pt>
                      <c:pt idx="569">
                        <c:v>572</c:v>
                      </c:pt>
                      <c:pt idx="570">
                        <c:v>573</c:v>
                      </c:pt>
                      <c:pt idx="571">
                        <c:v>574</c:v>
                      </c:pt>
                      <c:pt idx="572">
                        <c:v>575</c:v>
                      </c:pt>
                      <c:pt idx="573">
                        <c:v>576</c:v>
                      </c:pt>
                      <c:pt idx="574">
                        <c:v>577</c:v>
                      </c:pt>
                      <c:pt idx="575">
                        <c:v>578</c:v>
                      </c:pt>
                      <c:pt idx="576">
                        <c:v>579</c:v>
                      </c:pt>
                      <c:pt idx="577">
                        <c:v>580</c:v>
                      </c:pt>
                      <c:pt idx="578">
                        <c:v>581</c:v>
                      </c:pt>
                      <c:pt idx="579">
                        <c:v>582</c:v>
                      </c:pt>
                      <c:pt idx="580">
                        <c:v>583</c:v>
                      </c:pt>
                      <c:pt idx="581">
                        <c:v>584</c:v>
                      </c:pt>
                      <c:pt idx="582">
                        <c:v>585</c:v>
                      </c:pt>
                      <c:pt idx="583">
                        <c:v>586</c:v>
                      </c:pt>
                      <c:pt idx="584">
                        <c:v>587</c:v>
                      </c:pt>
                      <c:pt idx="585">
                        <c:v>588</c:v>
                      </c:pt>
                      <c:pt idx="586">
                        <c:v>589</c:v>
                      </c:pt>
                      <c:pt idx="587">
                        <c:v>590</c:v>
                      </c:pt>
                      <c:pt idx="588">
                        <c:v>591</c:v>
                      </c:pt>
                      <c:pt idx="589">
                        <c:v>592</c:v>
                      </c:pt>
                      <c:pt idx="590">
                        <c:v>593</c:v>
                      </c:pt>
                      <c:pt idx="591">
                        <c:v>594</c:v>
                      </c:pt>
                      <c:pt idx="592">
                        <c:v>595</c:v>
                      </c:pt>
                      <c:pt idx="593">
                        <c:v>596</c:v>
                      </c:pt>
                      <c:pt idx="594">
                        <c:v>597</c:v>
                      </c:pt>
                      <c:pt idx="595">
                        <c:v>598</c:v>
                      </c:pt>
                      <c:pt idx="596">
                        <c:v>599</c:v>
                      </c:pt>
                      <c:pt idx="597">
                        <c:v>600</c:v>
                      </c:pt>
                      <c:pt idx="598">
                        <c:v>601</c:v>
                      </c:pt>
                      <c:pt idx="599">
                        <c:v>602</c:v>
                      </c:pt>
                      <c:pt idx="600">
                        <c:v>603</c:v>
                      </c:pt>
                      <c:pt idx="601">
                        <c:v>604</c:v>
                      </c:pt>
                      <c:pt idx="602">
                        <c:v>605</c:v>
                      </c:pt>
                      <c:pt idx="603">
                        <c:v>606</c:v>
                      </c:pt>
                      <c:pt idx="604">
                        <c:v>607</c:v>
                      </c:pt>
                      <c:pt idx="605">
                        <c:v>608</c:v>
                      </c:pt>
                      <c:pt idx="606">
                        <c:v>609</c:v>
                      </c:pt>
                      <c:pt idx="607">
                        <c:v>610</c:v>
                      </c:pt>
                      <c:pt idx="608">
                        <c:v>611</c:v>
                      </c:pt>
                      <c:pt idx="609">
                        <c:v>612</c:v>
                      </c:pt>
                      <c:pt idx="610">
                        <c:v>613</c:v>
                      </c:pt>
                      <c:pt idx="611">
                        <c:v>614</c:v>
                      </c:pt>
                      <c:pt idx="612">
                        <c:v>615</c:v>
                      </c:pt>
                      <c:pt idx="613">
                        <c:v>616</c:v>
                      </c:pt>
                      <c:pt idx="614">
                        <c:v>617</c:v>
                      </c:pt>
                      <c:pt idx="615">
                        <c:v>618</c:v>
                      </c:pt>
                      <c:pt idx="616">
                        <c:v>619</c:v>
                      </c:pt>
                      <c:pt idx="617">
                        <c:v>620</c:v>
                      </c:pt>
                      <c:pt idx="618">
                        <c:v>621</c:v>
                      </c:pt>
                      <c:pt idx="619">
                        <c:v>622</c:v>
                      </c:pt>
                      <c:pt idx="620">
                        <c:v>623</c:v>
                      </c:pt>
                      <c:pt idx="621">
                        <c:v>624</c:v>
                      </c:pt>
                      <c:pt idx="622">
                        <c:v>625</c:v>
                      </c:pt>
                      <c:pt idx="623">
                        <c:v>626</c:v>
                      </c:pt>
                      <c:pt idx="624">
                        <c:v>627</c:v>
                      </c:pt>
                      <c:pt idx="625">
                        <c:v>628</c:v>
                      </c:pt>
                      <c:pt idx="626">
                        <c:v>629</c:v>
                      </c:pt>
                      <c:pt idx="627">
                        <c:v>630</c:v>
                      </c:pt>
                      <c:pt idx="628">
                        <c:v>631</c:v>
                      </c:pt>
                      <c:pt idx="629">
                        <c:v>632</c:v>
                      </c:pt>
                      <c:pt idx="630">
                        <c:v>633</c:v>
                      </c:pt>
                      <c:pt idx="631">
                        <c:v>634</c:v>
                      </c:pt>
                      <c:pt idx="632">
                        <c:v>635</c:v>
                      </c:pt>
                      <c:pt idx="633">
                        <c:v>636</c:v>
                      </c:pt>
                      <c:pt idx="634">
                        <c:v>637</c:v>
                      </c:pt>
                      <c:pt idx="635">
                        <c:v>638</c:v>
                      </c:pt>
                      <c:pt idx="636">
                        <c:v>639</c:v>
                      </c:pt>
                      <c:pt idx="637">
                        <c:v>640</c:v>
                      </c:pt>
                      <c:pt idx="638">
                        <c:v>641</c:v>
                      </c:pt>
                      <c:pt idx="639">
                        <c:v>642</c:v>
                      </c:pt>
                      <c:pt idx="640">
                        <c:v>643</c:v>
                      </c:pt>
                      <c:pt idx="641">
                        <c:v>644</c:v>
                      </c:pt>
                      <c:pt idx="642">
                        <c:v>645</c:v>
                      </c:pt>
                      <c:pt idx="643">
                        <c:v>646</c:v>
                      </c:pt>
                      <c:pt idx="644">
                        <c:v>647</c:v>
                      </c:pt>
                      <c:pt idx="645">
                        <c:v>648</c:v>
                      </c:pt>
                      <c:pt idx="646">
                        <c:v>649</c:v>
                      </c:pt>
                      <c:pt idx="647">
                        <c:v>650</c:v>
                      </c:pt>
                      <c:pt idx="648">
                        <c:v>651</c:v>
                      </c:pt>
                      <c:pt idx="649">
                        <c:v>652</c:v>
                      </c:pt>
                      <c:pt idx="650">
                        <c:v>653</c:v>
                      </c:pt>
                      <c:pt idx="651">
                        <c:v>654</c:v>
                      </c:pt>
                      <c:pt idx="652">
                        <c:v>655</c:v>
                      </c:pt>
                      <c:pt idx="653">
                        <c:v>656</c:v>
                      </c:pt>
                      <c:pt idx="654">
                        <c:v>657</c:v>
                      </c:pt>
                      <c:pt idx="655">
                        <c:v>658</c:v>
                      </c:pt>
                      <c:pt idx="656">
                        <c:v>659</c:v>
                      </c:pt>
                      <c:pt idx="657">
                        <c:v>660</c:v>
                      </c:pt>
                      <c:pt idx="658">
                        <c:v>661</c:v>
                      </c:pt>
                      <c:pt idx="659">
                        <c:v>662</c:v>
                      </c:pt>
                      <c:pt idx="660">
                        <c:v>663</c:v>
                      </c:pt>
                      <c:pt idx="661">
                        <c:v>664</c:v>
                      </c:pt>
                      <c:pt idx="662">
                        <c:v>665</c:v>
                      </c:pt>
                      <c:pt idx="663">
                        <c:v>666</c:v>
                      </c:pt>
                      <c:pt idx="664">
                        <c:v>667</c:v>
                      </c:pt>
                      <c:pt idx="665">
                        <c:v>668</c:v>
                      </c:pt>
                      <c:pt idx="666">
                        <c:v>669</c:v>
                      </c:pt>
                      <c:pt idx="667">
                        <c:v>670</c:v>
                      </c:pt>
                      <c:pt idx="668">
                        <c:v>671</c:v>
                      </c:pt>
                      <c:pt idx="669">
                        <c:v>672</c:v>
                      </c:pt>
                      <c:pt idx="670">
                        <c:v>673</c:v>
                      </c:pt>
                      <c:pt idx="671">
                        <c:v>674</c:v>
                      </c:pt>
                      <c:pt idx="672">
                        <c:v>675</c:v>
                      </c:pt>
                      <c:pt idx="673">
                        <c:v>676</c:v>
                      </c:pt>
                      <c:pt idx="674">
                        <c:v>677</c:v>
                      </c:pt>
                      <c:pt idx="675">
                        <c:v>678</c:v>
                      </c:pt>
                      <c:pt idx="676">
                        <c:v>679</c:v>
                      </c:pt>
                      <c:pt idx="677">
                        <c:v>680</c:v>
                      </c:pt>
                      <c:pt idx="678">
                        <c:v>681</c:v>
                      </c:pt>
                      <c:pt idx="679">
                        <c:v>682</c:v>
                      </c:pt>
                      <c:pt idx="680">
                        <c:v>683</c:v>
                      </c:pt>
                      <c:pt idx="681">
                        <c:v>684</c:v>
                      </c:pt>
                      <c:pt idx="682">
                        <c:v>685</c:v>
                      </c:pt>
                      <c:pt idx="683">
                        <c:v>686</c:v>
                      </c:pt>
                      <c:pt idx="684">
                        <c:v>687</c:v>
                      </c:pt>
                      <c:pt idx="685">
                        <c:v>688</c:v>
                      </c:pt>
                      <c:pt idx="686">
                        <c:v>689</c:v>
                      </c:pt>
                      <c:pt idx="687">
                        <c:v>690</c:v>
                      </c:pt>
                      <c:pt idx="688">
                        <c:v>691</c:v>
                      </c:pt>
                      <c:pt idx="689">
                        <c:v>692</c:v>
                      </c:pt>
                      <c:pt idx="690">
                        <c:v>693</c:v>
                      </c:pt>
                      <c:pt idx="691">
                        <c:v>694</c:v>
                      </c:pt>
                      <c:pt idx="692">
                        <c:v>695</c:v>
                      </c:pt>
                      <c:pt idx="693">
                        <c:v>696</c:v>
                      </c:pt>
                      <c:pt idx="694">
                        <c:v>697</c:v>
                      </c:pt>
                      <c:pt idx="695">
                        <c:v>698</c:v>
                      </c:pt>
                      <c:pt idx="696">
                        <c:v>699</c:v>
                      </c:pt>
                      <c:pt idx="697">
                        <c:v>700</c:v>
                      </c:pt>
                      <c:pt idx="698">
                        <c:v>701</c:v>
                      </c:pt>
                      <c:pt idx="699">
                        <c:v>702</c:v>
                      </c:pt>
                      <c:pt idx="700">
                        <c:v>703</c:v>
                      </c:pt>
                      <c:pt idx="701">
                        <c:v>704</c:v>
                      </c:pt>
                      <c:pt idx="702">
                        <c:v>705</c:v>
                      </c:pt>
                      <c:pt idx="703">
                        <c:v>706</c:v>
                      </c:pt>
                      <c:pt idx="704">
                        <c:v>707</c:v>
                      </c:pt>
                      <c:pt idx="705">
                        <c:v>708</c:v>
                      </c:pt>
                      <c:pt idx="706">
                        <c:v>709</c:v>
                      </c:pt>
                      <c:pt idx="707">
                        <c:v>710</c:v>
                      </c:pt>
                      <c:pt idx="708">
                        <c:v>711</c:v>
                      </c:pt>
                      <c:pt idx="709">
                        <c:v>712</c:v>
                      </c:pt>
                      <c:pt idx="710">
                        <c:v>713</c:v>
                      </c:pt>
                      <c:pt idx="711">
                        <c:v>714</c:v>
                      </c:pt>
                      <c:pt idx="712">
                        <c:v>715</c:v>
                      </c:pt>
                      <c:pt idx="713">
                        <c:v>716</c:v>
                      </c:pt>
                      <c:pt idx="714">
                        <c:v>717</c:v>
                      </c:pt>
                      <c:pt idx="715">
                        <c:v>718</c:v>
                      </c:pt>
                      <c:pt idx="716">
                        <c:v>719</c:v>
                      </c:pt>
                      <c:pt idx="717">
                        <c:v>720</c:v>
                      </c:pt>
                      <c:pt idx="718">
                        <c:v>721</c:v>
                      </c:pt>
                      <c:pt idx="719">
                        <c:v>722</c:v>
                      </c:pt>
                      <c:pt idx="720">
                        <c:v>723</c:v>
                      </c:pt>
                      <c:pt idx="721">
                        <c:v>724</c:v>
                      </c:pt>
                      <c:pt idx="722">
                        <c:v>725</c:v>
                      </c:pt>
                      <c:pt idx="723">
                        <c:v>726</c:v>
                      </c:pt>
                      <c:pt idx="724">
                        <c:v>727</c:v>
                      </c:pt>
                      <c:pt idx="725">
                        <c:v>728</c:v>
                      </c:pt>
                      <c:pt idx="726">
                        <c:v>729</c:v>
                      </c:pt>
                      <c:pt idx="727">
                        <c:v>730</c:v>
                      </c:pt>
                      <c:pt idx="728">
                        <c:v>731</c:v>
                      </c:pt>
                      <c:pt idx="729">
                        <c:v>732</c:v>
                      </c:pt>
                      <c:pt idx="730">
                        <c:v>733</c:v>
                      </c:pt>
                      <c:pt idx="731">
                        <c:v>734</c:v>
                      </c:pt>
                      <c:pt idx="732">
                        <c:v>735</c:v>
                      </c:pt>
                      <c:pt idx="733">
                        <c:v>736</c:v>
                      </c:pt>
                      <c:pt idx="734">
                        <c:v>737</c:v>
                      </c:pt>
                      <c:pt idx="735">
                        <c:v>738</c:v>
                      </c:pt>
                      <c:pt idx="736">
                        <c:v>739</c:v>
                      </c:pt>
                      <c:pt idx="737">
                        <c:v>740</c:v>
                      </c:pt>
                      <c:pt idx="738">
                        <c:v>741</c:v>
                      </c:pt>
                      <c:pt idx="739">
                        <c:v>742</c:v>
                      </c:pt>
                      <c:pt idx="740">
                        <c:v>743</c:v>
                      </c:pt>
                      <c:pt idx="741">
                        <c:v>744</c:v>
                      </c:pt>
                      <c:pt idx="742">
                        <c:v>745</c:v>
                      </c:pt>
                      <c:pt idx="743">
                        <c:v>746</c:v>
                      </c:pt>
                      <c:pt idx="744">
                        <c:v>747</c:v>
                      </c:pt>
                      <c:pt idx="745">
                        <c:v>748</c:v>
                      </c:pt>
                      <c:pt idx="746">
                        <c:v>749</c:v>
                      </c:pt>
                      <c:pt idx="747">
                        <c:v>750</c:v>
                      </c:pt>
                      <c:pt idx="748">
                        <c:v>751</c:v>
                      </c:pt>
                      <c:pt idx="749">
                        <c:v>752</c:v>
                      </c:pt>
                      <c:pt idx="750">
                        <c:v>753</c:v>
                      </c:pt>
                      <c:pt idx="751">
                        <c:v>754</c:v>
                      </c:pt>
                      <c:pt idx="752">
                        <c:v>755</c:v>
                      </c:pt>
                      <c:pt idx="753">
                        <c:v>756</c:v>
                      </c:pt>
                      <c:pt idx="754">
                        <c:v>757</c:v>
                      </c:pt>
                      <c:pt idx="755">
                        <c:v>758</c:v>
                      </c:pt>
                      <c:pt idx="756">
                        <c:v>759</c:v>
                      </c:pt>
                      <c:pt idx="757">
                        <c:v>760</c:v>
                      </c:pt>
                      <c:pt idx="758">
                        <c:v>761</c:v>
                      </c:pt>
                      <c:pt idx="759">
                        <c:v>762</c:v>
                      </c:pt>
                      <c:pt idx="760">
                        <c:v>763</c:v>
                      </c:pt>
                      <c:pt idx="761">
                        <c:v>764</c:v>
                      </c:pt>
                      <c:pt idx="762">
                        <c:v>765</c:v>
                      </c:pt>
                      <c:pt idx="763">
                        <c:v>766</c:v>
                      </c:pt>
                      <c:pt idx="764">
                        <c:v>767</c:v>
                      </c:pt>
                      <c:pt idx="765">
                        <c:v>768</c:v>
                      </c:pt>
                      <c:pt idx="766">
                        <c:v>769</c:v>
                      </c:pt>
                      <c:pt idx="767">
                        <c:v>770</c:v>
                      </c:pt>
                      <c:pt idx="768">
                        <c:v>771</c:v>
                      </c:pt>
                      <c:pt idx="769">
                        <c:v>772</c:v>
                      </c:pt>
                      <c:pt idx="770">
                        <c:v>773</c:v>
                      </c:pt>
                      <c:pt idx="771">
                        <c:v>774</c:v>
                      </c:pt>
                      <c:pt idx="772">
                        <c:v>775</c:v>
                      </c:pt>
                      <c:pt idx="773">
                        <c:v>776</c:v>
                      </c:pt>
                      <c:pt idx="774">
                        <c:v>777</c:v>
                      </c:pt>
                      <c:pt idx="775">
                        <c:v>778</c:v>
                      </c:pt>
                      <c:pt idx="776">
                        <c:v>779</c:v>
                      </c:pt>
                      <c:pt idx="777">
                        <c:v>780</c:v>
                      </c:pt>
                      <c:pt idx="778">
                        <c:v>781</c:v>
                      </c:pt>
                      <c:pt idx="779">
                        <c:v>782</c:v>
                      </c:pt>
                      <c:pt idx="780">
                        <c:v>783</c:v>
                      </c:pt>
                      <c:pt idx="781">
                        <c:v>784</c:v>
                      </c:pt>
                      <c:pt idx="782">
                        <c:v>785</c:v>
                      </c:pt>
                      <c:pt idx="783">
                        <c:v>786</c:v>
                      </c:pt>
                      <c:pt idx="784">
                        <c:v>787</c:v>
                      </c:pt>
                      <c:pt idx="785">
                        <c:v>788</c:v>
                      </c:pt>
                      <c:pt idx="786">
                        <c:v>789</c:v>
                      </c:pt>
                      <c:pt idx="787">
                        <c:v>790</c:v>
                      </c:pt>
                      <c:pt idx="788">
                        <c:v>791</c:v>
                      </c:pt>
                      <c:pt idx="789">
                        <c:v>792</c:v>
                      </c:pt>
                      <c:pt idx="790">
                        <c:v>793</c:v>
                      </c:pt>
                      <c:pt idx="791">
                        <c:v>794</c:v>
                      </c:pt>
                      <c:pt idx="792">
                        <c:v>795</c:v>
                      </c:pt>
                      <c:pt idx="793">
                        <c:v>796</c:v>
                      </c:pt>
                      <c:pt idx="794">
                        <c:v>797</c:v>
                      </c:pt>
                      <c:pt idx="795">
                        <c:v>798</c:v>
                      </c:pt>
                      <c:pt idx="796">
                        <c:v>799</c:v>
                      </c:pt>
                      <c:pt idx="797">
                        <c:v>800</c:v>
                      </c:pt>
                      <c:pt idx="798">
                        <c:v>801</c:v>
                      </c:pt>
                      <c:pt idx="799">
                        <c:v>802</c:v>
                      </c:pt>
                      <c:pt idx="800">
                        <c:v>803</c:v>
                      </c:pt>
                      <c:pt idx="801">
                        <c:v>804</c:v>
                      </c:pt>
                      <c:pt idx="802">
                        <c:v>805</c:v>
                      </c:pt>
                      <c:pt idx="803">
                        <c:v>806</c:v>
                      </c:pt>
                      <c:pt idx="804">
                        <c:v>807</c:v>
                      </c:pt>
                      <c:pt idx="805">
                        <c:v>808</c:v>
                      </c:pt>
                      <c:pt idx="806">
                        <c:v>809</c:v>
                      </c:pt>
                      <c:pt idx="807">
                        <c:v>810</c:v>
                      </c:pt>
                      <c:pt idx="808">
                        <c:v>811</c:v>
                      </c:pt>
                      <c:pt idx="809">
                        <c:v>812</c:v>
                      </c:pt>
                      <c:pt idx="810">
                        <c:v>813</c:v>
                      </c:pt>
                      <c:pt idx="811">
                        <c:v>814</c:v>
                      </c:pt>
                      <c:pt idx="812">
                        <c:v>815</c:v>
                      </c:pt>
                      <c:pt idx="813">
                        <c:v>816</c:v>
                      </c:pt>
                      <c:pt idx="814">
                        <c:v>817</c:v>
                      </c:pt>
                      <c:pt idx="815">
                        <c:v>818</c:v>
                      </c:pt>
                      <c:pt idx="816">
                        <c:v>819</c:v>
                      </c:pt>
                      <c:pt idx="817">
                        <c:v>820</c:v>
                      </c:pt>
                      <c:pt idx="818">
                        <c:v>821</c:v>
                      </c:pt>
                      <c:pt idx="819">
                        <c:v>822</c:v>
                      </c:pt>
                      <c:pt idx="820">
                        <c:v>823</c:v>
                      </c:pt>
                      <c:pt idx="821">
                        <c:v>824</c:v>
                      </c:pt>
                      <c:pt idx="822">
                        <c:v>825</c:v>
                      </c:pt>
                      <c:pt idx="823">
                        <c:v>826</c:v>
                      </c:pt>
                      <c:pt idx="824">
                        <c:v>827</c:v>
                      </c:pt>
                      <c:pt idx="825">
                        <c:v>828</c:v>
                      </c:pt>
                      <c:pt idx="826">
                        <c:v>829</c:v>
                      </c:pt>
                      <c:pt idx="827">
                        <c:v>830</c:v>
                      </c:pt>
                      <c:pt idx="828">
                        <c:v>831</c:v>
                      </c:pt>
                      <c:pt idx="829">
                        <c:v>832</c:v>
                      </c:pt>
                      <c:pt idx="830">
                        <c:v>833</c:v>
                      </c:pt>
                      <c:pt idx="831">
                        <c:v>834</c:v>
                      </c:pt>
                      <c:pt idx="832">
                        <c:v>835</c:v>
                      </c:pt>
                      <c:pt idx="833">
                        <c:v>836</c:v>
                      </c:pt>
                      <c:pt idx="834">
                        <c:v>837</c:v>
                      </c:pt>
                      <c:pt idx="835">
                        <c:v>838</c:v>
                      </c:pt>
                      <c:pt idx="836">
                        <c:v>839</c:v>
                      </c:pt>
                      <c:pt idx="837">
                        <c:v>840</c:v>
                      </c:pt>
                      <c:pt idx="838">
                        <c:v>841</c:v>
                      </c:pt>
                      <c:pt idx="839">
                        <c:v>842</c:v>
                      </c:pt>
                      <c:pt idx="840">
                        <c:v>843</c:v>
                      </c:pt>
                      <c:pt idx="841">
                        <c:v>844</c:v>
                      </c:pt>
                      <c:pt idx="842">
                        <c:v>845</c:v>
                      </c:pt>
                      <c:pt idx="843">
                        <c:v>846</c:v>
                      </c:pt>
                      <c:pt idx="844">
                        <c:v>847</c:v>
                      </c:pt>
                      <c:pt idx="845">
                        <c:v>848</c:v>
                      </c:pt>
                      <c:pt idx="846">
                        <c:v>849</c:v>
                      </c:pt>
                      <c:pt idx="847">
                        <c:v>850</c:v>
                      </c:pt>
                      <c:pt idx="848">
                        <c:v>851</c:v>
                      </c:pt>
                      <c:pt idx="849">
                        <c:v>852</c:v>
                      </c:pt>
                      <c:pt idx="850">
                        <c:v>853</c:v>
                      </c:pt>
                      <c:pt idx="851">
                        <c:v>854</c:v>
                      </c:pt>
                      <c:pt idx="852">
                        <c:v>855</c:v>
                      </c:pt>
                      <c:pt idx="853">
                        <c:v>856</c:v>
                      </c:pt>
                      <c:pt idx="854">
                        <c:v>857</c:v>
                      </c:pt>
                      <c:pt idx="855">
                        <c:v>858</c:v>
                      </c:pt>
                      <c:pt idx="856">
                        <c:v>859</c:v>
                      </c:pt>
                      <c:pt idx="857">
                        <c:v>860</c:v>
                      </c:pt>
                      <c:pt idx="858">
                        <c:v>861</c:v>
                      </c:pt>
                      <c:pt idx="859">
                        <c:v>862</c:v>
                      </c:pt>
                      <c:pt idx="860">
                        <c:v>863</c:v>
                      </c:pt>
                      <c:pt idx="861">
                        <c:v>864</c:v>
                      </c:pt>
                      <c:pt idx="862">
                        <c:v>865</c:v>
                      </c:pt>
                      <c:pt idx="863">
                        <c:v>866</c:v>
                      </c:pt>
                      <c:pt idx="864">
                        <c:v>867</c:v>
                      </c:pt>
                      <c:pt idx="865">
                        <c:v>868</c:v>
                      </c:pt>
                      <c:pt idx="866">
                        <c:v>869</c:v>
                      </c:pt>
                      <c:pt idx="867">
                        <c:v>870</c:v>
                      </c:pt>
                      <c:pt idx="868">
                        <c:v>871</c:v>
                      </c:pt>
                      <c:pt idx="869">
                        <c:v>872</c:v>
                      </c:pt>
                      <c:pt idx="870">
                        <c:v>873</c:v>
                      </c:pt>
                      <c:pt idx="871">
                        <c:v>874</c:v>
                      </c:pt>
                      <c:pt idx="872">
                        <c:v>875</c:v>
                      </c:pt>
                      <c:pt idx="873">
                        <c:v>876</c:v>
                      </c:pt>
                      <c:pt idx="874">
                        <c:v>877</c:v>
                      </c:pt>
                      <c:pt idx="875">
                        <c:v>878</c:v>
                      </c:pt>
                      <c:pt idx="876">
                        <c:v>879</c:v>
                      </c:pt>
                      <c:pt idx="877">
                        <c:v>880</c:v>
                      </c:pt>
                      <c:pt idx="878">
                        <c:v>881</c:v>
                      </c:pt>
                      <c:pt idx="879">
                        <c:v>882</c:v>
                      </c:pt>
                      <c:pt idx="880">
                        <c:v>883</c:v>
                      </c:pt>
                      <c:pt idx="881">
                        <c:v>884</c:v>
                      </c:pt>
                      <c:pt idx="882">
                        <c:v>885</c:v>
                      </c:pt>
                      <c:pt idx="883">
                        <c:v>886</c:v>
                      </c:pt>
                      <c:pt idx="884">
                        <c:v>887</c:v>
                      </c:pt>
                      <c:pt idx="885">
                        <c:v>888</c:v>
                      </c:pt>
                      <c:pt idx="886">
                        <c:v>889</c:v>
                      </c:pt>
                      <c:pt idx="887">
                        <c:v>890</c:v>
                      </c:pt>
                      <c:pt idx="888">
                        <c:v>891</c:v>
                      </c:pt>
                      <c:pt idx="889">
                        <c:v>892</c:v>
                      </c:pt>
                      <c:pt idx="890">
                        <c:v>893</c:v>
                      </c:pt>
                      <c:pt idx="891">
                        <c:v>894</c:v>
                      </c:pt>
                      <c:pt idx="892">
                        <c:v>895</c:v>
                      </c:pt>
                      <c:pt idx="893">
                        <c:v>896</c:v>
                      </c:pt>
                      <c:pt idx="894">
                        <c:v>897</c:v>
                      </c:pt>
                      <c:pt idx="895">
                        <c:v>898</c:v>
                      </c:pt>
                      <c:pt idx="896">
                        <c:v>899</c:v>
                      </c:pt>
                      <c:pt idx="897">
                        <c:v>900</c:v>
                      </c:pt>
                      <c:pt idx="898">
                        <c:v>901</c:v>
                      </c:pt>
                      <c:pt idx="899">
                        <c:v>902</c:v>
                      </c:pt>
                      <c:pt idx="900">
                        <c:v>903</c:v>
                      </c:pt>
                      <c:pt idx="901">
                        <c:v>904</c:v>
                      </c:pt>
                      <c:pt idx="902">
                        <c:v>905</c:v>
                      </c:pt>
                      <c:pt idx="903">
                        <c:v>906</c:v>
                      </c:pt>
                      <c:pt idx="904">
                        <c:v>907</c:v>
                      </c:pt>
                      <c:pt idx="905">
                        <c:v>908</c:v>
                      </c:pt>
                      <c:pt idx="906">
                        <c:v>909</c:v>
                      </c:pt>
                      <c:pt idx="907">
                        <c:v>910</c:v>
                      </c:pt>
                      <c:pt idx="908">
                        <c:v>911</c:v>
                      </c:pt>
                      <c:pt idx="909">
                        <c:v>912</c:v>
                      </c:pt>
                      <c:pt idx="910">
                        <c:v>913</c:v>
                      </c:pt>
                      <c:pt idx="911">
                        <c:v>914</c:v>
                      </c:pt>
                      <c:pt idx="912">
                        <c:v>915</c:v>
                      </c:pt>
                      <c:pt idx="913">
                        <c:v>916</c:v>
                      </c:pt>
                      <c:pt idx="914">
                        <c:v>917</c:v>
                      </c:pt>
                      <c:pt idx="915">
                        <c:v>918</c:v>
                      </c:pt>
                      <c:pt idx="916">
                        <c:v>919</c:v>
                      </c:pt>
                      <c:pt idx="917">
                        <c:v>920</c:v>
                      </c:pt>
                      <c:pt idx="918">
                        <c:v>921</c:v>
                      </c:pt>
                      <c:pt idx="919">
                        <c:v>922</c:v>
                      </c:pt>
                      <c:pt idx="920">
                        <c:v>923</c:v>
                      </c:pt>
                      <c:pt idx="921">
                        <c:v>924</c:v>
                      </c:pt>
                      <c:pt idx="922">
                        <c:v>925</c:v>
                      </c:pt>
                      <c:pt idx="923">
                        <c:v>926</c:v>
                      </c:pt>
                      <c:pt idx="924">
                        <c:v>927</c:v>
                      </c:pt>
                      <c:pt idx="925">
                        <c:v>928</c:v>
                      </c:pt>
                      <c:pt idx="926">
                        <c:v>929</c:v>
                      </c:pt>
                      <c:pt idx="927">
                        <c:v>930</c:v>
                      </c:pt>
                      <c:pt idx="928">
                        <c:v>931</c:v>
                      </c:pt>
                      <c:pt idx="929">
                        <c:v>932</c:v>
                      </c:pt>
                      <c:pt idx="930">
                        <c:v>933</c:v>
                      </c:pt>
                      <c:pt idx="931">
                        <c:v>934</c:v>
                      </c:pt>
                      <c:pt idx="932">
                        <c:v>935</c:v>
                      </c:pt>
                      <c:pt idx="933">
                        <c:v>936</c:v>
                      </c:pt>
                      <c:pt idx="934">
                        <c:v>937</c:v>
                      </c:pt>
                      <c:pt idx="935">
                        <c:v>938</c:v>
                      </c:pt>
                      <c:pt idx="936">
                        <c:v>939</c:v>
                      </c:pt>
                      <c:pt idx="937">
                        <c:v>940</c:v>
                      </c:pt>
                      <c:pt idx="938">
                        <c:v>941</c:v>
                      </c:pt>
                      <c:pt idx="939">
                        <c:v>942</c:v>
                      </c:pt>
                      <c:pt idx="940">
                        <c:v>943</c:v>
                      </c:pt>
                      <c:pt idx="941">
                        <c:v>944</c:v>
                      </c:pt>
                      <c:pt idx="942">
                        <c:v>945</c:v>
                      </c:pt>
                      <c:pt idx="943">
                        <c:v>946</c:v>
                      </c:pt>
                      <c:pt idx="944">
                        <c:v>947</c:v>
                      </c:pt>
                      <c:pt idx="945">
                        <c:v>948</c:v>
                      </c:pt>
                      <c:pt idx="946">
                        <c:v>949</c:v>
                      </c:pt>
                      <c:pt idx="947">
                        <c:v>950</c:v>
                      </c:pt>
                      <c:pt idx="948">
                        <c:v>951</c:v>
                      </c:pt>
                      <c:pt idx="949">
                        <c:v>952</c:v>
                      </c:pt>
                      <c:pt idx="950">
                        <c:v>953</c:v>
                      </c:pt>
                      <c:pt idx="951">
                        <c:v>954</c:v>
                      </c:pt>
                      <c:pt idx="952">
                        <c:v>955</c:v>
                      </c:pt>
                      <c:pt idx="953">
                        <c:v>956</c:v>
                      </c:pt>
                      <c:pt idx="954">
                        <c:v>957</c:v>
                      </c:pt>
                      <c:pt idx="955">
                        <c:v>958</c:v>
                      </c:pt>
                      <c:pt idx="956">
                        <c:v>959</c:v>
                      </c:pt>
                      <c:pt idx="957">
                        <c:v>960</c:v>
                      </c:pt>
                      <c:pt idx="958">
                        <c:v>961</c:v>
                      </c:pt>
                      <c:pt idx="959">
                        <c:v>962</c:v>
                      </c:pt>
                      <c:pt idx="960">
                        <c:v>963</c:v>
                      </c:pt>
                      <c:pt idx="961">
                        <c:v>964</c:v>
                      </c:pt>
                      <c:pt idx="962">
                        <c:v>965</c:v>
                      </c:pt>
                      <c:pt idx="963">
                        <c:v>966</c:v>
                      </c:pt>
                      <c:pt idx="964">
                        <c:v>967</c:v>
                      </c:pt>
                      <c:pt idx="965">
                        <c:v>968</c:v>
                      </c:pt>
                      <c:pt idx="966">
                        <c:v>969</c:v>
                      </c:pt>
                      <c:pt idx="967">
                        <c:v>970</c:v>
                      </c:pt>
                      <c:pt idx="968">
                        <c:v>971</c:v>
                      </c:pt>
                      <c:pt idx="969">
                        <c:v>972</c:v>
                      </c:pt>
                      <c:pt idx="970">
                        <c:v>973</c:v>
                      </c:pt>
                      <c:pt idx="971">
                        <c:v>974</c:v>
                      </c:pt>
                      <c:pt idx="972">
                        <c:v>975</c:v>
                      </c:pt>
                      <c:pt idx="973">
                        <c:v>976</c:v>
                      </c:pt>
                      <c:pt idx="974">
                        <c:v>977</c:v>
                      </c:pt>
                      <c:pt idx="975">
                        <c:v>978</c:v>
                      </c:pt>
                      <c:pt idx="976">
                        <c:v>979</c:v>
                      </c:pt>
                      <c:pt idx="977">
                        <c:v>980</c:v>
                      </c:pt>
                      <c:pt idx="978">
                        <c:v>981</c:v>
                      </c:pt>
                      <c:pt idx="979">
                        <c:v>982</c:v>
                      </c:pt>
                      <c:pt idx="980">
                        <c:v>983</c:v>
                      </c:pt>
                      <c:pt idx="981">
                        <c:v>984</c:v>
                      </c:pt>
                      <c:pt idx="982">
                        <c:v>985</c:v>
                      </c:pt>
                      <c:pt idx="983">
                        <c:v>986</c:v>
                      </c:pt>
                      <c:pt idx="984">
                        <c:v>987</c:v>
                      </c:pt>
                      <c:pt idx="985">
                        <c:v>988</c:v>
                      </c:pt>
                      <c:pt idx="986">
                        <c:v>989</c:v>
                      </c:pt>
                      <c:pt idx="987">
                        <c:v>990</c:v>
                      </c:pt>
                      <c:pt idx="988">
                        <c:v>991</c:v>
                      </c:pt>
                      <c:pt idx="989">
                        <c:v>992</c:v>
                      </c:pt>
                      <c:pt idx="990">
                        <c:v>993</c:v>
                      </c:pt>
                      <c:pt idx="991">
                        <c:v>994</c:v>
                      </c:pt>
                      <c:pt idx="992">
                        <c:v>995</c:v>
                      </c:pt>
                      <c:pt idx="993">
                        <c:v>996</c:v>
                      </c:pt>
                      <c:pt idx="994">
                        <c:v>997</c:v>
                      </c:pt>
                      <c:pt idx="995">
                        <c:v>998</c:v>
                      </c:pt>
                      <c:pt idx="996">
                        <c:v>999</c:v>
                      </c:pt>
                      <c:pt idx="997">
                        <c:v>1000</c:v>
                      </c:pt>
                      <c:pt idx="998">
                        <c:v>1001</c:v>
                      </c:pt>
                      <c:pt idx="999">
                        <c:v>1002</c:v>
                      </c:pt>
                      <c:pt idx="1000">
                        <c:v>1003</c:v>
                      </c:pt>
                      <c:pt idx="1001">
                        <c:v>1004</c:v>
                      </c:pt>
                      <c:pt idx="1002">
                        <c:v>1005</c:v>
                      </c:pt>
                      <c:pt idx="1003">
                        <c:v>1006</c:v>
                      </c:pt>
                      <c:pt idx="1004">
                        <c:v>1007</c:v>
                      </c:pt>
                      <c:pt idx="1005">
                        <c:v>1008</c:v>
                      </c:pt>
                      <c:pt idx="1006">
                        <c:v>1009</c:v>
                      </c:pt>
                      <c:pt idx="1007">
                        <c:v>1010</c:v>
                      </c:pt>
                      <c:pt idx="1008">
                        <c:v>1011</c:v>
                      </c:pt>
                      <c:pt idx="1009">
                        <c:v>1012</c:v>
                      </c:pt>
                      <c:pt idx="1010">
                        <c:v>1013</c:v>
                      </c:pt>
                      <c:pt idx="1011">
                        <c:v>1014</c:v>
                      </c:pt>
                      <c:pt idx="1012">
                        <c:v>1015</c:v>
                      </c:pt>
                      <c:pt idx="1013">
                        <c:v>1016</c:v>
                      </c:pt>
                      <c:pt idx="1014">
                        <c:v>1017</c:v>
                      </c:pt>
                      <c:pt idx="1015">
                        <c:v>1018</c:v>
                      </c:pt>
                      <c:pt idx="1016">
                        <c:v>1019</c:v>
                      </c:pt>
                      <c:pt idx="1017">
                        <c:v>1020</c:v>
                      </c:pt>
                      <c:pt idx="1018">
                        <c:v>1021</c:v>
                      </c:pt>
                      <c:pt idx="1019">
                        <c:v>1022</c:v>
                      </c:pt>
                      <c:pt idx="1020">
                        <c:v>1023</c:v>
                      </c:pt>
                      <c:pt idx="1021">
                        <c:v>1024</c:v>
                      </c:pt>
                      <c:pt idx="1022">
                        <c:v>1025</c:v>
                      </c:pt>
                      <c:pt idx="1023">
                        <c:v>1026</c:v>
                      </c:pt>
                      <c:pt idx="1024">
                        <c:v>1027</c:v>
                      </c:pt>
                      <c:pt idx="1025">
                        <c:v>1028</c:v>
                      </c:pt>
                      <c:pt idx="1026">
                        <c:v>1029</c:v>
                      </c:pt>
                      <c:pt idx="1027">
                        <c:v>1030</c:v>
                      </c:pt>
                      <c:pt idx="1028">
                        <c:v>1031</c:v>
                      </c:pt>
                      <c:pt idx="1029">
                        <c:v>1032</c:v>
                      </c:pt>
                      <c:pt idx="1030">
                        <c:v>1033</c:v>
                      </c:pt>
                      <c:pt idx="1031">
                        <c:v>1034</c:v>
                      </c:pt>
                      <c:pt idx="1032">
                        <c:v>1035</c:v>
                      </c:pt>
                      <c:pt idx="1033">
                        <c:v>1036</c:v>
                      </c:pt>
                      <c:pt idx="1034">
                        <c:v>1037</c:v>
                      </c:pt>
                      <c:pt idx="1035">
                        <c:v>1038</c:v>
                      </c:pt>
                      <c:pt idx="1036">
                        <c:v>1039</c:v>
                      </c:pt>
                      <c:pt idx="1037">
                        <c:v>1040</c:v>
                      </c:pt>
                      <c:pt idx="1038">
                        <c:v>1041</c:v>
                      </c:pt>
                      <c:pt idx="1039">
                        <c:v>1042</c:v>
                      </c:pt>
                      <c:pt idx="1040">
                        <c:v>1043</c:v>
                      </c:pt>
                      <c:pt idx="1041">
                        <c:v>1044</c:v>
                      </c:pt>
                      <c:pt idx="1042">
                        <c:v>1045</c:v>
                      </c:pt>
                      <c:pt idx="1043">
                        <c:v>1046</c:v>
                      </c:pt>
                      <c:pt idx="1044">
                        <c:v>1047</c:v>
                      </c:pt>
                      <c:pt idx="1045">
                        <c:v>1048</c:v>
                      </c:pt>
                      <c:pt idx="1046">
                        <c:v>1049</c:v>
                      </c:pt>
                      <c:pt idx="1047">
                        <c:v>1050</c:v>
                      </c:pt>
                      <c:pt idx="1048">
                        <c:v>1051</c:v>
                      </c:pt>
                      <c:pt idx="1049">
                        <c:v>1052</c:v>
                      </c:pt>
                      <c:pt idx="1050">
                        <c:v>1053</c:v>
                      </c:pt>
                      <c:pt idx="1051">
                        <c:v>1054</c:v>
                      </c:pt>
                      <c:pt idx="1052">
                        <c:v>1055</c:v>
                      </c:pt>
                      <c:pt idx="1053">
                        <c:v>1056</c:v>
                      </c:pt>
                      <c:pt idx="1054">
                        <c:v>1057</c:v>
                      </c:pt>
                      <c:pt idx="1055">
                        <c:v>1058</c:v>
                      </c:pt>
                      <c:pt idx="1056">
                        <c:v>1059</c:v>
                      </c:pt>
                      <c:pt idx="1057">
                        <c:v>1060</c:v>
                      </c:pt>
                      <c:pt idx="1058">
                        <c:v>1061</c:v>
                      </c:pt>
                      <c:pt idx="1059">
                        <c:v>1062</c:v>
                      </c:pt>
                      <c:pt idx="1060">
                        <c:v>1063</c:v>
                      </c:pt>
                      <c:pt idx="1061">
                        <c:v>1064</c:v>
                      </c:pt>
                      <c:pt idx="1062">
                        <c:v>1065</c:v>
                      </c:pt>
                      <c:pt idx="1063">
                        <c:v>1066</c:v>
                      </c:pt>
                      <c:pt idx="1064">
                        <c:v>1067</c:v>
                      </c:pt>
                      <c:pt idx="1065">
                        <c:v>1068</c:v>
                      </c:pt>
                      <c:pt idx="1066">
                        <c:v>1069</c:v>
                      </c:pt>
                      <c:pt idx="1067">
                        <c:v>1070</c:v>
                      </c:pt>
                      <c:pt idx="1068">
                        <c:v>1071</c:v>
                      </c:pt>
                      <c:pt idx="1069">
                        <c:v>1072</c:v>
                      </c:pt>
                      <c:pt idx="1070">
                        <c:v>1073</c:v>
                      </c:pt>
                      <c:pt idx="1071">
                        <c:v>1074</c:v>
                      </c:pt>
                      <c:pt idx="1072">
                        <c:v>1075</c:v>
                      </c:pt>
                      <c:pt idx="1073">
                        <c:v>1076</c:v>
                      </c:pt>
                      <c:pt idx="1074">
                        <c:v>1077</c:v>
                      </c:pt>
                      <c:pt idx="1075">
                        <c:v>1078</c:v>
                      </c:pt>
                      <c:pt idx="1076">
                        <c:v>1079</c:v>
                      </c:pt>
                      <c:pt idx="1077">
                        <c:v>1080</c:v>
                      </c:pt>
                      <c:pt idx="1078">
                        <c:v>1081</c:v>
                      </c:pt>
                      <c:pt idx="1079">
                        <c:v>1082</c:v>
                      </c:pt>
                      <c:pt idx="1080">
                        <c:v>1083</c:v>
                      </c:pt>
                      <c:pt idx="1081">
                        <c:v>1084</c:v>
                      </c:pt>
                      <c:pt idx="1082">
                        <c:v>1085</c:v>
                      </c:pt>
                      <c:pt idx="1083">
                        <c:v>1086</c:v>
                      </c:pt>
                      <c:pt idx="1084">
                        <c:v>1087</c:v>
                      </c:pt>
                      <c:pt idx="1085">
                        <c:v>1088</c:v>
                      </c:pt>
                      <c:pt idx="1086">
                        <c:v>1089</c:v>
                      </c:pt>
                      <c:pt idx="1087">
                        <c:v>1090</c:v>
                      </c:pt>
                      <c:pt idx="1088">
                        <c:v>1091</c:v>
                      </c:pt>
                      <c:pt idx="1089">
                        <c:v>1092</c:v>
                      </c:pt>
                      <c:pt idx="1090">
                        <c:v>1093</c:v>
                      </c:pt>
                      <c:pt idx="1091">
                        <c:v>1094</c:v>
                      </c:pt>
                      <c:pt idx="1092">
                        <c:v>1095</c:v>
                      </c:pt>
                      <c:pt idx="1093">
                        <c:v>1096</c:v>
                      </c:pt>
                      <c:pt idx="1094">
                        <c:v>1097</c:v>
                      </c:pt>
                      <c:pt idx="1095">
                        <c:v>1098</c:v>
                      </c:pt>
                      <c:pt idx="1096">
                        <c:v>1099</c:v>
                      </c:pt>
                      <c:pt idx="1097">
                        <c:v>1100</c:v>
                      </c:pt>
                      <c:pt idx="1098">
                        <c:v>1101</c:v>
                      </c:pt>
                      <c:pt idx="1099">
                        <c:v>1102</c:v>
                      </c:pt>
                      <c:pt idx="1100">
                        <c:v>1103</c:v>
                      </c:pt>
                      <c:pt idx="1101">
                        <c:v>1104</c:v>
                      </c:pt>
                      <c:pt idx="1102">
                        <c:v>1105</c:v>
                      </c:pt>
                      <c:pt idx="1103">
                        <c:v>1106</c:v>
                      </c:pt>
                      <c:pt idx="1104">
                        <c:v>1107</c:v>
                      </c:pt>
                      <c:pt idx="1105">
                        <c:v>1108</c:v>
                      </c:pt>
                      <c:pt idx="1106">
                        <c:v>1109</c:v>
                      </c:pt>
                      <c:pt idx="1107">
                        <c:v>1110</c:v>
                      </c:pt>
                      <c:pt idx="1108">
                        <c:v>1111</c:v>
                      </c:pt>
                      <c:pt idx="1109">
                        <c:v>1112</c:v>
                      </c:pt>
                      <c:pt idx="1110">
                        <c:v>1113</c:v>
                      </c:pt>
                      <c:pt idx="1111">
                        <c:v>1114</c:v>
                      </c:pt>
                      <c:pt idx="1112">
                        <c:v>1115</c:v>
                      </c:pt>
                      <c:pt idx="1113">
                        <c:v>1116</c:v>
                      </c:pt>
                      <c:pt idx="1114">
                        <c:v>1117</c:v>
                      </c:pt>
                      <c:pt idx="1115">
                        <c:v>1118</c:v>
                      </c:pt>
                      <c:pt idx="1116">
                        <c:v>1119</c:v>
                      </c:pt>
                      <c:pt idx="1117">
                        <c:v>1120</c:v>
                      </c:pt>
                      <c:pt idx="1118">
                        <c:v>1121</c:v>
                      </c:pt>
                      <c:pt idx="1119">
                        <c:v>1122</c:v>
                      </c:pt>
                      <c:pt idx="1120">
                        <c:v>1123</c:v>
                      </c:pt>
                      <c:pt idx="1121">
                        <c:v>1124</c:v>
                      </c:pt>
                      <c:pt idx="1122">
                        <c:v>1125</c:v>
                      </c:pt>
                      <c:pt idx="1123">
                        <c:v>1126</c:v>
                      </c:pt>
                      <c:pt idx="1124">
                        <c:v>1127</c:v>
                      </c:pt>
                      <c:pt idx="1125">
                        <c:v>1128</c:v>
                      </c:pt>
                      <c:pt idx="1126">
                        <c:v>1129</c:v>
                      </c:pt>
                      <c:pt idx="1127">
                        <c:v>1130</c:v>
                      </c:pt>
                      <c:pt idx="1128">
                        <c:v>1131</c:v>
                      </c:pt>
                      <c:pt idx="1129">
                        <c:v>1132</c:v>
                      </c:pt>
                      <c:pt idx="1130">
                        <c:v>1133</c:v>
                      </c:pt>
                      <c:pt idx="1131">
                        <c:v>1134</c:v>
                      </c:pt>
                      <c:pt idx="1132">
                        <c:v>1135</c:v>
                      </c:pt>
                      <c:pt idx="1133">
                        <c:v>1136</c:v>
                      </c:pt>
                      <c:pt idx="1134">
                        <c:v>1137</c:v>
                      </c:pt>
                      <c:pt idx="1135">
                        <c:v>1138</c:v>
                      </c:pt>
                      <c:pt idx="1136">
                        <c:v>1139</c:v>
                      </c:pt>
                      <c:pt idx="1137">
                        <c:v>1140</c:v>
                      </c:pt>
                      <c:pt idx="1138">
                        <c:v>1141</c:v>
                      </c:pt>
                      <c:pt idx="1139">
                        <c:v>1142</c:v>
                      </c:pt>
                      <c:pt idx="1140">
                        <c:v>1143</c:v>
                      </c:pt>
                      <c:pt idx="1141">
                        <c:v>1144</c:v>
                      </c:pt>
                      <c:pt idx="1142">
                        <c:v>1145</c:v>
                      </c:pt>
                      <c:pt idx="1143">
                        <c:v>1146</c:v>
                      </c:pt>
                      <c:pt idx="1144">
                        <c:v>1147</c:v>
                      </c:pt>
                      <c:pt idx="1145">
                        <c:v>1148</c:v>
                      </c:pt>
                      <c:pt idx="1146">
                        <c:v>1149</c:v>
                      </c:pt>
                      <c:pt idx="1147">
                        <c:v>1150</c:v>
                      </c:pt>
                      <c:pt idx="1148">
                        <c:v>1151</c:v>
                      </c:pt>
                      <c:pt idx="1149">
                        <c:v>1152</c:v>
                      </c:pt>
                      <c:pt idx="1150">
                        <c:v>1153</c:v>
                      </c:pt>
                      <c:pt idx="1151">
                        <c:v>1154</c:v>
                      </c:pt>
                      <c:pt idx="1152">
                        <c:v>1155</c:v>
                      </c:pt>
                      <c:pt idx="1153">
                        <c:v>1156</c:v>
                      </c:pt>
                      <c:pt idx="1154">
                        <c:v>1157</c:v>
                      </c:pt>
                      <c:pt idx="1155">
                        <c:v>1158</c:v>
                      </c:pt>
                      <c:pt idx="1156">
                        <c:v>1159</c:v>
                      </c:pt>
                      <c:pt idx="1157">
                        <c:v>1160</c:v>
                      </c:pt>
                      <c:pt idx="1158">
                        <c:v>1161</c:v>
                      </c:pt>
                      <c:pt idx="1159">
                        <c:v>1162</c:v>
                      </c:pt>
                      <c:pt idx="1160">
                        <c:v>1163</c:v>
                      </c:pt>
                      <c:pt idx="1161">
                        <c:v>1164</c:v>
                      </c:pt>
                      <c:pt idx="1162">
                        <c:v>1165</c:v>
                      </c:pt>
                      <c:pt idx="1163">
                        <c:v>1166</c:v>
                      </c:pt>
                      <c:pt idx="1164">
                        <c:v>1167</c:v>
                      </c:pt>
                      <c:pt idx="1165">
                        <c:v>1168</c:v>
                      </c:pt>
                      <c:pt idx="1166">
                        <c:v>1169</c:v>
                      </c:pt>
                      <c:pt idx="1167">
                        <c:v>1170</c:v>
                      </c:pt>
                      <c:pt idx="1168">
                        <c:v>1171</c:v>
                      </c:pt>
                      <c:pt idx="1169">
                        <c:v>1172</c:v>
                      </c:pt>
                      <c:pt idx="1170">
                        <c:v>1173</c:v>
                      </c:pt>
                      <c:pt idx="1171">
                        <c:v>1174</c:v>
                      </c:pt>
                      <c:pt idx="1172">
                        <c:v>1175</c:v>
                      </c:pt>
                      <c:pt idx="1173">
                        <c:v>1176</c:v>
                      </c:pt>
                      <c:pt idx="1174">
                        <c:v>1177</c:v>
                      </c:pt>
                      <c:pt idx="1175">
                        <c:v>1178</c:v>
                      </c:pt>
                      <c:pt idx="1176">
                        <c:v>1179</c:v>
                      </c:pt>
                      <c:pt idx="1177">
                        <c:v>1180</c:v>
                      </c:pt>
                      <c:pt idx="1178">
                        <c:v>1181</c:v>
                      </c:pt>
                      <c:pt idx="1179">
                        <c:v>1182</c:v>
                      </c:pt>
                      <c:pt idx="1180">
                        <c:v>1183</c:v>
                      </c:pt>
                      <c:pt idx="1181">
                        <c:v>1184</c:v>
                      </c:pt>
                      <c:pt idx="1182">
                        <c:v>1185</c:v>
                      </c:pt>
                      <c:pt idx="1183">
                        <c:v>1186</c:v>
                      </c:pt>
                      <c:pt idx="1184">
                        <c:v>1187</c:v>
                      </c:pt>
                      <c:pt idx="1185">
                        <c:v>1188</c:v>
                      </c:pt>
                      <c:pt idx="1186">
                        <c:v>1189</c:v>
                      </c:pt>
                      <c:pt idx="1187">
                        <c:v>1190</c:v>
                      </c:pt>
                      <c:pt idx="1188">
                        <c:v>1191</c:v>
                      </c:pt>
                      <c:pt idx="1189">
                        <c:v>1192</c:v>
                      </c:pt>
                      <c:pt idx="1190">
                        <c:v>1193</c:v>
                      </c:pt>
                      <c:pt idx="1191">
                        <c:v>1194</c:v>
                      </c:pt>
                      <c:pt idx="1192">
                        <c:v>1195</c:v>
                      </c:pt>
                      <c:pt idx="1193">
                        <c:v>1196</c:v>
                      </c:pt>
                      <c:pt idx="1194">
                        <c:v>1197</c:v>
                      </c:pt>
                      <c:pt idx="1195">
                        <c:v>1198</c:v>
                      </c:pt>
                      <c:pt idx="1196">
                        <c:v>1199</c:v>
                      </c:pt>
                      <c:pt idx="1197">
                        <c:v>1200</c:v>
                      </c:pt>
                      <c:pt idx="1198">
                        <c:v>1201</c:v>
                      </c:pt>
                      <c:pt idx="1199">
                        <c:v>1202</c:v>
                      </c:pt>
                      <c:pt idx="1200">
                        <c:v>1203</c:v>
                      </c:pt>
                      <c:pt idx="1201">
                        <c:v>1204</c:v>
                      </c:pt>
                      <c:pt idx="1202">
                        <c:v>1205</c:v>
                      </c:pt>
                      <c:pt idx="1203">
                        <c:v>1206</c:v>
                      </c:pt>
                      <c:pt idx="1204">
                        <c:v>1207</c:v>
                      </c:pt>
                      <c:pt idx="1205">
                        <c:v>1208</c:v>
                      </c:pt>
                      <c:pt idx="1206">
                        <c:v>1209</c:v>
                      </c:pt>
                      <c:pt idx="1207">
                        <c:v>1210</c:v>
                      </c:pt>
                      <c:pt idx="1208">
                        <c:v>1211</c:v>
                      </c:pt>
                      <c:pt idx="1209">
                        <c:v>1212</c:v>
                      </c:pt>
                      <c:pt idx="1210">
                        <c:v>1213</c:v>
                      </c:pt>
                      <c:pt idx="1211">
                        <c:v>1214</c:v>
                      </c:pt>
                      <c:pt idx="1212">
                        <c:v>1215</c:v>
                      </c:pt>
                      <c:pt idx="1213">
                        <c:v>1216</c:v>
                      </c:pt>
                      <c:pt idx="1214">
                        <c:v>1217</c:v>
                      </c:pt>
                      <c:pt idx="1215">
                        <c:v>1218</c:v>
                      </c:pt>
                      <c:pt idx="1216">
                        <c:v>1219</c:v>
                      </c:pt>
                      <c:pt idx="1217">
                        <c:v>1220</c:v>
                      </c:pt>
                      <c:pt idx="1218">
                        <c:v>1221</c:v>
                      </c:pt>
                      <c:pt idx="1219">
                        <c:v>1222</c:v>
                      </c:pt>
                      <c:pt idx="1220">
                        <c:v>1223</c:v>
                      </c:pt>
                      <c:pt idx="1221">
                        <c:v>1224</c:v>
                      </c:pt>
                      <c:pt idx="1222">
                        <c:v>1225</c:v>
                      </c:pt>
                      <c:pt idx="1223">
                        <c:v>1226</c:v>
                      </c:pt>
                      <c:pt idx="1224">
                        <c:v>1227</c:v>
                      </c:pt>
                      <c:pt idx="1225">
                        <c:v>1228</c:v>
                      </c:pt>
                      <c:pt idx="1226">
                        <c:v>1229</c:v>
                      </c:pt>
                      <c:pt idx="1227">
                        <c:v>1230</c:v>
                      </c:pt>
                      <c:pt idx="1228">
                        <c:v>1231</c:v>
                      </c:pt>
                      <c:pt idx="1229">
                        <c:v>1232</c:v>
                      </c:pt>
                      <c:pt idx="1230">
                        <c:v>1233</c:v>
                      </c:pt>
                      <c:pt idx="1231">
                        <c:v>1234</c:v>
                      </c:pt>
                      <c:pt idx="1232">
                        <c:v>1235</c:v>
                      </c:pt>
                      <c:pt idx="1233">
                        <c:v>1236</c:v>
                      </c:pt>
                      <c:pt idx="1234">
                        <c:v>1237</c:v>
                      </c:pt>
                      <c:pt idx="1235">
                        <c:v>1238</c:v>
                      </c:pt>
                      <c:pt idx="1236">
                        <c:v>1239</c:v>
                      </c:pt>
                      <c:pt idx="1237">
                        <c:v>1240</c:v>
                      </c:pt>
                      <c:pt idx="1238">
                        <c:v>1241</c:v>
                      </c:pt>
                      <c:pt idx="1239">
                        <c:v>1242</c:v>
                      </c:pt>
                      <c:pt idx="1240">
                        <c:v>1243</c:v>
                      </c:pt>
                      <c:pt idx="1241">
                        <c:v>1244</c:v>
                      </c:pt>
                      <c:pt idx="1242">
                        <c:v>1245</c:v>
                      </c:pt>
                      <c:pt idx="1243">
                        <c:v>1246</c:v>
                      </c:pt>
                      <c:pt idx="1244">
                        <c:v>1247</c:v>
                      </c:pt>
                      <c:pt idx="1245">
                        <c:v>1248</c:v>
                      </c:pt>
                      <c:pt idx="1246">
                        <c:v>1249</c:v>
                      </c:pt>
                      <c:pt idx="1247">
                        <c:v>1250</c:v>
                      </c:pt>
                      <c:pt idx="1248">
                        <c:v>1251</c:v>
                      </c:pt>
                      <c:pt idx="1249">
                        <c:v>1252</c:v>
                      </c:pt>
                      <c:pt idx="1250">
                        <c:v>1253</c:v>
                      </c:pt>
                      <c:pt idx="1251">
                        <c:v>1254</c:v>
                      </c:pt>
                      <c:pt idx="1252">
                        <c:v>1255</c:v>
                      </c:pt>
                      <c:pt idx="1253">
                        <c:v>1256</c:v>
                      </c:pt>
                      <c:pt idx="1254">
                        <c:v>1257</c:v>
                      </c:pt>
                      <c:pt idx="1255">
                        <c:v>1258</c:v>
                      </c:pt>
                      <c:pt idx="1256">
                        <c:v>1259</c:v>
                      </c:pt>
                      <c:pt idx="1257">
                        <c:v>1260</c:v>
                      </c:pt>
                      <c:pt idx="1258">
                        <c:v>1261</c:v>
                      </c:pt>
                      <c:pt idx="1259">
                        <c:v>1262</c:v>
                      </c:pt>
                      <c:pt idx="1260">
                        <c:v>1263</c:v>
                      </c:pt>
                      <c:pt idx="1261">
                        <c:v>1264</c:v>
                      </c:pt>
                      <c:pt idx="1262">
                        <c:v>1265</c:v>
                      </c:pt>
                      <c:pt idx="1263">
                        <c:v>1266</c:v>
                      </c:pt>
                      <c:pt idx="1264">
                        <c:v>1267</c:v>
                      </c:pt>
                      <c:pt idx="1265">
                        <c:v>1268</c:v>
                      </c:pt>
                      <c:pt idx="1266">
                        <c:v>1269</c:v>
                      </c:pt>
                      <c:pt idx="1267">
                        <c:v>1270</c:v>
                      </c:pt>
                      <c:pt idx="1268">
                        <c:v>1271</c:v>
                      </c:pt>
                      <c:pt idx="1269">
                        <c:v>1272</c:v>
                      </c:pt>
                      <c:pt idx="1270">
                        <c:v>1273</c:v>
                      </c:pt>
                      <c:pt idx="1271">
                        <c:v>1274</c:v>
                      </c:pt>
                      <c:pt idx="1272">
                        <c:v>1275</c:v>
                      </c:pt>
                      <c:pt idx="1273">
                        <c:v>1276</c:v>
                      </c:pt>
                      <c:pt idx="1274">
                        <c:v>1277</c:v>
                      </c:pt>
                      <c:pt idx="1275">
                        <c:v>1278</c:v>
                      </c:pt>
                      <c:pt idx="1276">
                        <c:v>1279</c:v>
                      </c:pt>
                      <c:pt idx="1277">
                        <c:v>1280</c:v>
                      </c:pt>
                      <c:pt idx="1278">
                        <c:v>1281</c:v>
                      </c:pt>
                      <c:pt idx="1279">
                        <c:v>1282</c:v>
                      </c:pt>
                      <c:pt idx="1280">
                        <c:v>1283</c:v>
                      </c:pt>
                      <c:pt idx="1281">
                        <c:v>1284</c:v>
                      </c:pt>
                      <c:pt idx="1282">
                        <c:v>1285</c:v>
                      </c:pt>
                      <c:pt idx="1283">
                        <c:v>1286</c:v>
                      </c:pt>
                      <c:pt idx="1284">
                        <c:v>1287</c:v>
                      </c:pt>
                      <c:pt idx="1285">
                        <c:v>1288</c:v>
                      </c:pt>
                      <c:pt idx="1286">
                        <c:v>1289</c:v>
                      </c:pt>
                      <c:pt idx="1287">
                        <c:v>1290</c:v>
                      </c:pt>
                      <c:pt idx="1288">
                        <c:v>1291</c:v>
                      </c:pt>
                      <c:pt idx="1289">
                        <c:v>1292</c:v>
                      </c:pt>
                      <c:pt idx="1290">
                        <c:v>1293</c:v>
                      </c:pt>
                      <c:pt idx="1291">
                        <c:v>1294</c:v>
                      </c:pt>
                      <c:pt idx="1292">
                        <c:v>1295</c:v>
                      </c:pt>
                      <c:pt idx="1293">
                        <c:v>1296</c:v>
                      </c:pt>
                      <c:pt idx="1294">
                        <c:v>1297</c:v>
                      </c:pt>
                      <c:pt idx="1295">
                        <c:v>1298</c:v>
                      </c:pt>
                      <c:pt idx="1296">
                        <c:v>1299</c:v>
                      </c:pt>
                      <c:pt idx="1297">
                        <c:v>1300</c:v>
                      </c:pt>
                      <c:pt idx="1298">
                        <c:v>1301</c:v>
                      </c:pt>
                      <c:pt idx="1299">
                        <c:v>1302</c:v>
                      </c:pt>
                      <c:pt idx="1300">
                        <c:v>1303</c:v>
                      </c:pt>
                      <c:pt idx="1301">
                        <c:v>1304</c:v>
                      </c:pt>
                      <c:pt idx="1302">
                        <c:v>1305</c:v>
                      </c:pt>
                      <c:pt idx="1303">
                        <c:v>1306</c:v>
                      </c:pt>
                      <c:pt idx="1304">
                        <c:v>1307</c:v>
                      </c:pt>
                      <c:pt idx="1305">
                        <c:v>1308</c:v>
                      </c:pt>
                      <c:pt idx="1306">
                        <c:v>1309</c:v>
                      </c:pt>
                      <c:pt idx="1307">
                        <c:v>1310</c:v>
                      </c:pt>
                      <c:pt idx="1308">
                        <c:v>1311</c:v>
                      </c:pt>
                      <c:pt idx="1309">
                        <c:v>1312</c:v>
                      </c:pt>
                      <c:pt idx="1310">
                        <c:v>1313</c:v>
                      </c:pt>
                      <c:pt idx="1311">
                        <c:v>1314</c:v>
                      </c:pt>
                      <c:pt idx="1312">
                        <c:v>1315</c:v>
                      </c:pt>
                      <c:pt idx="1313">
                        <c:v>1316</c:v>
                      </c:pt>
                      <c:pt idx="1314">
                        <c:v>1317</c:v>
                      </c:pt>
                      <c:pt idx="1315">
                        <c:v>1318</c:v>
                      </c:pt>
                      <c:pt idx="1316">
                        <c:v>1319</c:v>
                      </c:pt>
                      <c:pt idx="1317">
                        <c:v>1320</c:v>
                      </c:pt>
                      <c:pt idx="1318">
                        <c:v>1321</c:v>
                      </c:pt>
                      <c:pt idx="1319">
                        <c:v>1322</c:v>
                      </c:pt>
                      <c:pt idx="1320">
                        <c:v>1323</c:v>
                      </c:pt>
                      <c:pt idx="1321">
                        <c:v>1324</c:v>
                      </c:pt>
                      <c:pt idx="1322">
                        <c:v>1325</c:v>
                      </c:pt>
                      <c:pt idx="1323">
                        <c:v>1326</c:v>
                      </c:pt>
                      <c:pt idx="1324">
                        <c:v>1327</c:v>
                      </c:pt>
                      <c:pt idx="1325">
                        <c:v>1328</c:v>
                      </c:pt>
                      <c:pt idx="1326">
                        <c:v>1329</c:v>
                      </c:pt>
                      <c:pt idx="1327">
                        <c:v>1330</c:v>
                      </c:pt>
                      <c:pt idx="1328">
                        <c:v>1331</c:v>
                      </c:pt>
                      <c:pt idx="1329">
                        <c:v>1332</c:v>
                      </c:pt>
                      <c:pt idx="1330">
                        <c:v>1333</c:v>
                      </c:pt>
                      <c:pt idx="1331">
                        <c:v>1334</c:v>
                      </c:pt>
                      <c:pt idx="1332">
                        <c:v>1335</c:v>
                      </c:pt>
                      <c:pt idx="1333">
                        <c:v>1336</c:v>
                      </c:pt>
                      <c:pt idx="1334">
                        <c:v>1337</c:v>
                      </c:pt>
                      <c:pt idx="1335">
                        <c:v>1338</c:v>
                      </c:pt>
                      <c:pt idx="1336">
                        <c:v>1339</c:v>
                      </c:pt>
                      <c:pt idx="1337">
                        <c:v>1340</c:v>
                      </c:pt>
                      <c:pt idx="1338">
                        <c:v>1341</c:v>
                      </c:pt>
                      <c:pt idx="1339">
                        <c:v>1342</c:v>
                      </c:pt>
                      <c:pt idx="1340">
                        <c:v>1343</c:v>
                      </c:pt>
                      <c:pt idx="1341">
                        <c:v>1344</c:v>
                      </c:pt>
                      <c:pt idx="1342">
                        <c:v>1345</c:v>
                      </c:pt>
                      <c:pt idx="1343">
                        <c:v>1346</c:v>
                      </c:pt>
                      <c:pt idx="1344">
                        <c:v>1347</c:v>
                      </c:pt>
                      <c:pt idx="1345">
                        <c:v>1348</c:v>
                      </c:pt>
                      <c:pt idx="1346">
                        <c:v>1349</c:v>
                      </c:pt>
                      <c:pt idx="1347">
                        <c:v>1350</c:v>
                      </c:pt>
                      <c:pt idx="1348">
                        <c:v>1351</c:v>
                      </c:pt>
                      <c:pt idx="1349">
                        <c:v>1352</c:v>
                      </c:pt>
                      <c:pt idx="1350">
                        <c:v>1353</c:v>
                      </c:pt>
                      <c:pt idx="1351">
                        <c:v>1354</c:v>
                      </c:pt>
                      <c:pt idx="1352">
                        <c:v>1355</c:v>
                      </c:pt>
                      <c:pt idx="1353">
                        <c:v>1356</c:v>
                      </c:pt>
                      <c:pt idx="1354">
                        <c:v>1357</c:v>
                      </c:pt>
                      <c:pt idx="1355">
                        <c:v>1358</c:v>
                      </c:pt>
                      <c:pt idx="1356">
                        <c:v>1359</c:v>
                      </c:pt>
                      <c:pt idx="1357">
                        <c:v>1360</c:v>
                      </c:pt>
                      <c:pt idx="1358">
                        <c:v>1361</c:v>
                      </c:pt>
                      <c:pt idx="1359">
                        <c:v>1362</c:v>
                      </c:pt>
                      <c:pt idx="1360">
                        <c:v>1363</c:v>
                      </c:pt>
                      <c:pt idx="1361">
                        <c:v>1364</c:v>
                      </c:pt>
                      <c:pt idx="1362">
                        <c:v>1365</c:v>
                      </c:pt>
                      <c:pt idx="1363">
                        <c:v>1366</c:v>
                      </c:pt>
                      <c:pt idx="1364">
                        <c:v>1367</c:v>
                      </c:pt>
                      <c:pt idx="1365">
                        <c:v>1368</c:v>
                      </c:pt>
                      <c:pt idx="1366">
                        <c:v>1369</c:v>
                      </c:pt>
                      <c:pt idx="1367">
                        <c:v>1370</c:v>
                      </c:pt>
                      <c:pt idx="1368">
                        <c:v>1371</c:v>
                      </c:pt>
                      <c:pt idx="1369">
                        <c:v>1372</c:v>
                      </c:pt>
                      <c:pt idx="1370">
                        <c:v>1373</c:v>
                      </c:pt>
                      <c:pt idx="1371">
                        <c:v>1374</c:v>
                      </c:pt>
                      <c:pt idx="1372">
                        <c:v>1375</c:v>
                      </c:pt>
                      <c:pt idx="1373">
                        <c:v>1376</c:v>
                      </c:pt>
                      <c:pt idx="1374">
                        <c:v>1377</c:v>
                      </c:pt>
                      <c:pt idx="1375">
                        <c:v>1378</c:v>
                      </c:pt>
                      <c:pt idx="1376">
                        <c:v>1379</c:v>
                      </c:pt>
                      <c:pt idx="1377">
                        <c:v>1380</c:v>
                      </c:pt>
                      <c:pt idx="1378">
                        <c:v>1381</c:v>
                      </c:pt>
                      <c:pt idx="1379">
                        <c:v>1382</c:v>
                      </c:pt>
                      <c:pt idx="1380">
                        <c:v>1383</c:v>
                      </c:pt>
                      <c:pt idx="1381">
                        <c:v>1384</c:v>
                      </c:pt>
                      <c:pt idx="1382">
                        <c:v>1385</c:v>
                      </c:pt>
                      <c:pt idx="1383">
                        <c:v>1386</c:v>
                      </c:pt>
                      <c:pt idx="1384">
                        <c:v>1387</c:v>
                      </c:pt>
                      <c:pt idx="1385">
                        <c:v>1388</c:v>
                      </c:pt>
                      <c:pt idx="1386">
                        <c:v>1389</c:v>
                      </c:pt>
                      <c:pt idx="1387">
                        <c:v>1390</c:v>
                      </c:pt>
                      <c:pt idx="1388">
                        <c:v>1391</c:v>
                      </c:pt>
                      <c:pt idx="1389">
                        <c:v>1392</c:v>
                      </c:pt>
                      <c:pt idx="1390">
                        <c:v>1393</c:v>
                      </c:pt>
                      <c:pt idx="1391">
                        <c:v>1394</c:v>
                      </c:pt>
                      <c:pt idx="1392">
                        <c:v>1395</c:v>
                      </c:pt>
                      <c:pt idx="1393">
                        <c:v>1396</c:v>
                      </c:pt>
                      <c:pt idx="1394">
                        <c:v>1397</c:v>
                      </c:pt>
                      <c:pt idx="1395">
                        <c:v>1398</c:v>
                      </c:pt>
                      <c:pt idx="1396">
                        <c:v>1399</c:v>
                      </c:pt>
                      <c:pt idx="1397">
                        <c:v>1400</c:v>
                      </c:pt>
                      <c:pt idx="1398">
                        <c:v>1401</c:v>
                      </c:pt>
                      <c:pt idx="1399">
                        <c:v>1402</c:v>
                      </c:pt>
                      <c:pt idx="1400">
                        <c:v>1403</c:v>
                      </c:pt>
                      <c:pt idx="1401">
                        <c:v>1404</c:v>
                      </c:pt>
                      <c:pt idx="1402">
                        <c:v>1405</c:v>
                      </c:pt>
                      <c:pt idx="1403">
                        <c:v>1406</c:v>
                      </c:pt>
                      <c:pt idx="1404">
                        <c:v>1407</c:v>
                      </c:pt>
                      <c:pt idx="1405">
                        <c:v>1408</c:v>
                      </c:pt>
                      <c:pt idx="1406">
                        <c:v>1409</c:v>
                      </c:pt>
                      <c:pt idx="1407">
                        <c:v>1410</c:v>
                      </c:pt>
                      <c:pt idx="1408">
                        <c:v>1411</c:v>
                      </c:pt>
                      <c:pt idx="1409">
                        <c:v>1412</c:v>
                      </c:pt>
                      <c:pt idx="1410">
                        <c:v>1413</c:v>
                      </c:pt>
                      <c:pt idx="1411">
                        <c:v>1414</c:v>
                      </c:pt>
                      <c:pt idx="1412">
                        <c:v>1415</c:v>
                      </c:pt>
                      <c:pt idx="1413">
                        <c:v>1416</c:v>
                      </c:pt>
                      <c:pt idx="1414">
                        <c:v>1417</c:v>
                      </c:pt>
                      <c:pt idx="1415">
                        <c:v>1418</c:v>
                      </c:pt>
                      <c:pt idx="1416">
                        <c:v>1419</c:v>
                      </c:pt>
                      <c:pt idx="1417">
                        <c:v>1420</c:v>
                      </c:pt>
                      <c:pt idx="1418">
                        <c:v>1421</c:v>
                      </c:pt>
                      <c:pt idx="1419">
                        <c:v>1422</c:v>
                      </c:pt>
                      <c:pt idx="1420">
                        <c:v>1423</c:v>
                      </c:pt>
                      <c:pt idx="1421">
                        <c:v>1424</c:v>
                      </c:pt>
                      <c:pt idx="1422">
                        <c:v>1425</c:v>
                      </c:pt>
                      <c:pt idx="1423">
                        <c:v>1426</c:v>
                      </c:pt>
                      <c:pt idx="1424">
                        <c:v>1427</c:v>
                      </c:pt>
                      <c:pt idx="1425">
                        <c:v>1428</c:v>
                      </c:pt>
                      <c:pt idx="1426">
                        <c:v>1429</c:v>
                      </c:pt>
                      <c:pt idx="1427">
                        <c:v>1430</c:v>
                      </c:pt>
                      <c:pt idx="1428">
                        <c:v>1431</c:v>
                      </c:pt>
                      <c:pt idx="1429">
                        <c:v>1432</c:v>
                      </c:pt>
                      <c:pt idx="1430">
                        <c:v>1433</c:v>
                      </c:pt>
                      <c:pt idx="1431">
                        <c:v>1434</c:v>
                      </c:pt>
                      <c:pt idx="1432">
                        <c:v>1435</c:v>
                      </c:pt>
                      <c:pt idx="1433">
                        <c:v>1436</c:v>
                      </c:pt>
                      <c:pt idx="1434">
                        <c:v>1437</c:v>
                      </c:pt>
                      <c:pt idx="1435">
                        <c:v>1438</c:v>
                      </c:pt>
                      <c:pt idx="1436">
                        <c:v>1439</c:v>
                      </c:pt>
                      <c:pt idx="1437">
                        <c:v>1440</c:v>
                      </c:pt>
                      <c:pt idx="1438">
                        <c:v>1441</c:v>
                      </c:pt>
                      <c:pt idx="1439">
                        <c:v>1442</c:v>
                      </c:pt>
                      <c:pt idx="1440">
                        <c:v>1443</c:v>
                      </c:pt>
                      <c:pt idx="1441">
                        <c:v>1444</c:v>
                      </c:pt>
                      <c:pt idx="1442">
                        <c:v>1445</c:v>
                      </c:pt>
                      <c:pt idx="1443">
                        <c:v>1446</c:v>
                      </c:pt>
                      <c:pt idx="1444">
                        <c:v>1447</c:v>
                      </c:pt>
                      <c:pt idx="1445">
                        <c:v>1448</c:v>
                      </c:pt>
                      <c:pt idx="1446">
                        <c:v>1449</c:v>
                      </c:pt>
                      <c:pt idx="1447">
                        <c:v>1450</c:v>
                      </c:pt>
                      <c:pt idx="1448">
                        <c:v>1451</c:v>
                      </c:pt>
                      <c:pt idx="1449">
                        <c:v>1452</c:v>
                      </c:pt>
                      <c:pt idx="1450">
                        <c:v>1453</c:v>
                      </c:pt>
                      <c:pt idx="1451">
                        <c:v>1454</c:v>
                      </c:pt>
                      <c:pt idx="1452">
                        <c:v>1455</c:v>
                      </c:pt>
                      <c:pt idx="1453">
                        <c:v>1456</c:v>
                      </c:pt>
                      <c:pt idx="1454">
                        <c:v>1457</c:v>
                      </c:pt>
                      <c:pt idx="1455">
                        <c:v>1458</c:v>
                      </c:pt>
                      <c:pt idx="1456">
                        <c:v>1459</c:v>
                      </c:pt>
                      <c:pt idx="1457">
                        <c:v>1460</c:v>
                      </c:pt>
                      <c:pt idx="1458">
                        <c:v>1461</c:v>
                      </c:pt>
                      <c:pt idx="1459">
                        <c:v>1462</c:v>
                      </c:pt>
                      <c:pt idx="1460">
                        <c:v>1463</c:v>
                      </c:pt>
                      <c:pt idx="1461">
                        <c:v>1464</c:v>
                      </c:pt>
                      <c:pt idx="1462">
                        <c:v>1465</c:v>
                      </c:pt>
                      <c:pt idx="1463">
                        <c:v>1466</c:v>
                      </c:pt>
                      <c:pt idx="1464">
                        <c:v>1467</c:v>
                      </c:pt>
                      <c:pt idx="1465">
                        <c:v>1468</c:v>
                      </c:pt>
                      <c:pt idx="1466">
                        <c:v>1469</c:v>
                      </c:pt>
                      <c:pt idx="1467">
                        <c:v>1470</c:v>
                      </c:pt>
                      <c:pt idx="1468">
                        <c:v>1471</c:v>
                      </c:pt>
                      <c:pt idx="1469">
                        <c:v>1472</c:v>
                      </c:pt>
                      <c:pt idx="1470">
                        <c:v>1473</c:v>
                      </c:pt>
                      <c:pt idx="1471">
                        <c:v>1474</c:v>
                      </c:pt>
                      <c:pt idx="1472">
                        <c:v>1475</c:v>
                      </c:pt>
                      <c:pt idx="1473">
                        <c:v>1476</c:v>
                      </c:pt>
                      <c:pt idx="1474">
                        <c:v>1477</c:v>
                      </c:pt>
                      <c:pt idx="1475">
                        <c:v>1478</c:v>
                      </c:pt>
                      <c:pt idx="1476">
                        <c:v>1479</c:v>
                      </c:pt>
                      <c:pt idx="1477">
                        <c:v>1480</c:v>
                      </c:pt>
                      <c:pt idx="1478">
                        <c:v>1481</c:v>
                      </c:pt>
                      <c:pt idx="1479">
                        <c:v>1482</c:v>
                      </c:pt>
                      <c:pt idx="1480">
                        <c:v>1483</c:v>
                      </c:pt>
                      <c:pt idx="1481">
                        <c:v>1484</c:v>
                      </c:pt>
                      <c:pt idx="1482">
                        <c:v>1485</c:v>
                      </c:pt>
                      <c:pt idx="1483">
                        <c:v>1486</c:v>
                      </c:pt>
                      <c:pt idx="1484">
                        <c:v>1487</c:v>
                      </c:pt>
                      <c:pt idx="1485">
                        <c:v>1488</c:v>
                      </c:pt>
                      <c:pt idx="1486">
                        <c:v>1489</c:v>
                      </c:pt>
                      <c:pt idx="1487">
                        <c:v>1490</c:v>
                      </c:pt>
                      <c:pt idx="1488">
                        <c:v>1491</c:v>
                      </c:pt>
                      <c:pt idx="1489">
                        <c:v>1492</c:v>
                      </c:pt>
                      <c:pt idx="1490">
                        <c:v>1493</c:v>
                      </c:pt>
                      <c:pt idx="1491">
                        <c:v>1494</c:v>
                      </c:pt>
                      <c:pt idx="1492">
                        <c:v>1495</c:v>
                      </c:pt>
                      <c:pt idx="1493">
                        <c:v>1496</c:v>
                      </c:pt>
                      <c:pt idx="1494">
                        <c:v>1497</c:v>
                      </c:pt>
                      <c:pt idx="1495">
                        <c:v>1498</c:v>
                      </c:pt>
                      <c:pt idx="1496">
                        <c:v>1499</c:v>
                      </c:pt>
                      <c:pt idx="1497">
                        <c:v>1500</c:v>
                      </c:pt>
                      <c:pt idx="1498">
                        <c:v>1501</c:v>
                      </c:pt>
                      <c:pt idx="1499">
                        <c:v>1502</c:v>
                      </c:pt>
                      <c:pt idx="1500">
                        <c:v>1503</c:v>
                      </c:pt>
                      <c:pt idx="1501">
                        <c:v>1504</c:v>
                      </c:pt>
                      <c:pt idx="1502">
                        <c:v>1505</c:v>
                      </c:pt>
                      <c:pt idx="1503">
                        <c:v>1506</c:v>
                      </c:pt>
                      <c:pt idx="1504">
                        <c:v>1507</c:v>
                      </c:pt>
                      <c:pt idx="1505">
                        <c:v>1508</c:v>
                      </c:pt>
                      <c:pt idx="1506">
                        <c:v>1509</c:v>
                      </c:pt>
                      <c:pt idx="1507">
                        <c:v>1510</c:v>
                      </c:pt>
                      <c:pt idx="1508">
                        <c:v>1511</c:v>
                      </c:pt>
                      <c:pt idx="1509">
                        <c:v>1512</c:v>
                      </c:pt>
                      <c:pt idx="1510">
                        <c:v>1513</c:v>
                      </c:pt>
                      <c:pt idx="1511">
                        <c:v>1514</c:v>
                      </c:pt>
                      <c:pt idx="1512">
                        <c:v>1515</c:v>
                      </c:pt>
                      <c:pt idx="1513">
                        <c:v>1516</c:v>
                      </c:pt>
                      <c:pt idx="1514">
                        <c:v>1517</c:v>
                      </c:pt>
                      <c:pt idx="1515">
                        <c:v>1518</c:v>
                      </c:pt>
                      <c:pt idx="1516">
                        <c:v>1519</c:v>
                      </c:pt>
                      <c:pt idx="1517">
                        <c:v>1520</c:v>
                      </c:pt>
                      <c:pt idx="1518">
                        <c:v>1521</c:v>
                      </c:pt>
                      <c:pt idx="1519">
                        <c:v>1522</c:v>
                      </c:pt>
                      <c:pt idx="1520">
                        <c:v>1523</c:v>
                      </c:pt>
                      <c:pt idx="1521">
                        <c:v>1524</c:v>
                      </c:pt>
                      <c:pt idx="1522">
                        <c:v>1525</c:v>
                      </c:pt>
                      <c:pt idx="1523">
                        <c:v>1526</c:v>
                      </c:pt>
                      <c:pt idx="1524">
                        <c:v>1527</c:v>
                      </c:pt>
                      <c:pt idx="1525">
                        <c:v>1528</c:v>
                      </c:pt>
                      <c:pt idx="1526">
                        <c:v>1529</c:v>
                      </c:pt>
                      <c:pt idx="1527">
                        <c:v>1530</c:v>
                      </c:pt>
                      <c:pt idx="1528">
                        <c:v>1531</c:v>
                      </c:pt>
                      <c:pt idx="1529">
                        <c:v>1532</c:v>
                      </c:pt>
                      <c:pt idx="1530">
                        <c:v>1533</c:v>
                      </c:pt>
                      <c:pt idx="1531">
                        <c:v>1534</c:v>
                      </c:pt>
                      <c:pt idx="1532">
                        <c:v>1535</c:v>
                      </c:pt>
                      <c:pt idx="1533">
                        <c:v>1536</c:v>
                      </c:pt>
                      <c:pt idx="1534">
                        <c:v>1537</c:v>
                      </c:pt>
                      <c:pt idx="1535">
                        <c:v>1538</c:v>
                      </c:pt>
                      <c:pt idx="1536">
                        <c:v>1539</c:v>
                      </c:pt>
                      <c:pt idx="1537">
                        <c:v>1540</c:v>
                      </c:pt>
                      <c:pt idx="1538">
                        <c:v>1541</c:v>
                      </c:pt>
                      <c:pt idx="1539">
                        <c:v>1542</c:v>
                      </c:pt>
                      <c:pt idx="1540">
                        <c:v>1543</c:v>
                      </c:pt>
                      <c:pt idx="1541">
                        <c:v>1544</c:v>
                      </c:pt>
                      <c:pt idx="1542">
                        <c:v>1545</c:v>
                      </c:pt>
                      <c:pt idx="1543">
                        <c:v>1546</c:v>
                      </c:pt>
                      <c:pt idx="1544">
                        <c:v>1547</c:v>
                      </c:pt>
                      <c:pt idx="1545">
                        <c:v>1548</c:v>
                      </c:pt>
                      <c:pt idx="1546">
                        <c:v>1549</c:v>
                      </c:pt>
                      <c:pt idx="1547">
                        <c:v>1550</c:v>
                      </c:pt>
                      <c:pt idx="1548">
                        <c:v>1551</c:v>
                      </c:pt>
                      <c:pt idx="1549">
                        <c:v>1552</c:v>
                      </c:pt>
                      <c:pt idx="1550">
                        <c:v>1553</c:v>
                      </c:pt>
                      <c:pt idx="1551">
                        <c:v>1554</c:v>
                      </c:pt>
                      <c:pt idx="1552">
                        <c:v>1555</c:v>
                      </c:pt>
                      <c:pt idx="1553">
                        <c:v>1556</c:v>
                      </c:pt>
                      <c:pt idx="1554">
                        <c:v>1557</c:v>
                      </c:pt>
                      <c:pt idx="1555">
                        <c:v>1558</c:v>
                      </c:pt>
                      <c:pt idx="1556">
                        <c:v>1559</c:v>
                      </c:pt>
                      <c:pt idx="1557">
                        <c:v>1560</c:v>
                      </c:pt>
                      <c:pt idx="1558">
                        <c:v>1561</c:v>
                      </c:pt>
                      <c:pt idx="1559">
                        <c:v>1562</c:v>
                      </c:pt>
                      <c:pt idx="1560">
                        <c:v>1563</c:v>
                      </c:pt>
                      <c:pt idx="1561">
                        <c:v>1564</c:v>
                      </c:pt>
                      <c:pt idx="1562">
                        <c:v>1565</c:v>
                      </c:pt>
                      <c:pt idx="1563">
                        <c:v>1566</c:v>
                      </c:pt>
                      <c:pt idx="1564">
                        <c:v>1567</c:v>
                      </c:pt>
                      <c:pt idx="1565">
                        <c:v>1568</c:v>
                      </c:pt>
                      <c:pt idx="1566">
                        <c:v>1569</c:v>
                      </c:pt>
                      <c:pt idx="1567">
                        <c:v>1570</c:v>
                      </c:pt>
                      <c:pt idx="1568">
                        <c:v>1571</c:v>
                      </c:pt>
                      <c:pt idx="1569">
                        <c:v>1572</c:v>
                      </c:pt>
                      <c:pt idx="1570">
                        <c:v>1573</c:v>
                      </c:pt>
                      <c:pt idx="1571">
                        <c:v>1574</c:v>
                      </c:pt>
                      <c:pt idx="1572">
                        <c:v>1575</c:v>
                      </c:pt>
                      <c:pt idx="1573">
                        <c:v>1576</c:v>
                      </c:pt>
                      <c:pt idx="1574">
                        <c:v>1577</c:v>
                      </c:pt>
                      <c:pt idx="1575">
                        <c:v>1578</c:v>
                      </c:pt>
                      <c:pt idx="1576">
                        <c:v>1579</c:v>
                      </c:pt>
                      <c:pt idx="1577">
                        <c:v>1580</c:v>
                      </c:pt>
                      <c:pt idx="1578">
                        <c:v>1581</c:v>
                      </c:pt>
                      <c:pt idx="1579">
                        <c:v>1582</c:v>
                      </c:pt>
                      <c:pt idx="1580">
                        <c:v>1583</c:v>
                      </c:pt>
                      <c:pt idx="1581">
                        <c:v>1584</c:v>
                      </c:pt>
                      <c:pt idx="1582">
                        <c:v>1585</c:v>
                      </c:pt>
                      <c:pt idx="1583">
                        <c:v>1586</c:v>
                      </c:pt>
                      <c:pt idx="1584">
                        <c:v>1587</c:v>
                      </c:pt>
                      <c:pt idx="1585">
                        <c:v>1588</c:v>
                      </c:pt>
                      <c:pt idx="1586">
                        <c:v>1589</c:v>
                      </c:pt>
                      <c:pt idx="1587">
                        <c:v>1590</c:v>
                      </c:pt>
                      <c:pt idx="1588">
                        <c:v>1591</c:v>
                      </c:pt>
                      <c:pt idx="1589">
                        <c:v>1592</c:v>
                      </c:pt>
                      <c:pt idx="1590">
                        <c:v>1593</c:v>
                      </c:pt>
                      <c:pt idx="1591">
                        <c:v>1594</c:v>
                      </c:pt>
                      <c:pt idx="1592">
                        <c:v>1595</c:v>
                      </c:pt>
                      <c:pt idx="1593">
                        <c:v>1596</c:v>
                      </c:pt>
                      <c:pt idx="1594">
                        <c:v>1597</c:v>
                      </c:pt>
                      <c:pt idx="1595">
                        <c:v>1598</c:v>
                      </c:pt>
                      <c:pt idx="1596">
                        <c:v>1599</c:v>
                      </c:pt>
                      <c:pt idx="1597">
                        <c:v>1600</c:v>
                      </c:pt>
                      <c:pt idx="1598">
                        <c:v>1601</c:v>
                      </c:pt>
                      <c:pt idx="1599">
                        <c:v>1602</c:v>
                      </c:pt>
                      <c:pt idx="1600">
                        <c:v>1603</c:v>
                      </c:pt>
                      <c:pt idx="1601">
                        <c:v>1604</c:v>
                      </c:pt>
                      <c:pt idx="1602">
                        <c:v>1605</c:v>
                      </c:pt>
                      <c:pt idx="1603">
                        <c:v>1606</c:v>
                      </c:pt>
                      <c:pt idx="1604">
                        <c:v>1607</c:v>
                      </c:pt>
                      <c:pt idx="1605">
                        <c:v>1608</c:v>
                      </c:pt>
                      <c:pt idx="1606">
                        <c:v>1609</c:v>
                      </c:pt>
                      <c:pt idx="1607">
                        <c:v>1610</c:v>
                      </c:pt>
                      <c:pt idx="1608">
                        <c:v>1611</c:v>
                      </c:pt>
                      <c:pt idx="1609">
                        <c:v>1612</c:v>
                      </c:pt>
                      <c:pt idx="1610">
                        <c:v>1613</c:v>
                      </c:pt>
                      <c:pt idx="1611">
                        <c:v>1614</c:v>
                      </c:pt>
                      <c:pt idx="1612">
                        <c:v>1615</c:v>
                      </c:pt>
                      <c:pt idx="1613">
                        <c:v>1616</c:v>
                      </c:pt>
                      <c:pt idx="1614">
                        <c:v>1617</c:v>
                      </c:pt>
                      <c:pt idx="1615">
                        <c:v>1618</c:v>
                      </c:pt>
                      <c:pt idx="1616">
                        <c:v>1619</c:v>
                      </c:pt>
                      <c:pt idx="1617">
                        <c:v>1620</c:v>
                      </c:pt>
                      <c:pt idx="1618">
                        <c:v>1621</c:v>
                      </c:pt>
                      <c:pt idx="1619">
                        <c:v>1622</c:v>
                      </c:pt>
                      <c:pt idx="1620">
                        <c:v>1623</c:v>
                      </c:pt>
                      <c:pt idx="1621">
                        <c:v>1624</c:v>
                      </c:pt>
                      <c:pt idx="1622">
                        <c:v>1625</c:v>
                      </c:pt>
                      <c:pt idx="1623">
                        <c:v>1626</c:v>
                      </c:pt>
                      <c:pt idx="1624">
                        <c:v>1627</c:v>
                      </c:pt>
                      <c:pt idx="1625">
                        <c:v>1628</c:v>
                      </c:pt>
                      <c:pt idx="1626">
                        <c:v>1629</c:v>
                      </c:pt>
                      <c:pt idx="1627">
                        <c:v>1630</c:v>
                      </c:pt>
                      <c:pt idx="1628">
                        <c:v>1631</c:v>
                      </c:pt>
                      <c:pt idx="1629">
                        <c:v>1632</c:v>
                      </c:pt>
                      <c:pt idx="1630">
                        <c:v>1633</c:v>
                      </c:pt>
                      <c:pt idx="1631">
                        <c:v>1634</c:v>
                      </c:pt>
                      <c:pt idx="1632">
                        <c:v>1635</c:v>
                      </c:pt>
                      <c:pt idx="1633">
                        <c:v>1636</c:v>
                      </c:pt>
                      <c:pt idx="1634">
                        <c:v>1637</c:v>
                      </c:pt>
                      <c:pt idx="1635">
                        <c:v>1638</c:v>
                      </c:pt>
                      <c:pt idx="1636">
                        <c:v>1639</c:v>
                      </c:pt>
                      <c:pt idx="1637">
                        <c:v>1640</c:v>
                      </c:pt>
                      <c:pt idx="1638">
                        <c:v>1641</c:v>
                      </c:pt>
                      <c:pt idx="1639">
                        <c:v>1642</c:v>
                      </c:pt>
                      <c:pt idx="1640">
                        <c:v>1643</c:v>
                      </c:pt>
                      <c:pt idx="1641">
                        <c:v>1644</c:v>
                      </c:pt>
                      <c:pt idx="1642">
                        <c:v>1645</c:v>
                      </c:pt>
                      <c:pt idx="1643">
                        <c:v>1646</c:v>
                      </c:pt>
                      <c:pt idx="1644">
                        <c:v>1647</c:v>
                      </c:pt>
                      <c:pt idx="1645">
                        <c:v>1648</c:v>
                      </c:pt>
                      <c:pt idx="1646">
                        <c:v>1649</c:v>
                      </c:pt>
                      <c:pt idx="1647">
                        <c:v>1650</c:v>
                      </c:pt>
                      <c:pt idx="1648">
                        <c:v>1651</c:v>
                      </c:pt>
                      <c:pt idx="1649">
                        <c:v>1652</c:v>
                      </c:pt>
                      <c:pt idx="1650">
                        <c:v>1653</c:v>
                      </c:pt>
                      <c:pt idx="1651">
                        <c:v>1654</c:v>
                      </c:pt>
                      <c:pt idx="1652">
                        <c:v>1655</c:v>
                      </c:pt>
                      <c:pt idx="1653">
                        <c:v>1656</c:v>
                      </c:pt>
                      <c:pt idx="1654">
                        <c:v>1657</c:v>
                      </c:pt>
                      <c:pt idx="1655">
                        <c:v>1658</c:v>
                      </c:pt>
                      <c:pt idx="1656">
                        <c:v>1659</c:v>
                      </c:pt>
                      <c:pt idx="1657">
                        <c:v>1660</c:v>
                      </c:pt>
                      <c:pt idx="1658">
                        <c:v>1661</c:v>
                      </c:pt>
                      <c:pt idx="1659">
                        <c:v>1662</c:v>
                      </c:pt>
                      <c:pt idx="1660">
                        <c:v>1663</c:v>
                      </c:pt>
                      <c:pt idx="1661">
                        <c:v>1664</c:v>
                      </c:pt>
                      <c:pt idx="1662">
                        <c:v>1665</c:v>
                      </c:pt>
                      <c:pt idx="1663">
                        <c:v>1666</c:v>
                      </c:pt>
                      <c:pt idx="1664">
                        <c:v>1667</c:v>
                      </c:pt>
                      <c:pt idx="1665">
                        <c:v>1668</c:v>
                      </c:pt>
                      <c:pt idx="1666">
                        <c:v>1669</c:v>
                      </c:pt>
                      <c:pt idx="1667">
                        <c:v>1670</c:v>
                      </c:pt>
                      <c:pt idx="1668">
                        <c:v>1671</c:v>
                      </c:pt>
                      <c:pt idx="1669">
                        <c:v>1672</c:v>
                      </c:pt>
                      <c:pt idx="1670">
                        <c:v>1673</c:v>
                      </c:pt>
                      <c:pt idx="1671">
                        <c:v>1674</c:v>
                      </c:pt>
                      <c:pt idx="1672">
                        <c:v>1675</c:v>
                      </c:pt>
                      <c:pt idx="1673">
                        <c:v>1676</c:v>
                      </c:pt>
                      <c:pt idx="1674">
                        <c:v>1677</c:v>
                      </c:pt>
                      <c:pt idx="1675">
                        <c:v>1678</c:v>
                      </c:pt>
                      <c:pt idx="1676">
                        <c:v>1679</c:v>
                      </c:pt>
                      <c:pt idx="1677">
                        <c:v>1680</c:v>
                      </c:pt>
                      <c:pt idx="1678">
                        <c:v>1681</c:v>
                      </c:pt>
                      <c:pt idx="1679">
                        <c:v>1682</c:v>
                      </c:pt>
                      <c:pt idx="1680">
                        <c:v>1683</c:v>
                      </c:pt>
                      <c:pt idx="1681">
                        <c:v>1684</c:v>
                      </c:pt>
                      <c:pt idx="1682">
                        <c:v>1685</c:v>
                      </c:pt>
                      <c:pt idx="1683">
                        <c:v>1686</c:v>
                      </c:pt>
                      <c:pt idx="1684">
                        <c:v>1687</c:v>
                      </c:pt>
                      <c:pt idx="1685">
                        <c:v>1688</c:v>
                      </c:pt>
                      <c:pt idx="1686">
                        <c:v>1689</c:v>
                      </c:pt>
                      <c:pt idx="1687">
                        <c:v>1690</c:v>
                      </c:pt>
                      <c:pt idx="1688">
                        <c:v>1691</c:v>
                      </c:pt>
                      <c:pt idx="1689">
                        <c:v>1692</c:v>
                      </c:pt>
                      <c:pt idx="1690">
                        <c:v>1693</c:v>
                      </c:pt>
                      <c:pt idx="1691">
                        <c:v>1694</c:v>
                      </c:pt>
                      <c:pt idx="1692">
                        <c:v>1695</c:v>
                      </c:pt>
                      <c:pt idx="1693">
                        <c:v>1696</c:v>
                      </c:pt>
                      <c:pt idx="1694">
                        <c:v>1697</c:v>
                      </c:pt>
                      <c:pt idx="1695">
                        <c:v>1698</c:v>
                      </c:pt>
                      <c:pt idx="1696">
                        <c:v>1699</c:v>
                      </c:pt>
                      <c:pt idx="1697">
                        <c:v>1700</c:v>
                      </c:pt>
                      <c:pt idx="1698">
                        <c:v>1701</c:v>
                      </c:pt>
                      <c:pt idx="1699">
                        <c:v>1702</c:v>
                      </c:pt>
                      <c:pt idx="1700">
                        <c:v>1703</c:v>
                      </c:pt>
                      <c:pt idx="1701">
                        <c:v>1704</c:v>
                      </c:pt>
                      <c:pt idx="1702">
                        <c:v>1705</c:v>
                      </c:pt>
                      <c:pt idx="1703">
                        <c:v>1706</c:v>
                      </c:pt>
                      <c:pt idx="1704">
                        <c:v>1707</c:v>
                      </c:pt>
                      <c:pt idx="1705">
                        <c:v>1708</c:v>
                      </c:pt>
                      <c:pt idx="1706">
                        <c:v>1709</c:v>
                      </c:pt>
                      <c:pt idx="1707">
                        <c:v>1710</c:v>
                      </c:pt>
                      <c:pt idx="1708">
                        <c:v>1711</c:v>
                      </c:pt>
                      <c:pt idx="1709">
                        <c:v>1712</c:v>
                      </c:pt>
                      <c:pt idx="1710">
                        <c:v>1713</c:v>
                      </c:pt>
                      <c:pt idx="1711">
                        <c:v>1714</c:v>
                      </c:pt>
                      <c:pt idx="1712">
                        <c:v>1715</c:v>
                      </c:pt>
                      <c:pt idx="1713">
                        <c:v>1716</c:v>
                      </c:pt>
                      <c:pt idx="1714">
                        <c:v>1717</c:v>
                      </c:pt>
                      <c:pt idx="1715">
                        <c:v>1718</c:v>
                      </c:pt>
                      <c:pt idx="1716">
                        <c:v>1719</c:v>
                      </c:pt>
                      <c:pt idx="1717">
                        <c:v>1720</c:v>
                      </c:pt>
                      <c:pt idx="1718">
                        <c:v>1721</c:v>
                      </c:pt>
                      <c:pt idx="1719">
                        <c:v>1722</c:v>
                      </c:pt>
                      <c:pt idx="1720">
                        <c:v>1723</c:v>
                      </c:pt>
                      <c:pt idx="1721">
                        <c:v>1724</c:v>
                      </c:pt>
                      <c:pt idx="1722">
                        <c:v>1725</c:v>
                      </c:pt>
                      <c:pt idx="1723">
                        <c:v>1726</c:v>
                      </c:pt>
                      <c:pt idx="1724">
                        <c:v>1727</c:v>
                      </c:pt>
                      <c:pt idx="1725">
                        <c:v>1728</c:v>
                      </c:pt>
                      <c:pt idx="1726">
                        <c:v>1729</c:v>
                      </c:pt>
                      <c:pt idx="1727">
                        <c:v>1730</c:v>
                      </c:pt>
                      <c:pt idx="1728">
                        <c:v>1731</c:v>
                      </c:pt>
                      <c:pt idx="1729">
                        <c:v>1732</c:v>
                      </c:pt>
                      <c:pt idx="1730">
                        <c:v>1733</c:v>
                      </c:pt>
                      <c:pt idx="1731">
                        <c:v>1734</c:v>
                      </c:pt>
                      <c:pt idx="1732">
                        <c:v>1735</c:v>
                      </c:pt>
                      <c:pt idx="1733">
                        <c:v>1736</c:v>
                      </c:pt>
                      <c:pt idx="1734">
                        <c:v>1737</c:v>
                      </c:pt>
                      <c:pt idx="1735">
                        <c:v>1738</c:v>
                      </c:pt>
                      <c:pt idx="1736">
                        <c:v>1739</c:v>
                      </c:pt>
                      <c:pt idx="1737">
                        <c:v>1740</c:v>
                      </c:pt>
                      <c:pt idx="1738">
                        <c:v>1741</c:v>
                      </c:pt>
                      <c:pt idx="1739">
                        <c:v>1742</c:v>
                      </c:pt>
                      <c:pt idx="1740">
                        <c:v>1743</c:v>
                      </c:pt>
                      <c:pt idx="1741">
                        <c:v>1744</c:v>
                      </c:pt>
                      <c:pt idx="1742">
                        <c:v>1745</c:v>
                      </c:pt>
                      <c:pt idx="1743">
                        <c:v>1746</c:v>
                      </c:pt>
                      <c:pt idx="1744">
                        <c:v>1747</c:v>
                      </c:pt>
                      <c:pt idx="1745">
                        <c:v>1748</c:v>
                      </c:pt>
                      <c:pt idx="1746">
                        <c:v>1749</c:v>
                      </c:pt>
                      <c:pt idx="1747">
                        <c:v>1750</c:v>
                      </c:pt>
                      <c:pt idx="1748">
                        <c:v>1751</c:v>
                      </c:pt>
                      <c:pt idx="1749">
                        <c:v>1752</c:v>
                      </c:pt>
                      <c:pt idx="1750">
                        <c:v>1753</c:v>
                      </c:pt>
                      <c:pt idx="1751">
                        <c:v>1754</c:v>
                      </c:pt>
                      <c:pt idx="1752">
                        <c:v>1755</c:v>
                      </c:pt>
                      <c:pt idx="1753">
                        <c:v>1756</c:v>
                      </c:pt>
                      <c:pt idx="1754">
                        <c:v>1757</c:v>
                      </c:pt>
                      <c:pt idx="1755">
                        <c:v>1758</c:v>
                      </c:pt>
                      <c:pt idx="1756">
                        <c:v>1759</c:v>
                      </c:pt>
                      <c:pt idx="1757">
                        <c:v>1760</c:v>
                      </c:pt>
                      <c:pt idx="1758">
                        <c:v>1761</c:v>
                      </c:pt>
                      <c:pt idx="1759">
                        <c:v>1762</c:v>
                      </c:pt>
                      <c:pt idx="1760">
                        <c:v>1763</c:v>
                      </c:pt>
                      <c:pt idx="1761">
                        <c:v>1764</c:v>
                      </c:pt>
                      <c:pt idx="1762">
                        <c:v>1765</c:v>
                      </c:pt>
                      <c:pt idx="1763">
                        <c:v>1766</c:v>
                      </c:pt>
                      <c:pt idx="1764">
                        <c:v>1767</c:v>
                      </c:pt>
                      <c:pt idx="1765">
                        <c:v>1768</c:v>
                      </c:pt>
                      <c:pt idx="1766">
                        <c:v>1769</c:v>
                      </c:pt>
                      <c:pt idx="1767">
                        <c:v>1770</c:v>
                      </c:pt>
                      <c:pt idx="1768">
                        <c:v>1771</c:v>
                      </c:pt>
                      <c:pt idx="1769">
                        <c:v>1772</c:v>
                      </c:pt>
                      <c:pt idx="1770">
                        <c:v>1773</c:v>
                      </c:pt>
                      <c:pt idx="1771">
                        <c:v>1774</c:v>
                      </c:pt>
                      <c:pt idx="1772">
                        <c:v>1775</c:v>
                      </c:pt>
                      <c:pt idx="1773">
                        <c:v>1776</c:v>
                      </c:pt>
                      <c:pt idx="1774">
                        <c:v>1777</c:v>
                      </c:pt>
                      <c:pt idx="1775">
                        <c:v>1778</c:v>
                      </c:pt>
                      <c:pt idx="1776">
                        <c:v>1779</c:v>
                      </c:pt>
                      <c:pt idx="1777">
                        <c:v>1780</c:v>
                      </c:pt>
                      <c:pt idx="1778">
                        <c:v>1781</c:v>
                      </c:pt>
                      <c:pt idx="1779">
                        <c:v>1782</c:v>
                      </c:pt>
                      <c:pt idx="1780">
                        <c:v>1783</c:v>
                      </c:pt>
                      <c:pt idx="1781">
                        <c:v>1784</c:v>
                      </c:pt>
                      <c:pt idx="1782">
                        <c:v>1785</c:v>
                      </c:pt>
                      <c:pt idx="1783">
                        <c:v>1786</c:v>
                      </c:pt>
                      <c:pt idx="1784">
                        <c:v>1787</c:v>
                      </c:pt>
                      <c:pt idx="1785">
                        <c:v>1788</c:v>
                      </c:pt>
                      <c:pt idx="1786">
                        <c:v>1789</c:v>
                      </c:pt>
                      <c:pt idx="1787">
                        <c:v>1790</c:v>
                      </c:pt>
                      <c:pt idx="1788">
                        <c:v>1791</c:v>
                      </c:pt>
                      <c:pt idx="1789">
                        <c:v>1792</c:v>
                      </c:pt>
                      <c:pt idx="1790">
                        <c:v>1793</c:v>
                      </c:pt>
                      <c:pt idx="1791">
                        <c:v>1794</c:v>
                      </c:pt>
                      <c:pt idx="1792">
                        <c:v>1795</c:v>
                      </c:pt>
                      <c:pt idx="1793">
                        <c:v>1796</c:v>
                      </c:pt>
                      <c:pt idx="1794">
                        <c:v>1797</c:v>
                      </c:pt>
                      <c:pt idx="1795">
                        <c:v>1798</c:v>
                      </c:pt>
                      <c:pt idx="1796">
                        <c:v>1799</c:v>
                      </c:pt>
                      <c:pt idx="1797">
                        <c:v>1800</c:v>
                      </c:pt>
                      <c:pt idx="1798">
                        <c:v>1801</c:v>
                      </c:pt>
                      <c:pt idx="1799">
                        <c:v>1802</c:v>
                      </c:pt>
                      <c:pt idx="1800">
                        <c:v>1803</c:v>
                      </c:pt>
                      <c:pt idx="1801">
                        <c:v>1804</c:v>
                      </c:pt>
                      <c:pt idx="1802">
                        <c:v>1805</c:v>
                      </c:pt>
                      <c:pt idx="1803">
                        <c:v>1806</c:v>
                      </c:pt>
                      <c:pt idx="1804">
                        <c:v>1807</c:v>
                      </c:pt>
                      <c:pt idx="1805">
                        <c:v>1808</c:v>
                      </c:pt>
                      <c:pt idx="1806">
                        <c:v>1809</c:v>
                      </c:pt>
                      <c:pt idx="1807">
                        <c:v>1810</c:v>
                      </c:pt>
                      <c:pt idx="1808">
                        <c:v>1811</c:v>
                      </c:pt>
                      <c:pt idx="1809">
                        <c:v>1812</c:v>
                      </c:pt>
                      <c:pt idx="1810">
                        <c:v>1813</c:v>
                      </c:pt>
                      <c:pt idx="1811">
                        <c:v>1814</c:v>
                      </c:pt>
                      <c:pt idx="1812">
                        <c:v>1815</c:v>
                      </c:pt>
                      <c:pt idx="1813">
                        <c:v>1816</c:v>
                      </c:pt>
                      <c:pt idx="1814">
                        <c:v>1817</c:v>
                      </c:pt>
                      <c:pt idx="1815">
                        <c:v>1818</c:v>
                      </c:pt>
                      <c:pt idx="1816">
                        <c:v>1819</c:v>
                      </c:pt>
                      <c:pt idx="1817">
                        <c:v>1820</c:v>
                      </c:pt>
                      <c:pt idx="1818">
                        <c:v>1821</c:v>
                      </c:pt>
                      <c:pt idx="1819">
                        <c:v>1822</c:v>
                      </c:pt>
                      <c:pt idx="1820">
                        <c:v>1823</c:v>
                      </c:pt>
                      <c:pt idx="1821">
                        <c:v>1824</c:v>
                      </c:pt>
                      <c:pt idx="1822">
                        <c:v>1825</c:v>
                      </c:pt>
                      <c:pt idx="1823">
                        <c:v>1826</c:v>
                      </c:pt>
                      <c:pt idx="1824">
                        <c:v>1827</c:v>
                      </c:pt>
                      <c:pt idx="1825">
                        <c:v>1828</c:v>
                      </c:pt>
                      <c:pt idx="1826">
                        <c:v>1829</c:v>
                      </c:pt>
                      <c:pt idx="1827">
                        <c:v>1830</c:v>
                      </c:pt>
                      <c:pt idx="1828">
                        <c:v>1831</c:v>
                      </c:pt>
                      <c:pt idx="1829">
                        <c:v>1832</c:v>
                      </c:pt>
                      <c:pt idx="1830">
                        <c:v>1833</c:v>
                      </c:pt>
                      <c:pt idx="1831">
                        <c:v>1834</c:v>
                      </c:pt>
                      <c:pt idx="1832">
                        <c:v>1835</c:v>
                      </c:pt>
                      <c:pt idx="1833">
                        <c:v>1836</c:v>
                      </c:pt>
                      <c:pt idx="1834">
                        <c:v>1837</c:v>
                      </c:pt>
                      <c:pt idx="1835">
                        <c:v>1838</c:v>
                      </c:pt>
                      <c:pt idx="1836">
                        <c:v>1839</c:v>
                      </c:pt>
                      <c:pt idx="1837">
                        <c:v>1840</c:v>
                      </c:pt>
                      <c:pt idx="1838">
                        <c:v>1841</c:v>
                      </c:pt>
                      <c:pt idx="1839">
                        <c:v>1842</c:v>
                      </c:pt>
                      <c:pt idx="1840">
                        <c:v>1843</c:v>
                      </c:pt>
                      <c:pt idx="1841">
                        <c:v>1844</c:v>
                      </c:pt>
                      <c:pt idx="1842">
                        <c:v>1845</c:v>
                      </c:pt>
                      <c:pt idx="1843">
                        <c:v>1846</c:v>
                      </c:pt>
                      <c:pt idx="1844">
                        <c:v>1847</c:v>
                      </c:pt>
                      <c:pt idx="1845">
                        <c:v>1848</c:v>
                      </c:pt>
                      <c:pt idx="1846">
                        <c:v>1849</c:v>
                      </c:pt>
                      <c:pt idx="1847">
                        <c:v>1850</c:v>
                      </c:pt>
                      <c:pt idx="1848">
                        <c:v>1851</c:v>
                      </c:pt>
                      <c:pt idx="1849">
                        <c:v>1852</c:v>
                      </c:pt>
                      <c:pt idx="1850">
                        <c:v>1853</c:v>
                      </c:pt>
                      <c:pt idx="1851">
                        <c:v>1854</c:v>
                      </c:pt>
                      <c:pt idx="1852">
                        <c:v>1855</c:v>
                      </c:pt>
                      <c:pt idx="1853">
                        <c:v>1856</c:v>
                      </c:pt>
                      <c:pt idx="1854">
                        <c:v>1857</c:v>
                      </c:pt>
                      <c:pt idx="1855">
                        <c:v>1858</c:v>
                      </c:pt>
                      <c:pt idx="1856">
                        <c:v>1859</c:v>
                      </c:pt>
                      <c:pt idx="1857">
                        <c:v>1860</c:v>
                      </c:pt>
                      <c:pt idx="1858">
                        <c:v>1861</c:v>
                      </c:pt>
                      <c:pt idx="1859">
                        <c:v>1862</c:v>
                      </c:pt>
                      <c:pt idx="1860">
                        <c:v>1863</c:v>
                      </c:pt>
                      <c:pt idx="1861">
                        <c:v>1864</c:v>
                      </c:pt>
                      <c:pt idx="1862">
                        <c:v>1865</c:v>
                      </c:pt>
                      <c:pt idx="1863">
                        <c:v>1866</c:v>
                      </c:pt>
                      <c:pt idx="1864">
                        <c:v>1867</c:v>
                      </c:pt>
                      <c:pt idx="1865">
                        <c:v>1868</c:v>
                      </c:pt>
                      <c:pt idx="1866">
                        <c:v>1869</c:v>
                      </c:pt>
                      <c:pt idx="1867">
                        <c:v>1870</c:v>
                      </c:pt>
                      <c:pt idx="1868">
                        <c:v>1871</c:v>
                      </c:pt>
                      <c:pt idx="1869">
                        <c:v>1872</c:v>
                      </c:pt>
                      <c:pt idx="1870">
                        <c:v>1873</c:v>
                      </c:pt>
                      <c:pt idx="1871">
                        <c:v>1874</c:v>
                      </c:pt>
                      <c:pt idx="1872">
                        <c:v>1875</c:v>
                      </c:pt>
                      <c:pt idx="1873">
                        <c:v>1876</c:v>
                      </c:pt>
                      <c:pt idx="1874">
                        <c:v>1877</c:v>
                      </c:pt>
                      <c:pt idx="1875">
                        <c:v>1878</c:v>
                      </c:pt>
                      <c:pt idx="1876">
                        <c:v>1879</c:v>
                      </c:pt>
                      <c:pt idx="1877">
                        <c:v>1880</c:v>
                      </c:pt>
                      <c:pt idx="1878">
                        <c:v>1881</c:v>
                      </c:pt>
                      <c:pt idx="1879">
                        <c:v>1882</c:v>
                      </c:pt>
                      <c:pt idx="1880">
                        <c:v>1883</c:v>
                      </c:pt>
                      <c:pt idx="1881">
                        <c:v>1884</c:v>
                      </c:pt>
                      <c:pt idx="1882">
                        <c:v>1885</c:v>
                      </c:pt>
                      <c:pt idx="1883">
                        <c:v>1886</c:v>
                      </c:pt>
                      <c:pt idx="1884">
                        <c:v>1887</c:v>
                      </c:pt>
                      <c:pt idx="1885">
                        <c:v>1888</c:v>
                      </c:pt>
                      <c:pt idx="1886">
                        <c:v>1889</c:v>
                      </c:pt>
                      <c:pt idx="1887">
                        <c:v>1890</c:v>
                      </c:pt>
                      <c:pt idx="1888">
                        <c:v>1891</c:v>
                      </c:pt>
                      <c:pt idx="1889">
                        <c:v>1892</c:v>
                      </c:pt>
                      <c:pt idx="1890">
                        <c:v>1893</c:v>
                      </c:pt>
                      <c:pt idx="1891">
                        <c:v>1894</c:v>
                      </c:pt>
                      <c:pt idx="1892">
                        <c:v>1895</c:v>
                      </c:pt>
                      <c:pt idx="1893">
                        <c:v>1896</c:v>
                      </c:pt>
                      <c:pt idx="1894">
                        <c:v>1897</c:v>
                      </c:pt>
                      <c:pt idx="1895">
                        <c:v>1898</c:v>
                      </c:pt>
                      <c:pt idx="1896">
                        <c:v>1899</c:v>
                      </c:pt>
                      <c:pt idx="1897">
                        <c:v>1900</c:v>
                      </c:pt>
                      <c:pt idx="1898">
                        <c:v>1901</c:v>
                      </c:pt>
                      <c:pt idx="1899">
                        <c:v>1902</c:v>
                      </c:pt>
                      <c:pt idx="1900">
                        <c:v>1903</c:v>
                      </c:pt>
                      <c:pt idx="1901">
                        <c:v>1904</c:v>
                      </c:pt>
                      <c:pt idx="1902">
                        <c:v>1905</c:v>
                      </c:pt>
                      <c:pt idx="1903">
                        <c:v>1906</c:v>
                      </c:pt>
                      <c:pt idx="1904">
                        <c:v>1907</c:v>
                      </c:pt>
                      <c:pt idx="1905">
                        <c:v>1908</c:v>
                      </c:pt>
                      <c:pt idx="1906">
                        <c:v>1909</c:v>
                      </c:pt>
                      <c:pt idx="1907">
                        <c:v>1910</c:v>
                      </c:pt>
                      <c:pt idx="1908">
                        <c:v>1911</c:v>
                      </c:pt>
                      <c:pt idx="1909">
                        <c:v>1912</c:v>
                      </c:pt>
                      <c:pt idx="1910">
                        <c:v>1913</c:v>
                      </c:pt>
                      <c:pt idx="1911">
                        <c:v>1914</c:v>
                      </c:pt>
                      <c:pt idx="1912">
                        <c:v>1915</c:v>
                      </c:pt>
                      <c:pt idx="1913">
                        <c:v>1916</c:v>
                      </c:pt>
                      <c:pt idx="1914">
                        <c:v>1917</c:v>
                      </c:pt>
                      <c:pt idx="1915">
                        <c:v>1918</c:v>
                      </c:pt>
                      <c:pt idx="1916">
                        <c:v>1919</c:v>
                      </c:pt>
                      <c:pt idx="1917">
                        <c:v>1920</c:v>
                      </c:pt>
                      <c:pt idx="1918">
                        <c:v>1921</c:v>
                      </c:pt>
                      <c:pt idx="1919">
                        <c:v>1922</c:v>
                      </c:pt>
                      <c:pt idx="1920">
                        <c:v>1923</c:v>
                      </c:pt>
                      <c:pt idx="1921">
                        <c:v>1924</c:v>
                      </c:pt>
                      <c:pt idx="1922">
                        <c:v>1925</c:v>
                      </c:pt>
                      <c:pt idx="1923">
                        <c:v>1926</c:v>
                      </c:pt>
                      <c:pt idx="1924">
                        <c:v>1927</c:v>
                      </c:pt>
                      <c:pt idx="1925">
                        <c:v>1928</c:v>
                      </c:pt>
                      <c:pt idx="1926">
                        <c:v>1929</c:v>
                      </c:pt>
                      <c:pt idx="1927">
                        <c:v>1930</c:v>
                      </c:pt>
                      <c:pt idx="1928">
                        <c:v>1931</c:v>
                      </c:pt>
                      <c:pt idx="1929">
                        <c:v>1932</c:v>
                      </c:pt>
                      <c:pt idx="1930">
                        <c:v>1933</c:v>
                      </c:pt>
                      <c:pt idx="1931">
                        <c:v>1934</c:v>
                      </c:pt>
                      <c:pt idx="1932">
                        <c:v>1935</c:v>
                      </c:pt>
                      <c:pt idx="1933">
                        <c:v>1936</c:v>
                      </c:pt>
                      <c:pt idx="1934">
                        <c:v>1937</c:v>
                      </c:pt>
                      <c:pt idx="1935">
                        <c:v>1938</c:v>
                      </c:pt>
                      <c:pt idx="1936">
                        <c:v>1939</c:v>
                      </c:pt>
                      <c:pt idx="1937">
                        <c:v>1940</c:v>
                      </c:pt>
                      <c:pt idx="1938">
                        <c:v>1941</c:v>
                      </c:pt>
                      <c:pt idx="1939">
                        <c:v>1942</c:v>
                      </c:pt>
                      <c:pt idx="1940">
                        <c:v>1943</c:v>
                      </c:pt>
                      <c:pt idx="1941">
                        <c:v>1944</c:v>
                      </c:pt>
                      <c:pt idx="1942">
                        <c:v>1945</c:v>
                      </c:pt>
                      <c:pt idx="1943">
                        <c:v>1946</c:v>
                      </c:pt>
                      <c:pt idx="1944">
                        <c:v>1947</c:v>
                      </c:pt>
                      <c:pt idx="1945">
                        <c:v>1948</c:v>
                      </c:pt>
                      <c:pt idx="1946">
                        <c:v>1949</c:v>
                      </c:pt>
                      <c:pt idx="1947">
                        <c:v>1950</c:v>
                      </c:pt>
                      <c:pt idx="1948">
                        <c:v>1951</c:v>
                      </c:pt>
                      <c:pt idx="1949">
                        <c:v>1952</c:v>
                      </c:pt>
                      <c:pt idx="1950">
                        <c:v>1953</c:v>
                      </c:pt>
                      <c:pt idx="1951">
                        <c:v>1954</c:v>
                      </c:pt>
                      <c:pt idx="1952">
                        <c:v>1955</c:v>
                      </c:pt>
                      <c:pt idx="1953">
                        <c:v>1956</c:v>
                      </c:pt>
                      <c:pt idx="1954">
                        <c:v>1957</c:v>
                      </c:pt>
                      <c:pt idx="1955">
                        <c:v>1958</c:v>
                      </c:pt>
                      <c:pt idx="1956">
                        <c:v>1959</c:v>
                      </c:pt>
                      <c:pt idx="1957">
                        <c:v>1960</c:v>
                      </c:pt>
                      <c:pt idx="1958">
                        <c:v>1961</c:v>
                      </c:pt>
                      <c:pt idx="1959">
                        <c:v>1962</c:v>
                      </c:pt>
                      <c:pt idx="1960">
                        <c:v>1963</c:v>
                      </c:pt>
                      <c:pt idx="1961">
                        <c:v>1964</c:v>
                      </c:pt>
                      <c:pt idx="1962">
                        <c:v>1965</c:v>
                      </c:pt>
                      <c:pt idx="1963">
                        <c:v>1966</c:v>
                      </c:pt>
                      <c:pt idx="1964">
                        <c:v>1967</c:v>
                      </c:pt>
                      <c:pt idx="1965">
                        <c:v>1968</c:v>
                      </c:pt>
                      <c:pt idx="1966">
                        <c:v>1969</c:v>
                      </c:pt>
                      <c:pt idx="1967">
                        <c:v>1970</c:v>
                      </c:pt>
                      <c:pt idx="1968">
                        <c:v>1971</c:v>
                      </c:pt>
                      <c:pt idx="1969">
                        <c:v>1972</c:v>
                      </c:pt>
                      <c:pt idx="1970">
                        <c:v>1973</c:v>
                      </c:pt>
                      <c:pt idx="1971">
                        <c:v>1974</c:v>
                      </c:pt>
                      <c:pt idx="1972">
                        <c:v>1975</c:v>
                      </c:pt>
                      <c:pt idx="1973">
                        <c:v>1976</c:v>
                      </c:pt>
                      <c:pt idx="1974">
                        <c:v>1977</c:v>
                      </c:pt>
                      <c:pt idx="1975">
                        <c:v>1978</c:v>
                      </c:pt>
                      <c:pt idx="1976">
                        <c:v>1979</c:v>
                      </c:pt>
                      <c:pt idx="1977">
                        <c:v>1980</c:v>
                      </c:pt>
                      <c:pt idx="1978">
                        <c:v>1981</c:v>
                      </c:pt>
                      <c:pt idx="1979">
                        <c:v>1982</c:v>
                      </c:pt>
                      <c:pt idx="1980">
                        <c:v>1983</c:v>
                      </c:pt>
                      <c:pt idx="1981">
                        <c:v>1984</c:v>
                      </c:pt>
                      <c:pt idx="1982">
                        <c:v>1985</c:v>
                      </c:pt>
                      <c:pt idx="1983">
                        <c:v>1986</c:v>
                      </c:pt>
                      <c:pt idx="1984">
                        <c:v>1987</c:v>
                      </c:pt>
                      <c:pt idx="1985">
                        <c:v>1988</c:v>
                      </c:pt>
                      <c:pt idx="1986">
                        <c:v>1989</c:v>
                      </c:pt>
                      <c:pt idx="1987">
                        <c:v>1990</c:v>
                      </c:pt>
                      <c:pt idx="1988">
                        <c:v>1991</c:v>
                      </c:pt>
                      <c:pt idx="1989">
                        <c:v>1992</c:v>
                      </c:pt>
                      <c:pt idx="1990">
                        <c:v>1993</c:v>
                      </c:pt>
                      <c:pt idx="1991">
                        <c:v>1994</c:v>
                      </c:pt>
                      <c:pt idx="1992">
                        <c:v>1995</c:v>
                      </c:pt>
                      <c:pt idx="1993">
                        <c:v>1996</c:v>
                      </c:pt>
                      <c:pt idx="1994">
                        <c:v>1997</c:v>
                      </c:pt>
                      <c:pt idx="1995">
                        <c:v>1998</c:v>
                      </c:pt>
                      <c:pt idx="1996">
                        <c:v>1999</c:v>
                      </c:pt>
                      <c:pt idx="1997">
                        <c:v>2000</c:v>
                      </c:pt>
                      <c:pt idx="1998">
                        <c:v>2001</c:v>
                      </c:pt>
                      <c:pt idx="1999">
                        <c:v>2002</c:v>
                      </c:pt>
                      <c:pt idx="2000">
                        <c:v>2003</c:v>
                      </c:pt>
                      <c:pt idx="2001">
                        <c:v>2004</c:v>
                      </c:pt>
                      <c:pt idx="2002">
                        <c:v>2005</c:v>
                      </c:pt>
                      <c:pt idx="2003">
                        <c:v>2006</c:v>
                      </c:pt>
                      <c:pt idx="2004">
                        <c:v>2007</c:v>
                      </c:pt>
                      <c:pt idx="2005">
                        <c:v>2008</c:v>
                      </c:pt>
                      <c:pt idx="2006">
                        <c:v>2009</c:v>
                      </c:pt>
                      <c:pt idx="2007">
                        <c:v>2010</c:v>
                      </c:pt>
                      <c:pt idx="2008">
                        <c:v>2011</c:v>
                      </c:pt>
                      <c:pt idx="2009">
                        <c:v>2012</c:v>
                      </c:pt>
                      <c:pt idx="2010">
                        <c:v>2013</c:v>
                      </c:pt>
                      <c:pt idx="2011">
                        <c:v>2014</c:v>
                      </c:pt>
                      <c:pt idx="2012">
                        <c:v>2015</c:v>
                      </c:pt>
                      <c:pt idx="2013">
                        <c:v>2016</c:v>
                      </c:pt>
                      <c:pt idx="2014">
                        <c:v>2017</c:v>
                      </c:pt>
                      <c:pt idx="2015">
                        <c:v>2018</c:v>
                      </c:pt>
                      <c:pt idx="2016">
                        <c:v>2019</c:v>
                      </c:pt>
                      <c:pt idx="2017">
                        <c:v>2020</c:v>
                      </c:pt>
                      <c:pt idx="2018">
                        <c:v>2021</c:v>
                      </c:pt>
                      <c:pt idx="2019">
                        <c:v>2022</c:v>
                      </c:pt>
                      <c:pt idx="2020">
                        <c:v>2023</c:v>
                      </c:pt>
                      <c:pt idx="2021">
                        <c:v>2024</c:v>
                      </c:pt>
                      <c:pt idx="2022">
                        <c:v>2025</c:v>
                      </c:pt>
                      <c:pt idx="2023">
                        <c:v>2026</c:v>
                      </c:pt>
                      <c:pt idx="2024">
                        <c:v>2027</c:v>
                      </c:pt>
                      <c:pt idx="2025">
                        <c:v>2028</c:v>
                      </c:pt>
                      <c:pt idx="2026">
                        <c:v>2029</c:v>
                      </c:pt>
                      <c:pt idx="2027">
                        <c:v>2030</c:v>
                      </c:pt>
                      <c:pt idx="2028">
                        <c:v>2031</c:v>
                      </c:pt>
                      <c:pt idx="2029">
                        <c:v>2032</c:v>
                      </c:pt>
                      <c:pt idx="2030">
                        <c:v>2033</c:v>
                      </c:pt>
                      <c:pt idx="2031">
                        <c:v>2034</c:v>
                      </c:pt>
                      <c:pt idx="2032">
                        <c:v>2035</c:v>
                      </c:pt>
                      <c:pt idx="2033">
                        <c:v>2036</c:v>
                      </c:pt>
                      <c:pt idx="2034">
                        <c:v>2037</c:v>
                      </c:pt>
                      <c:pt idx="2035">
                        <c:v>2038</c:v>
                      </c:pt>
                      <c:pt idx="2036">
                        <c:v>2039</c:v>
                      </c:pt>
                      <c:pt idx="2037">
                        <c:v>2040</c:v>
                      </c:pt>
                      <c:pt idx="2038">
                        <c:v>2041</c:v>
                      </c:pt>
                      <c:pt idx="2039">
                        <c:v>2042</c:v>
                      </c:pt>
                      <c:pt idx="2040">
                        <c:v>2043</c:v>
                      </c:pt>
                      <c:pt idx="2041">
                        <c:v>2044</c:v>
                      </c:pt>
                      <c:pt idx="2042">
                        <c:v>2045</c:v>
                      </c:pt>
                      <c:pt idx="2043">
                        <c:v>2046</c:v>
                      </c:pt>
                      <c:pt idx="2044">
                        <c:v>2047</c:v>
                      </c:pt>
                      <c:pt idx="2045">
                        <c:v>2048</c:v>
                      </c:pt>
                      <c:pt idx="2046">
                        <c:v>2049</c:v>
                      </c:pt>
                      <c:pt idx="2047">
                        <c:v>2050</c:v>
                      </c:pt>
                      <c:pt idx="2048">
                        <c:v>2051</c:v>
                      </c:pt>
                      <c:pt idx="2049">
                        <c:v>2052</c:v>
                      </c:pt>
                      <c:pt idx="2050">
                        <c:v>2053</c:v>
                      </c:pt>
                      <c:pt idx="2051">
                        <c:v>2054</c:v>
                      </c:pt>
                      <c:pt idx="2052">
                        <c:v>2055</c:v>
                      </c:pt>
                      <c:pt idx="2053">
                        <c:v>2056</c:v>
                      </c:pt>
                      <c:pt idx="2054">
                        <c:v>2057</c:v>
                      </c:pt>
                      <c:pt idx="2055">
                        <c:v>2058</c:v>
                      </c:pt>
                      <c:pt idx="2056">
                        <c:v>2059</c:v>
                      </c:pt>
                      <c:pt idx="2057">
                        <c:v>2060</c:v>
                      </c:pt>
                      <c:pt idx="2058">
                        <c:v>2061</c:v>
                      </c:pt>
                      <c:pt idx="2059">
                        <c:v>2062</c:v>
                      </c:pt>
                      <c:pt idx="2060">
                        <c:v>2063</c:v>
                      </c:pt>
                      <c:pt idx="2061">
                        <c:v>2064</c:v>
                      </c:pt>
                      <c:pt idx="2062">
                        <c:v>2065</c:v>
                      </c:pt>
                      <c:pt idx="2063">
                        <c:v>2066</c:v>
                      </c:pt>
                      <c:pt idx="2064">
                        <c:v>2067</c:v>
                      </c:pt>
                      <c:pt idx="2065">
                        <c:v>2068</c:v>
                      </c:pt>
                      <c:pt idx="2066">
                        <c:v>2069</c:v>
                      </c:pt>
                      <c:pt idx="2067">
                        <c:v>2070</c:v>
                      </c:pt>
                      <c:pt idx="2068">
                        <c:v>2071</c:v>
                      </c:pt>
                      <c:pt idx="2069">
                        <c:v>2072</c:v>
                      </c:pt>
                      <c:pt idx="2070">
                        <c:v>2073</c:v>
                      </c:pt>
                      <c:pt idx="2071">
                        <c:v>2074</c:v>
                      </c:pt>
                      <c:pt idx="2072">
                        <c:v>2075</c:v>
                      </c:pt>
                      <c:pt idx="2073">
                        <c:v>2076</c:v>
                      </c:pt>
                      <c:pt idx="2074">
                        <c:v>2077</c:v>
                      </c:pt>
                      <c:pt idx="2075">
                        <c:v>2078</c:v>
                      </c:pt>
                      <c:pt idx="2076">
                        <c:v>2079</c:v>
                      </c:pt>
                      <c:pt idx="2077">
                        <c:v>2080</c:v>
                      </c:pt>
                      <c:pt idx="2078">
                        <c:v>2081</c:v>
                      </c:pt>
                      <c:pt idx="2079">
                        <c:v>2082</c:v>
                      </c:pt>
                      <c:pt idx="2080">
                        <c:v>2083</c:v>
                      </c:pt>
                      <c:pt idx="2081">
                        <c:v>2084</c:v>
                      </c:pt>
                      <c:pt idx="2082">
                        <c:v>2085</c:v>
                      </c:pt>
                      <c:pt idx="2083">
                        <c:v>2086</c:v>
                      </c:pt>
                      <c:pt idx="2084">
                        <c:v>2087</c:v>
                      </c:pt>
                      <c:pt idx="2085">
                        <c:v>2088</c:v>
                      </c:pt>
                      <c:pt idx="2086">
                        <c:v>2089</c:v>
                      </c:pt>
                      <c:pt idx="2087">
                        <c:v>2090</c:v>
                      </c:pt>
                      <c:pt idx="2088">
                        <c:v>2091</c:v>
                      </c:pt>
                      <c:pt idx="2089">
                        <c:v>2092</c:v>
                      </c:pt>
                      <c:pt idx="2090">
                        <c:v>2093</c:v>
                      </c:pt>
                      <c:pt idx="2091">
                        <c:v>2094</c:v>
                      </c:pt>
                      <c:pt idx="2092">
                        <c:v>2095</c:v>
                      </c:pt>
                      <c:pt idx="2093">
                        <c:v>2096</c:v>
                      </c:pt>
                      <c:pt idx="2094">
                        <c:v>2097</c:v>
                      </c:pt>
                      <c:pt idx="2095">
                        <c:v>2098</c:v>
                      </c:pt>
                      <c:pt idx="2096">
                        <c:v>2099</c:v>
                      </c:pt>
                      <c:pt idx="2097">
                        <c:v>2100</c:v>
                      </c:pt>
                      <c:pt idx="2098">
                        <c:v>2101</c:v>
                      </c:pt>
                      <c:pt idx="2099">
                        <c:v>2102</c:v>
                      </c:pt>
                      <c:pt idx="2100">
                        <c:v>2103</c:v>
                      </c:pt>
                      <c:pt idx="2101">
                        <c:v>2104</c:v>
                      </c:pt>
                      <c:pt idx="2102">
                        <c:v>2105</c:v>
                      </c:pt>
                      <c:pt idx="2103">
                        <c:v>2106</c:v>
                      </c:pt>
                      <c:pt idx="2104">
                        <c:v>2107</c:v>
                      </c:pt>
                      <c:pt idx="2105">
                        <c:v>2108</c:v>
                      </c:pt>
                      <c:pt idx="2106">
                        <c:v>2109</c:v>
                      </c:pt>
                      <c:pt idx="2107">
                        <c:v>2110</c:v>
                      </c:pt>
                      <c:pt idx="2108">
                        <c:v>2111</c:v>
                      </c:pt>
                      <c:pt idx="2109">
                        <c:v>2112</c:v>
                      </c:pt>
                      <c:pt idx="2110">
                        <c:v>2113</c:v>
                      </c:pt>
                      <c:pt idx="2111">
                        <c:v>2114</c:v>
                      </c:pt>
                      <c:pt idx="2112">
                        <c:v>2115</c:v>
                      </c:pt>
                      <c:pt idx="2113">
                        <c:v>2116</c:v>
                      </c:pt>
                      <c:pt idx="2114">
                        <c:v>2117</c:v>
                      </c:pt>
                      <c:pt idx="2115">
                        <c:v>2118</c:v>
                      </c:pt>
                      <c:pt idx="2116">
                        <c:v>2119</c:v>
                      </c:pt>
                      <c:pt idx="2117">
                        <c:v>2120</c:v>
                      </c:pt>
                      <c:pt idx="2118">
                        <c:v>2121</c:v>
                      </c:pt>
                      <c:pt idx="2119">
                        <c:v>2122</c:v>
                      </c:pt>
                      <c:pt idx="2120">
                        <c:v>2123</c:v>
                      </c:pt>
                      <c:pt idx="2121">
                        <c:v>2124</c:v>
                      </c:pt>
                      <c:pt idx="2122">
                        <c:v>2125</c:v>
                      </c:pt>
                      <c:pt idx="2123">
                        <c:v>2126</c:v>
                      </c:pt>
                      <c:pt idx="2124">
                        <c:v>2127</c:v>
                      </c:pt>
                      <c:pt idx="2125">
                        <c:v>2128</c:v>
                      </c:pt>
                      <c:pt idx="2126">
                        <c:v>2129</c:v>
                      </c:pt>
                      <c:pt idx="2127">
                        <c:v>2130</c:v>
                      </c:pt>
                      <c:pt idx="2128">
                        <c:v>2131</c:v>
                      </c:pt>
                      <c:pt idx="2129">
                        <c:v>2132</c:v>
                      </c:pt>
                      <c:pt idx="2130">
                        <c:v>2133</c:v>
                      </c:pt>
                      <c:pt idx="2131">
                        <c:v>2134</c:v>
                      </c:pt>
                      <c:pt idx="2132">
                        <c:v>2135</c:v>
                      </c:pt>
                      <c:pt idx="2133">
                        <c:v>2136</c:v>
                      </c:pt>
                      <c:pt idx="2134">
                        <c:v>2137</c:v>
                      </c:pt>
                      <c:pt idx="2135">
                        <c:v>2138</c:v>
                      </c:pt>
                      <c:pt idx="2136">
                        <c:v>2139</c:v>
                      </c:pt>
                      <c:pt idx="2137">
                        <c:v>2140</c:v>
                      </c:pt>
                      <c:pt idx="2138">
                        <c:v>2141</c:v>
                      </c:pt>
                      <c:pt idx="2139">
                        <c:v>2142</c:v>
                      </c:pt>
                      <c:pt idx="2140">
                        <c:v>2143</c:v>
                      </c:pt>
                      <c:pt idx="2141">
                        <c:v>2144</c:v>
                      </c:pt>
                      <c:pt idx="2142">
                        <c:v>2145</c:v>
                      </c:pt>
                      <c:pt idx="2143">
                        <c:v>2146</c:v>
                      </c:pt>
                      <c:pt idx="2144">
                        <c:v>2147</c:v>
                      </c:pt>
                      <c:pt idx="2145">
                        <c:v>2148</c:v>
                      </c:pt>
                      <c:pt idx="2146">
                        <c:v>2149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2719768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0571952"/>
        <c:crosses val="autoZero"/>
        <c:auto val="1"/>
        <c:lblAlgn val="ctr"/>
        <c:lblOffset val="100"/>
        <c:noMultiLvlLbl val="0"/>
      </c:catAx>
      <c:valAx>
        <c:axId val="27057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197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Simulation</a:t>
            </a:r>
            <a:r>
              <a:rPr lang="en-US" altLang="zh-CN" baseline="0"/>
              <a:t> of Stock Price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Stock Price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"/>
              <c:pt idx="0">
                <c:v>Time (day)</c:v>
              </c:pt>
            </c:strLit>
          </c:cat>
          <c:val>
            <c:numRef>
              <c:f>PriceSimulation!$E$30:$E$280</c:f>
              <c:numCache>
                <c:formatCode>"¥"#,##0.00_);\("¥"#,##0.00\)</c:formatCode>
                <c:ptCount val="251"/>
                <c:pt idx="0" formatCode="General">
                  <c:v>10</c:v>
                </c:pt>
                <c:pt idx="1">
                  <c:v>10.310567236298294</c:v>
                </c:pt>
                <c:pt idx="2">
                  <c:v>10.505037574808147</c:v>
                </c:pt>
                <c:pt idx="3">
                  <c:v>10.09387512381752</c:v>
                </c:pt>
                <c:pt idx="4">
                  <c:v>10.123028516492182</c:v>
                </c:pt>
                <c:pt idx="5">
                  <c:v>10.269331284311111</c:v>
                </c:pt>
                <c:pt idx="6">
                  <c:v>10.544377595368386</c:v>
                </c:pt>
                <c:pt idx="7">
                  <c:v>10.535167511105568</c:v>
                </c:pt>
                <c:pt idx="8">
                  <c:v>10.379665086705844</c:v>
                </c:pt>
                <c:pt idx="9">
                  <c:v>10.205123764917374</c:v>
                </c:pt>
                <c:pt idx="10">
                  <c:v>10.438346194808842</c:v>
                </c:pt>
                <c:pt idx="11">
                  <c:v>10.629456271298633</c:v>
                </c:pt>
                <c:pt idx="12">
                  <c:v>10.663757837392788</c:v>
                </c:pt>
                <c:pt idx="13">
                  <c:v>10.82096999279471</c:v>
                </c:pt>
                <c:pt idx="14">
                  <c:v>10.84053597791943</c:v>
                </c:pt>
                <c:pt idx="15">
                  <c:v>10.622069871259757</c:v>
                </c:pt>
                <c:pt idx="16">
                  <c:v>10.533364185491839</c:v>
                </c:pt>
                <c:pt idx="17">
                  <c:v>10.110239730881014</c:v>
                </c:pt>
                <c:pt idx="18">
                  <c:v>10.102345420250245</c:v>
                </c:pt>
                <c:pt idx="19">
                  <c:v>9.8525757897930166</c:v>
                </c:pt>
                <c:pt idx="20">
                  <c:v>9.7581866138278279</c:v>
                </c:pt>
                <c:pt idx="21">
                  <c:v>9.8601189549715667</c:v>
                </c:pt>
                <c:pt idx="22">
                  <c:v>9.8730957031242319</c:v>
                </c:pt>
                <c:pt idx="23">
                  <c:v>9.8008373295749642</c:v>
                </c:pt>
                <c:pt idx="24">
                  <c:v>9.933451488957262</c:v>
                </c:pt>
                <c:pt idx="25">
                  <c:v>10.08675663529829</c:v>
                </c:pt>
                <c:pt idx="26">
                  <c:v>10.455596680713294</c:v>
                </c:pt>
                <c:pt idx="27">
                  <c:v>10.537892907552513</c:v>
                </c:pt>
                <c:pt idx="28">
                  <c:v>10.454950228634937</c:v>
                </c:pt>
                <c:pt idx="29">
                  <c:v>10.644087614961439</c:v>
                </c:pt>
                <c:pt idx="30">
                  <c:v>10.951380920417767</c:v>
                </c:pt>
                <c:pt idx="31">
                  <c:v>10.768352287969989</c:v>
                </c:pt>
                <c:pt idx="32">
                  <c:v>10.729093555154932</c:v>
                </c:pt>
                <c:pt idx="33">
                  <c:v>10.779786754790882</c:v>
                </c:pt>
                <c:pt idx="34">
                  <c:v>10.959032762128158</c:v>
                </c:pt>
                <c:pt idx="35">
                  <c:v>11.021269434253513</c:v>
                </c:pt>
                <c:pt idx="36">
                  <c:v>11.557542716427767</c:v>
                </c:pt>
                <c:pt idx="37">
                  <c:v>11.869242902609651</c:v>
                </c:pt>
                <c:pt idx="38">
                  <c:v>11.861225415940728</c:v>
                </c:pt>
                <c:pt idx="39">
                  <c:v>12.090859497417798</c:v>
                </c:pt>
                <c:pt idx="40">
                  <c:v>12.019383955262569</c:v>
                </c:pt>
                <c:pt idx="41">
                  <c:v>12.000725605073059</c:v>
                </c:pt>
                <c:pt idx="42">
                  <c:v>12.36206163808332</c:v>
                </c:pt>
                <c:pt idx="43">
                  <c:v>12.303834827585357</c:v>
                </c:pt>
                <c:pt idx="44">
                  <c:v>12.156666531636285</c:v>
                </c:pt>
                <c:pt idx="45">
                  <c:v>12.214315374722732</c:v>
                </c:pt>
                <c:pt idx="46">
                  <c:v>12.106932804333493</c:v>
                </c:pt>
                <c:pt idx="47">
                  <c:v>12.340649259349279</c:v>
                </c:pt>
                <c:pt idx="48">
                  <c:v>12.501085402545648</c:v>
                </c:pt>
                <c:pt idx="49">
                  <c:v>12.474014549444432</c:v>
                </c:pt>
                <c:pt idx="50">
                  <c:v>12.222501614105227</c:v>
                </c:pt>
                <c:pt idx="51">
                  <c:v>12.584818949383175</c:v>
                </c:pt>
                <c:pt idx="52">
                  <c:v>12.382589650286247</c:v>
                </c:pt>
                <c:pt idx="53">
                  <c:v>12.203300384222091</c:v>
                </c:pt>
                <c:pt idx="54">
                  <c:v>11.936202558636866</c:v>
                </c:pt>
                <c:pt idx="55">
                  <c:v>11.650843343013692</c:v>
                </c:pt>
                <c:pt idx="56">
                  <c:v>11.335890371984581</c:v>
                </c:pt>
                <c:pt idx="57">
                  <c:v>11.212029370574555</c:v>
                </c:pt>
                <c:pt idx="58">
                  <c:v>11.321457779160397</c:v>
                </c:pt>
                <c:pt idx="59">
                  <c:v>11.165581204722979</c:v>
                </c:pt>
                <c:pt idx="60">
                  <c:v>11.522124179192236</c:v>
                </c:pt>
                <c:pt idx="61">
                  <c:v>10.827279296821546</c:v>
                </c:pt>
                <c:pt idx="62">
                  <c:v>10.826863944151498</c:v>
                </c:pt>
                <c:pt idx="63">
                  <c:v>11.082809433640078</c:v>
                </c:pt>
                <c:pt idx="64">
                  <c:v>10.860297557005362</c:v>
                </c:pt>
                <c:pt idx="65">
                  <c:v>10.596406524527559</c:v>
                </c:pt>
                <c:pt idx="66">
                  <c:v>10.697503517959156</c:v>
                </c:pt>
                <c:pt idx="67">
                  <c:v>10.725785555239725</c:v>
                </c:pt>
                <c:pt idx="68">
                  <c:v>10.616830027595574</c:v>
                </c:pt>
                <c:pt idx="69">
                  <c:v>10.558700333762273</c:v>
                </c:pt>
                <c:pt idx="70">
                  <c:v>10.602973807168688</c:v>
                </c:pt>
                <c:pt idx="71">
                  <c:v>10.412167967748461</c:v>
                </c:pt>
                <c:pt idx="72">
                  <c:v>10.381316205435777</c:v>
                </c:pt>
                <c:pt idx="73">
                  <c:v>10.573181467100216</c:v>
                </c:pt>
                <c:pt idx="74">
                  <c:v>10.349196030192733</c:v>
                </c:pt>
                <c:pt idx="75">
                  <c:v>10.384401296657105</c:v>
                </c:pt>
                <c:pt idx="76">
                  <c:v>10.283175006128236</c:v>
                </c:pt>
                <c:pt idx="77">
                  <c:v>10.44811876910453</c:v>
                </c:pt>
                <c:pt idx="78">
                  <c:v>10.143942932641231</c:v>
                </c:pt>
                <c:pt idx="79">
                  <c:v>10.511910621268596</c:v>
                </c:pt>
                <c:pt idx="80">
                  <c:v>10.395131744510202</c:v>
                </c:pt>
                <c:pt idx="81">
                  <c:v>10.545924655554751</c:v>
                </c:pt>
                <c:pt idx="82">
                  <c:v>10.980066811770158</c:v>
                </c:pt>
                <c:pt idx="83">
                  <c:v>10.802411985142347</c:v>
                </c:pt>
                <c:pt idx="84">
                  <c:v>11.177844279607186</c:v>
                </c:pt>
                <c:pt idx="85">
                  <c:v>11.648033672189669</c:v>
                </c:pt>
                <c:pt idx="86">
                  <c:v>11.974879467666574</c:v>
                </c:pt>
                <c:pt idx="87">
                  <c:v>12.087962020467922</c:v>
                </c:pt>
                <c:pt idx="88">
                  <c:v>12.344789720385755</c:v>
                </c:pt>
                <c:pt idx="89">
                  <c:v>12.394767287478349</c:v>
                </c:pt>
                <c:pt idx="90">
                  <c:v>12.528804785196602</c:v>
                </c:pt>
                <c:pt idx="91">
                  <c:v>11.901312548717401</c:v>
                </c:pt>
                <c:pt idx="92">
                  <c:v>11.630186686640064</c:v>
                </c:pt>
                <c:pt idx="93">
                  <c:v>11.110535549616765</c:v>
                </c:pt>
                <c:pt idx="94">
                  <c:v>10.701763423920077</c:v>
                </c:pt>
                <c:pt idx="95">
                  <c:v>10.548732004446324</c:v>
                </c:pt>
                <c:pt idx="96">
                  <c:v>10.318005027316765</c:v>
                </c:pt>
                <c:pt idx="97">
                  <c:v>10.276553803630643</c:v>
                </c:pt>
                <c:pt idx="98">
                  <c:v>10.077546607720896</c:v>
                </c:pt>
                <c:pt idx="99">
                  <c:v>10.178064269384093</c:v>
                </c:pt>
                <c:pt idx="100">
                  <c:v>10.059835615862079</c:v>
                </c:pt>
                <c:pt idx="101">
                  <c:v>10.629488130717981</c:v>
                </c:pt>
                <c:pt idx="102">
                  <c:v>10.65200792291947</c:v>
                </c:pt>
                <c:pt idx="103">
                  <c:v>10.746070194782396</c:v>
                </c:pt>
                <c:pt idx="104">
                  <c:v>10.612064180020337</c:v>
                </c:pt>
                <c:pt idx="105">
                  <c:v>11.258755358822564</c:v>
                </c:pt>
                <c:pt idx="106">
                  <c:v>11.192616152794118</c:v>
                </c:pt>
                <c:pt idx="107">
                  <c:v>11.039462227001255</c:v>
                </c:pt>
                <c:pt idx="108">
                  <c:v>10.900618838688754</c:v>
                </c:pt>
                <c:pt idx="109">
                  <c:v>11.051579925282319</c:v>
                </c:pt>
                <c:pt idx="110">
                  <c:v>10.704386062492</c:v>
                </c:pt>
                <c:pt idx="111">
                  <c:v>10.445292922761734</c:v>
                </c:pt>
                <c:pt idx="112">
                  <c:v>10.067170397349688</c:v>
                </c:pt>
                <c:pt idx="113">
                  <c:v>9.6848088425808516</c:v>
                </c:pt>
                <c:pt idx="114">
                  <c:v>9.0803287706342832</c:v>
                </c:pt>
                <c:pt idx="115">
                  <c:v>8.8907237137127844</c:v>
                </c:pt>
                <c:pt idx="116">
                  <c:v>8.8068311594996889</c:v>
                </c:pt>
                <c:pt idx="117">
                  <c:v>8.834874793993059</c:v>
                </c:pt>
                <c:pt idx="118">
                  <c:v>9.2380194332491676</c:v>
                </c:pt>
                <c:pt idx="119">
                  <c:v>9.2162301470599619</c:v>
                </c:pt>
                <c:pt idx="120">
                  <c:v>9.1295006640778809</c:v>
                </c:pt>
                <c:pt idx="121">
                  <c:v>9.0009881202854896</c:v>
                </c:pt>
                <c:pt idx="122">
                  <c:v>8.8475158480241411</c:v>
                </c:pt>
                <c:pt idx="123">
                  <c:v>8.682082601284332</c:v>
                </c:pt>
                <c:pt idx="124">
                  <c:v>8.5994199206083639</c:v>
                </c:pt>
                <c:pt idx="125">
                  <c:v>8.2897618105608242</c:v>
                </c:pt>
                <c:pt idx="126">
                  <c:v>8.4305683561879068</c:v>
                </c:pt>
                <c:pt idx="127">
                  <c:v>8.6206881992447446</c:v>
                </c:pt>
                <c:pt idx="128">
                  <c:v>8.6304151246025658</c:v>
                </c:pt>
                <c:pt idx="129">
                  <c:v>8.4996599363838765</c:v>
                </c:pt>
                <c:pt idx="130">
                  <c:v>8.7508947460754101</c:v>
                </c:pt>
                <c:pt idx="131">
                  <c:v>8.4955664472884269</c:v>
                </c:pt>
                <c:pt idx="132">
                  <c:v>8.1909393117336542</c:v>
                </c:pt>
                <c:pt idx="133">
                  <c:v>8.3645403410963528</c:v>
                </c:pt>
                <c:pt idx="134">
                  <c:v>8.4039434711429948</c:v>
                </c:pt>
                <c:pt idx="135">
                  <c:v>8.5727311749430068</c:v>
                </c:pt>
                <c:pt idx="136">
                  <c:v>8.812429216993019</c:v>
                </c:pt>
                <c:pt idx="137">
                  <c:v>8.8988826453236225</c:v>
                </c:pt>
                <c:pt idx="138">
                  <c:v>8.6636319777387349</c:v>
                </c:pt>
                <c:pt idx="139">
                  <c:v>8.3868273470888148</c:v>
                </c:pt>
                <c:pt idx="140">
                  <c:v>8.137685000014347</c:v>
                </c:pt>
                <c:pt idx="141">
                  <c:v>7.9236528846104353</c:v>
                </c:pt>
                <c:pt idx="142">
                  <c:v>7.9819804468883992</c:v>
                </c:pt>
                <c:pt idx="143">
                  <c:v>7.9012727728515699</c:v>
                </c:pt>
                <c:pt idx="144">
                  <c:v>8.1552967596248838</c:v>
                </c:pt>
                <c:pt idx="145">
                  <c:v>8.3276718519193089</c:v>
                </c:pt>
                <c:pt idx="146">
                  <c:v>8.5345498345612487</c:v>
                </c:pt>
                <c:pt idx="147">
                  <c:v>8.8292540024375583</c:v>
                </c:pt>
                <c:pt idx="148">
                  <c:v>8.9689854030705742</c:v>
                </c:pt>
                <c:pt idx="149">
                  <c:v>8.9383503884551398</c:v>
                </c:pt>
                <c:pt idx="150">
                  <c:v>8.7211686650923159</c:v>
                </c:pt>
                <c:pt idx="151">
                  <c:v>8.6289670529645477</c:v>
                </c:pt>
                <c:pt idx="152">
                  <c:v>8.6696337742677976</c:v>
                </c:pt>
                <c:pt idx="153">
                  <c:v>8.8259297881045669</c:v>
                </c:pt>
                <c:pt idx="154">
                  <c:v>8.6983268885260543</c:v>
                </c:pt>
                <c:pt idx="155">
                  <c:v>8.7068261224727781</c:v>
                </c:pt>
                <c:pt idx="156">
                  <c:v>8.6916112696588677</c:v>
                </c:pt>
                <c:pt idx="157">
                  <c:v>8.7854264550167986</c:v>
                </c:pt>
                <c:pt idx="158">
                  <c:v>8.5489463745161913</c:v>
                </c:pt>
                <c:pt idx="159">
                  <c:v>8.5573019282667424</c:v>
                </c:pt>
                <c:pt idx="160">
                  <c:v>8.4256957865836206</c:v>
                </c:pt>
                <c:pt idx="161">
                  <c:v>8.6552295093242613</c:v>
                </c:pt>
                <c:pt idx="162">
                  <c:v>8.3266399902520156</c:v>
                </c:pt>
                <c:pt idx="163">
                  <c:v>8.5134655790864144</c:v>
                </c:pt>
                <c:pt idx="164">
                  <c:v>8.8968648841944109</c:v>
                </c:pt>
                <c:pt idx="165">
                  <c:v>8.7839911959957639</c:v>
                </c:pt>
                <c:pt idx="166">
                  <c:v>8.3155829470835663</c:v>
                </c:pt>
                <c:pt idx="167">
                  <c:v>8.3894506526494954</c:v>
                </c:pt>
                <c:pt idx="168">
                  <c:v>8.5217589866286563</c:v>
                </c:pt>
                <c:pt idx="169">
                  <c:v>8.8159721838410796</c:v>
                </c:pt>
                <c:pt idx="170">
                  <c:v>8.7501084053779685</c:v>
                </c:pt>
                <c:pt idx="171">
                  <c:v>8.7782784399213725</c:v>
                </c:pt>
                <c:pt idx="172">
                  <c:v>8.7352877924612162</c:v>
                </c:pt>
                <c:pt idx="173">
                  <c:v>8.702578975612477</c:v>
                </c:pt>
                <c:pt idx="174">
                  <c:v>8.3087019295254301</c:v>
                </c:pt>
                <c:pt idx="175">
                  <c:v>8.8464478844044514</c:v>
                </c:pt>
                <c:pt idx="176">
                  <c:v>9.1399451580246716</c:v>
                </c:pt>
                <c:pt idx="177">
                  <c:v>9.63752666144374</c:v>
                </c:pt>
                <c:pt idx="178">
                  <c:v>9.9853021093663834</c:v>
                </c:pt>
                <c:pt idx="179">
                  <c:v>9.7665798262968302</c:v>
                </c:pt>
                <c:pt idx="180">
                  <c:v>9.7616543164169318</c:v>
                </c:pt>
                <c:pt idx="181">
                  <c:v>9.5513008422562375</c:v>
                </c:pt>
                <c:pt idx="182">
                  <c:v>9.9051579243861987</c:v>
                </c:pt>
                <c:pt idx="183">
                  <c:v>10.107599355435683</c:v>
                </c:pt>
                <c:pt idx="184">
                  <c:v>10.014299070425219</c:v>
                </c:pt>
                <c:pt idx="185">
                  <c:v>10.164630675320536</c:v>
                </c:pt>
                <c:pt idx="186">
                  <c:v>10.255895304191235</c:v>
                </c:pt>
                <c:pt idx="187">
                  <c:v>10.401202491415479</c:v>
                </c:pt>
                <c:pt idx="188">
                  <c:v>10.486269404051482</c:v>
                </c:pt>
                <c:pt idx="189">
                  <c:v>10.682167753057026</c:v>
                </c:pt>
                <c:pt idx="190">
                  <c:v>9.9875144880520654</c:v>
                </c:pt>
                <c:pt idx="191">
                  <c:v>9.9810622143380083</c:v>
                </c:pt>
                <c:pt idx="192">
                  <c:v>9.7537014109567082</c:v>
                </c:pt>
                <c:pt idx="193">
                  <c:v>9.7838699134841498</c:v>
                </c:pt>
                <c:pt idx="194">
                  <c:v>10.052554813588801</c:v>
                </c:pt>
                <c:pt idx="195">
                  <c:v>9.7037240189052607</c:v>
                </c:pt>
                <c:pt idx="196">
                  <c:v>9.482385248861986</c:v>
                </c:pt>
                <c:pt idx="197">
                  <c:v>9.4337648910993455</c:v>
                </c:pt>
                <c:pt idx="198">
                  <c:v>9.0068431243606053</c:v>
                </c:pt>
                <c:pt idx="199">
                  <c:v>9.0071316083282316</c:v>
                </c:pt>
                <c:pt idx="200">
                  <c:v>8.7494984382061229</c:v>
                </c:pt>
                <c:pt idx="201">
                  <c:v>8.502885535949078</c:v>
                </c:pt>
                <c:pt idx="202">
                  <c:v>9.0248435040141306</c:v>
                </c:pt>
                <c:pt idx="203">
                  <c:v>8.8148198294807454</c:v>
                </c:pt>
                <c:pt idx="204">
                  <c:v>8.8557185146176902</c:v>
                </c:pt>
                <c:pt idx="205">
                  <c:v>9.0356669803605083</c:v>
                </c:pt>
                <c:pt idx="206">
                  <c:v>9.0861341554274855</c:v>
                </c:pt>
                <c:pt idx="207">
                  <c:v>9.0404804714846012</c:v>
                </c:pt>
                <c:pt idx="208">
                  <c:v>9.0909840453484794</c:v>
                </c:pt>
                <c:pt idx="209">
                  <c:v>9.1119752909987302</c:v>
                </c:pt>
                <c:pt idx="210">
                  <c:v>9.0061933782874934</c:v>
                </c:pt>
                <c:pt idx="211">
                  <c:v>9.2410316347048838</c:v>
                </c:pt>
                <c:pt idx="212">
                  <c:v>9.382727359743134</c:v>
                </c:pt>
                <c:pt idx="213">
                  <c:v>9.4817974692803162</c:v>
                </c:pt>
                <c:pt idx="214">
                  <c:v>9.5753966069672263</c:v>
                </c:pt>
                <c:pt idx="215">
                  <c:v>9.8379282937547021</c:v>
                </c:pt>
                <c:pt idx="216">
                  <c:v>9.7645043862934848</c:v>
                </c:pt>
                <c:pt idx="217">
                  <c:v>9.6449673773953766</c:v>
                </c:pt>
                <c:pt idx="218">
                  <c:v>9.569259680565203</c:v>
                </c:pt>
                <c:pt idx="219">
                  <c:v>9.0935152445262712</c:v>
                </c:pt>
                <c:pt idx="220">
                  <c:v>9.4776062176155182</c:v>
                </c:pt>
                <c:pt idx="221">
                  <c:v>9.6129471039072758</c:v>
                </c:pt>
                <c:pt idx="222">
                  <c:v>9.3310027071421935</c:v>
                </c:pt>
                <c:pt idx="223">
                  <c:v>9.4895255849485149</c:v>
                </c:pt>
                <c:pt idx="224">
                  <c:v>9.4204747271365363</c:v>
                </c:pt>
                <c:pt idx="225">
                  <c:v>9.4243236197731868</c:v>
                </c:pt>
                <c:pt idx="226">
                  <c:v>9.9856146851512868</c:v>
                </c:pt>
                <c:pt idx="227">
                  <c:v>10.094143251178437</c:v>
                </c:pt>
                <c:pt idx="228">
                  <c:v>10.509695789853696</c:v>
                </c:pt>
                <c:pt idx="229">
                  <c:v>10.445646467676788</c:v>
                </c:pt>
                <c:pt idx="230">
                  <c:v>10.655429150856452</c:v>
                </c:pt>
                <c:pt idx="231">
                  <c:v>10.956578200849327</c:v>
                </c:pt>
                <c:pt idx="232">
                  <c:v>10.989821031517943</c:v>
                </c:pt>
                <c:pt idx="233">
                  <c:v>11.070616583985496</c:v>
                </c:pt>
                <c:pt idx="234">
                  <c:v>10.718068270252758</c:v>
                </c:pt>
                <c:pt idx="235">
                  <c:v>10.664812867113479</c:v>
                </c:pt>
                <c:pt idx="236">
                  <c:v>10.871793833072658</c:v>
                </c:pt>
                <c:pt idx="237">
                  <c:v>10.860186971431572</c:v>
                </c:pt>
                <c:pt idx="238">
                  <c:v>10.982173807912272</c:v>
                </c:pt>
                <c:pt idx="239">
                  <c:v>11.158088906087958</c:v>
                </c:pt>
                <c:pt idx="240">
                  <c:v>11.204673854172364</c:v>
                </c:pt>
                <c:pt idx="241">
                  <c:v>11.297994549571943</c:v>
                </c:pt>
                <c:pt idx="242">
                  <c:v>11.276354274643873</c:v>
                </c:pt>
                <c:pt idx="243">
                  <c:v>11.524842796807517</c:v>
                </c:pt>
                <c:pt idx="244">
                  <c:v>11.760025828427588</c:v>
                </c:pt>
                <c:pt idx="245">
                  <c:v>11.797896465548124</c:v>
                </c:pt>
                <c:pt idx="246">
                  <c:v>11.731353230171417</c:v>
                </c:pt>
                <c:pt idx="247">
                  <c:v>11.549004013500472</c:v>
                </c:pt>
                <c:pt idx="248">
                  <c:v>11.740961401102851</c:v>
                </c:pt>
                <c:pt idx="249">
                  <c:v>11.960406833572648</c:v>
                </c:pt>
                <c:pt idx="250">
                  <c:v>12.087289334980076</c:v>
                </c:pt>
              </c:numCache>
            </c:numRef>
          </c:val>
          <c:smooth val="0"/>
        </c:ser>
        <c:ser>
          <c:idx val="1"/>
          <c:order val="1"/>
          <c:tx>
            <c:v>Certain Component</c:v>
          </c:tx>
          <c:spPr>
            <a:ln w="31750" cap="rnd">
              <a:noFill/>
              <a:round/>
            </a:ln>
            <a:effectLst/>
          </c:spPr>
          <c:marker>
            <c:symbol val="none"/>
          </c:marker>
          <c:cat>
            <c:strLit>
              <c:ptCount val="1"/>
              <c:pt idx="0">
                <c:v>Time (day)</c:v>
              </c:pt>
            </c:strLit>
          </c:cat>
          <c:val>
            <c:numRef>
              <c:f>PriceSimulation!$F$30:$F$280</c:f>
              <c:numCache>
                <c:formatCode>"¥"#,##0.00_);\("¥"#,##0.00\)</c:formatCode>
                <c:ptCount val="251"/>
                <c:pt idx="0" formatCode="General">
                  <c:v>10</c:v>
                </c:pt>
                <c:pt idx="1">
                  <c:v>10.004801152184342</c:v>
                </c:pt>
                <c:pt idx="2">
                  <c:v>10.31551749653913</c:v>
                </c:pt>
                <c:pt idx="3">
                  <c:v>10.510081203218036</c:v>
                </c:pt>
                <c:pt idx="4">
                  <c:v>10.09872134687744</c:v>
                </c:pt>
                <c:pt idx="5">
                  <c:v>10.127888736539592</c:v>
                </c:pt>
                <c:pt idx="6">
                  <c:v>10.27426174654385</c:v>
                </c:pt>
                <c:pt idx="7">
                  <c:v>10.549440111520839</c:v>
                </c:pt>
                <c:pt idx="8">
                  <c:v>10.540225605356403</c:v>
                </c:pt>
                <c:pt idx="9">
                  <c:v>10.384648521876221</c:v>
                </c:pt>
                <c:pt idx="10">
                  <c:v>10.210023400142916</c:v>
                </c:pt>
                <c:pt idx="11">
                  <c:v>10.443357803672255</c:v>
                </c:pt>
                <c:pt idx="12">
                  <c:v>10.634559635018164</c:v>
                </c:pt>
                <c:pt idx="13">
                  <c:v>10.668877669816217</c:v>
                </c:pt>
                <c:pt idx="14">
                  <c:v>10.826165305166471</c:v>
                </c:pt>
                <c:pt idx="15">
                  <c:v>10.845740684218413</c:v>
                </c:pt>
                <c:pt idx="16">
                  <c:v>10.62716968865622</c:v>
                </c:pt>
                <c:pt idx="17">
                  <c:v>10.538421413938604</c:v>
                </c:pt>
                <c:pt idx="18">
                  <c:v>10.115093810837829</c:v>
                </c:pt>
                <c:pt idx="19">
                  <c:v>10.107195710028385</c:v>
                </c:pt>
                <c:pt idx="20">
                  <c:v>9.857306161370472</c:v>
                </c:pt>
                <c:pt idx="21">
                  <c:v>9.762871667725447</c:v>
                </c:pt>
                <c:pt idx="22">
                  <c:v>9.8648529481374201</c:v>
                </c:pt>
                <c:pt idx="23">
                  <c:v>9.8778359266243587</c:v>
                </c:pt>
                <c:pt idx="24">
                  <c:v>9.8055428607302915</c:v>
                </c:pt>
                <c:pt idx="25">
                  <c:v>9.9382206901886878</c:v>
                </c:pt>
                <c:pt idx="26">
                  <c:v>10.091599440663538</c:v>
                </c:pt>
                <c:pt idx="27">
                  <c:v>10.460616571797514</c:v>
                </c:pt>
                <c:pt idx="28">
                  <c:v>10.542952310307658</c:v>
                </c:pt>
                <c:pt idx="29">
                  <c:v>10.459969809347676</c:v>
                </c:pt>
                <c:pt idx="30">
                  <c:v>10.649198003411728</c:v>
                </c:pt>
                <c:pt idx="31">
                  <c:v>10.95663884506053</c:v>
                </c:pt>
                <c:pt idx="32">
                  <c:v>10.773522337780904</c:v>
                </c:pt>
                <c:pt idx="33">
                  <c:v>10.734244756250765</c:v>
                </c:pt>
                <c:pt idx="34">
                  <c:v>10.784962294463332</c:v>
                </c:pt>
                <c:pt idx="35">
                  <c:v>10.964294360536575</c:v>
                </c:pt>
                <c:pt idx="36">
                  <c:v>11.026560913435361</c:v>
                </c:pt>
                <c:pt idx="37">
                  <c:v>11.563091668573627</c:v>
                </c:pt>
                <c:pt idx="38">
                  <c:v>11.874941506758486</c:v>
                </c:pt>
                <c:pt idx="39">
                  <c:v>11.8669201707722</c:v>
                </c:pt>
                <c:pt idx="40">
                  <c:v>12.096664503066457</c:v>
                </c:pt>
                <c:pt idx="41">
                  <c:v>12.025154644415695</c:v>
                </c:pt>
                <c:pt idx="42">
                  <c:v>12.006487336068307</c:v>
                </c:pt>
                <c:pt idx="43">
                  <c:v>12.367996852006986</c:v>
                </c:pt>
                <c:pt idx="44">
                  <c:v>12.30974208593118</c:v>
                </c:pt>
                <c:pt idx="45">
                  <c:v>12.162503132243552</c:v>
                </c:pt>
                <c:pt idx="46">
                  <c:v>12.22017965341689</c:v>
                </c:pt>
                <c:pt idx="47">
                  <c:v>12.112745527021413</c:v>
                </c:pt>
                <c:pt idx="48">
                  <c:v>12.34657419286405</c:v>
                </c:pt>
                <c:pt idx="49">
                  <c:v>12.507087363894355</c:v>
                </c:pt>
                <c:pt idx="50">
                  <c:v>12.48000351366459</c:v>
                </c:pt>
                <c:pt idx="51">
                  <c:v>12.228369823137495</c:v>
                </c:pt>
                <c:pt idx="52">
                  <c:v>12.590861112482013</c:v>
                </c:pt>
                <c:pt idx="53">
                  <c:v>12.388534720020974</c:v>
                </c:pt>
                <c:pt idx="54">
                  <c:v>12.20915937445168</c:v>
                </c:pt>
                <c:pt idx="55">
                  <c:v>11.94193331113558</c:v>
                </c:pt>
                <c:pt idx="56">
                  <c:v>11.656437090210265</c:v>
                </c:pt>
                <c:pt idx="57">
                  <c:v>11.341332905466672</c:v>
                </c:pt>
                <c:pt idx="58">
                  <c:v>11.217412436504899</c:v>
                </c:pt>
                <c:pt idx="59">
                  <c:v>11.326893383335031</c:v>
                </c:pt>
                <c:pt idx="60">
                  <c:v>11.17094197018203</c:v>
                </c:pt>
                <c:pt idx="61">
                  <c:v>11.527656126359354</c:v>
                </c:pt>
                <c:pt idx="62">
                  <c:v>10.832477638386187</c:v>
                </c:pt>
                <c:pt idx="63">
                  <c:v>10.832062086299</c:v>
                </c:pt>
                <c:pt idx="64">
                  <c:v>11.088130459112174</c:v>
                </c:pt>
                <c:pt idx="65">
                  <c:v>10.865511751139204</c:v>
                </c:pt>
                <c:pt idx="66">
                  <c:v>10.6014940205607</c:v>
                </c:pt>
                <c:pt idx="67">
                  <c:v>10.702639552197381</c:v>
                </c:pt>
                <c:pt idx="68">
                  <c:v>10.730935168114456</c:v>
                </c:pt>
                <c:pt idx="69">
                  <c:v>10.621927329263352</c:v>
                </c:pt>
                <c:pt idx="70">
                  <c:v>10.563769726479398</c:v>
                </c:pt>
                <c:pt idx="71">
                  <c:v>10.608064456254167</c:v>
                </c:pt>
                <c:pt idx="72">
                  <c:v>10.41716700804667</c:v>
                </c:pt>
                <c:pt idx="73">
                  <c:v>10.386300433333384</c:v>
                </c:pt>
                <c:pt idx="74">
                  <c:v>10.578257812429838</c:v>
                </c:pt>
                <c:pt idx="75">
                  <c:v>10.354164836705387</c:v>
                </c:pt>
                <c:pt idx="76">
                  <c:v>10.389387005753957</c:v>
                </c:pt>
                <c:pt idx="77">
                  <c:v>10.2881121149425</c:v>
                </c:pt>
                <c:pt idx="78">
                  <c:v>10.453135069929585</c:v>
                </c:pt>
                <c:pt idx="79">
                  <c:v>10.148813194018119</c:v>
                </c:pt>
                <c:pt idx="80">
                  <c:v>10.516957549532687</c:v>
                </c:pt>
                <c:pt idx="81">
                  <c:v>10.400122605458369</c:v>
                </c:pt>
                <c:pt idx="82">
                  <c:v>10.550987914474343</c:v>
                </c:pt>
                <c:pt idx="83">
                  <c:v>10.985338508945912</c:v>
                </c:pt>
                <c:pt idx="84">
                  <c:v>10.807598387532209</c:v>
                </c:pt>
                <c:pt idx="85">
                  <c:v>11.183210932755113</c:v>
                </c:pt>
                <c:pt idx="86">
                  <c:v>11.65362607042052</c:v>
                </c:pt>
                <c:pt idx="87">
                  <c:v>11.980628789537915</c:v>
                </c:pt>
                <c:pt idx="88">
                  <c:v>12.093765634993803</c:v>
                </c:pt>
                <c:pt idx="89">
                  <c:v>12.350716641798883</c:v>
                </c:pt>
                <c:pt idx="90">
                  <c:v>12.400718203882017</c:v>
                </c:pt>
                <c:pt idx="91">
                  <c:v>12.534820055042765</c:v>
                </c:pt>
                <c:pt idx="92">
                  <c:v>11.907026549991382</c:v>
                </c:pt>
                <c:pt idx="93">
                  <c:v>11.63577051626155</c:v>
                </c:pt>
                <c:pt idx="94">
                  <c:v>11.115869886819089</c:v>
                </c:pt>
                <c:pt idx="95">
                  <c:v>10.706901503403984</c:v>
                </c:pt>
                <c:pt idx="96">
                  <c:v>10.553796611216841</c:v>
                </c:pt>
                <c:pt idx="97">
                  <c:v>10.32295885855426</c:v>
                </c:pt>
                <c:pt idx="98">
                  <c:v>10.281487733504823</c:v>
                </c:pt>
                <c:pt idx="99">
                  <c:v>10.082384991211741</c:v>
                </c:pt>
                <c:pt idx="100">
                  <c:v>10.182950912934025</c:v>
                </c:pt>
                <c:pt idx="101">
                  <c:v>10.0646654960362</c:v>
                </c:pt>
                <c:pt idx="102">
                  <c:v>10.634591509733704</c:v>
                </c:pt>
                <c:pt idx="103">
                  <c:v>10.657122114030145</c:v>
                </c:pt>
                <c:pt idx="104">
                  <c:v>10.751229546621273</c:v>
                </c:pt>
                <c:pt idx="105">
                  <c:v>10.617159193532164</c:v>
                </c:pt>
                <c:pt idx="106">
                  <c:v>11.264160858610962</c:v>
                </c:pt>
                <c:pt idx="107">
                  <c:v>11.197989898143167</c:v>
                </c:pt>
                <c:pt idx="108">
                  <c:v>11.044762440819769</c:v>
                </c:pt>
                <c:pt idx="109">
                  <c:v>10.905852391683558</c:v>
                </c:pt>
                <c:pt idx="110">
                  <c:v>11.056885956992188</c:v>
                </c:pt>
                <c:pt idx="111">
                  <c:v>10.709525401144598</c:v>
                </c:pt>
                <c:pt idx="112">
                  <c:v>10.450307866854954</c:v>
                </c:pt>
                <c:pt idx="113">
                  <c:v>10.072003799064026</c:v>
                </c:pt>
                <c:pt idx="114">
                  <c:v>9.6894586666938007</c:v>
                </c:pt>
                <c:pt idx="115">
                  <c:v>9.0846883746654505</c:v>
                </c:pt>
                <c:pt idx="116">
                  <c:v>8.8949922854706305</c:v>
                </c:pt>
                <c:pt idx="117">
                  <c:v>8.8110594531655444</c:v>
                </c:pt>
                <c:pt idx="118">
                  <c:v>8.839116551834616</c:v>
                </c:pt>
                <c:pt idx="119">
                  <c:v>9.2424547469672618</c:v>
                </c:pt>
                <c:pt idx="120">
                  <c:v>9.2206549994101579</c:v>
                </c:pt>
                <c:pt idx="121">
                  <c:v>9.1338838762834094</c:v>
                </c:pt>
                <c:pt idx="122">
                  <c:v>9.0053096316629837</c:v>
                </c:pt>
                <c:pt idx="123">
                  <c:v>8.8517636750281152</c:v>
                </c:pt>
                <c:pt idx="124">
                  <c:v>8.6862510012689107</c:v>
                </c:pt>
                <c:pt idx="125">
                  <c:v>8.603548632981953</c:v>
                </c:pt>
                <c:pt idx="126">
                  <c:v>8.2937418513632686</c:v>
                </c:pt>
                <c:pt idx="127">
                  <c:v>8.4346160003557618</c:v>
                </c:pt>
                <c:pt idx="128">
                  <c:v>8.6248271228425786</c:v>
                </c:pt>
                <c:pt idx="129">
                  <c:v>8.634558718245291</c:v>
                </c:pt>
                <c:pt idx="130">
                  <c:v>8.5037407524708488</c:v>
                </c:pt>
                <c:pt idx="131">
                  <c:v>8.7550961838179155</c:v>
                </c:pt>
                <c:pt idx="132">
                  <c:v>8.4996452980289892</c:v>
                </c:pt>
                <c:pt idx="133">
                  <c:v>8.1948719063504889</c:v>
                </c:pt>
                <c:pt idx="134">
                  <c:v>8.3685562842093191</c:v>
                </c:pt>
                <c:pt idx="135">
                  <c:v>8.4079783322983506</c:v>
                </c:pt>
                <c:pt idx="136">
                  <c:v>8.5768470736436413</c:v>
                </c:pt>
                <c:pt idx="137">
                  <c:v>8.816660198371471</c:v>
                </c:pt>
                <c:pt idx="138">
                  <c:v>8.9031551343087028</c:v>
                </c:pt>
                <c:pt idx="139">
                  <c:v>8.6677915192981594</c:v>
                </c:pt>
                <c:pt idx="140">
                  <c:v>8.3908539905325323</c:v>
                </c:pt>
                <c:pt idx="141">
                  <c:v>8.1415920264256769</c:v>
                </c:pt>
                <c:pt idx="142">
                  <c:v>7.9274571509459264</c:v>
                </c:pt>
                <c:pt idx="143">
                  <c:v>7.9858127171741939</c:v>
                </c:pt>
                <c:pt idx="144">
                  <c:v>7.9050662941548158</c:v>
                </c:pt>
                <c:pt idx="145">
                  <c:v>8.1592122417100263</c:v>
                </c:pt>
                <c:pt idx="146">
                  <c:v>8.3316700939095405</c:v>
                </c:pt>
                <c:pt idx="147">
                  <c:v>8.5386474018193059</c:v>
                </c:pt>
                <c:pt idx="148">
                  <c:v>8.8334930616515486</c:v>
                </c:pt>
                <c:pt idx="149">
                  <c:v>8.9732915494565031</c:v>
                </c:pt>
                <c:pt idx="150">
                  <c:v>8.9426418265043335</c:v>
                </c:pt>
                <c:pt idx="151">
                  <c:v>8.7253558308909582</c:v>
                </c:pt>
                <c:pt idx="152">
                  <c:v>8.633109951366043</c:v>
                </c:pt>
                <c:pt idx="153">
                  <c:v>8.6737961973810744</c:v>
                </c:pt>
                <c:pt idx="154">
                  <c:v>8.8301672513126679</c:v>
                </c:pt>
                <c:pt idx="155">
                  <c:v>8.7025030876401512</c:v>
                </c:pt>
                <c:pt idx="156">
                  <c:v>8.7110064021984375</c:v>
                </c:pt>
                <c:pt idx="157">
                  <c:v>8.6957842445021445</c:v>
                </c:pt>
                <c:pt idx="158">
                  <c:v>8.7896444719582867</c:v>
                </c:pt>
                <c:pt idx="159">
                  <c:v>8.5530508537721737</c:v>
                </c:pt>
                <c:pt idx="160">
                  <c:v>8.5614104191512386</c:v>
                </c:pt>
                <c:pt idx="161">
                  <c:v>8.4297410913566555</c:v>
                </c:pt>
                <c:pt idx="162">
                  <c:v>8.6593850167307291</c:v>
                </c:pt>
                <c:pt idx="163">
                  <c:v>8.3306377368297575</c:v>
                </c:pt>
                <c:pt idx="164">
                  <c:v>8.5175530234725496</c:v>
                </c:pt>
                <c:pt idx="165">
                  <c:v>8.9011364044216652</c:v>
                </c:pt>
                <c:pt idx="166">
                  <c:v>8.7882085238475529</c:v>
                </c:pt>
                <c:pt idx="167">
                  <c:v>8.3195753850066119</c:v>
                </c:pt>
                <c:pt idx="168">
                  <c:v>8.393478555582135</c:v>
                </c:pt>
                <c:pt idx="169">
                  <c:v>8.5258504128059656</c:v>
                </c:pt>
                <c:pt idx="170">
                  <c:v>8.8202048662518333</c:v>
                </c:pt>
                <c:pt idx="171">
                  <c:v>8.7543094655863385</c:v>
                </c:pt>
                <c:pt idx="172">
                  <c:v>8.7824930249920321</c:v>
                </c:pt>
                <c:pt idx="173">
                  <c:v>8.7394817370677789</c:v>
                </c:pt>
                <c:pt idx="174">
                  <c:v>8.7067572162182945</c:v>
                </c:pt>
                <c:pt idx="175">
                  <c:v>8.3126910637672289</c:v>
                </c:pt>
                <c:pt idx="176">
                  <c:v>8.850695198662839</c:v>
                </c:pt>
                <c:pt idx="177">
                  <c:v>9.1443333847906931</c:v>
                </c:pt>
                <c:pt idx="178">
                  <c:v>9.6421537846619643</c:v>
                </c:pt>
                <c:pt idx="179">
                  <c:v>9.9900962048697526</c:v>
                </c:pt>
                <c:pt idx="180">
                  <c:v>9.7712689099034868</c:v>
                </c:pt>
                <c:pt idx="181">
                  <c:v>9.7663410352113367</c:v>
                </c:pt>
                <c:pt idx="182">
                  <c:v>9.5558865671464481</c:v>
                </c:pt>
                <c:pt idx="183">
                  <c:v>9.9099135414466897</c:v>
                </c:pt>
                <c:pt idx="184">
                  <c:v>10.112452167708064</c:v>
                </c:pt>
                <c:pt idx="185">
                  <c:v>10.01910708781088</c:v>
                </c:pt>
                <c:pt idx="186">
                  <c:v>10.16951086919752</c:v>
                </c:pt>
                <c:pt idx="187">
                  <c:v>10.260819315605444</c:v>
                </c:pt>
                <c:pt idx="188">
                  <c:v>10.406196267021622</c:v>
                </c:pt>
                <c:pt idx="189">
                  <c:v>10.491304021576967</c:v>
                </c:pt>
                <c:pt idx="190">
                  <c:v>10.687296424361136</c:v>
                </c:pt>
                <c:pt idx="191">
                  <c:v>9.9923096457521101</c:v>
                </c:pt>
                <c:pt idx="192">
                  <c:v>9.9858542742032501</c:v>
                </c:pt>
                <c:pt idx="193">
                  <c:v>9.7583843114401709</c:v>
                </c:pt>
                <c:pt idx="194">
                  <c:v>9.7885672983247929</c:v>
                </c:pt>
                <c:pt idx="195">
                  <c:v>10.057381198138948</c:v>
                </c:pt>
                <c:pt idx="196">
                  <c:v>9.7083829244822226</c:v>
                </c:pt>
                <c:pt idx="197">
                  <c:v>9.48693788632702</c:v>
                </c:pt>
                <c:pt idx="198">
                  <c:v>9.4382941851906921</c:v>
                </c:pt>
                <c:pt idx="199">
                  <c:v>9.0111674468146603</c:v>
                </c:pt>
                <c:pt idx="200">
                  <c:v>9.0114560692878296</c:v>
                </c:pt>
                <c:pt idx="201">
                  <c:v>8.7536992055599718</c:v>
                </c:pt>
                <c:pt idx="202">
                  <c:v>8.506967900695491</c:v>
                </c:pt>
                <c:pt idx="203">
                  <c:v>9.0291764687243941</c:v>
                </c:pt>
                <c:pt idx="204">
                  <c:v>8.8190519586286342</c:v>
                </c:pt>
                <c:pt idx="205">
                  <c:v>8.8599702798467277</c:v>
                </c:pt>
                <c:pt idx="206">
                  <c:v>9.0400051415864819</c:v>
                </c:pt>
                <c:pt idx="207">
                  <c:v>9.0904965467122398</c:v>
                </c:pt>
                <c:pt idx="208">
                  <c:v>9.0448209437409179</c:v>
                </c:pt>
                <c:pt idx="209">
                  <c:v>9.0953487651391942</c:v>
                </c:pt>
                <c:pt idx="210">
                  <c:v>9.1163500890059339</c:v>
                </c:pt>
                <c:pt idx="211">
                  <c:v>9.0105173887885694</c:v>
                </c:pt>
                <c:pt idx="212">
                  <c:v>9.2454683946267373</c:v>
                </c:pt>
                <c:pt idx="213">
                  <c:v>9.3872321499389653</c:v>
                </c:pt>
                <c:pt idx="214">
                  <c:v>9.4863498245434279</c:v>
                </c:pt>
                <c:pt idx="215">
                  <c:v>9.5799939006007744</c:v>
                </c:pt>
                <c:pt idx="216">
                  <c:v>9.8426516328463975</c:v>
                </c:pt>
                <c:pt idx="217">
                  <c:v>9.7691924734498112</c:v>
                </c:pt>
                <c:pt idx="218">
                  <c:v>9.6495980730145643</c:v>
                </c:pt>
                <c:pt idx="219">
                  <c:v>9.5738540277669912</c:v>
                </c:pt>
                <c:pt idx="220">
                  <c:v>9.0978811795842311</c:v>
                </c:pt>
                <c:pt idx="221">
                  <c:v>9.4821565605949214</c:v>
                </c:pt>
                <c:pt idx="222">
                  <c:v>9.6175624261058648</c:v>
                </c:pt>
                <c:pt idx="223">
                  <c:v>9.3354826635451431</c:v>
                </c:pt>
                <c:pt idx="224">
                  <c:v>9.4940816505975683</c:v>
                </c:pt>
                <c:pt idx="225">
                  <c:v>9.4249976404179083</c:v>
                </c:pt>
                <c:pt idx="226">
                  <c:v>9.4288483809664889</c:v>
                </c:pt>
                <c:pt idx="227">
                  <c:v>9.9904089307270478</c:v>
                </c:pt>
                <c:pt idx="228">
                  <c:v>10.098989602970383</c:v>
                </c:pt>
                <c:pt idx="229">
                  <c:v>10.514741654743519</c:v>
                </c:pt>
                <c:pt idx="230">
                  <c:v>10.450661581512303</c:v>
                </c:pt>
                <c:pt idx="231">
                  <c:v>10.660544984550725</c:v>
                </c:pt>
                <c:pt idx="232">
                  <c:v>10.961838620785519</c:v>
                </c:pt>
                <c:pt idx="233">
                  <c:v>10.995097411843043</c:v>
                </c:pt>
                <c:pt idx="234">
                  <c:v>11.075931755484916</c:v>
                </c:pt>
                <c:pt idx="235">
                  <c:v>10.723214177941522</c:v>
                </c:pt>
                <c:pt idx="236">
                  <c:v>10.669933206072733</c:v>
                </c:pt>
                <c:pt idx="237">
                  <c:v>10.877013546743594</c:v>
                </c:pt>
                <c:pt idx="238">
                  <c:v>10.865401112471597</c:v>
                </c:pt>
                <c:pt idx="239">
                  <c:v>10.987446516688939</c:v>
                </c:pt>
                <c:pt idx="240">
                  <c:v>11.163446074380412</c:v>
                </c:pt>
                <c:pt idx="241">
                  <c:v>11.210053388607344</c:v>
                </c:pt>
                <c:pt idx="242">
                  <c:v>11.303418888692978</c:v>
                </c:pt>
                <c:pt idx="243">
                  <c:v>11.281768223939585</c:v>
                </c:pt>
                <c:pt idx="244">
                  <c:v>11.530376049224326</c:v>
                </c:pt>
                <c:pt idx="245">
                  <c:v>11.765671995796996</c:v>
                </c:pt>
                <c:pt idx="246">
                  <c:v>11.803560815186744</c:v>
                </c:pt>
                <c:pt idx="247">
                  <c:v>11.736985631390048</c:v>
                </c:pt>
                <c:pt idx="248">
                  <c:v>11.55454886608511</c:v>
                </c:pt>
                <c:pt idx="249">
                  <c:v>11.746598415350569</c:v>
                </c:pt>
                <c:pt idx="250">
                  <c:v>11.96614920691211</c:v>
                </c:pt>
              </c:numCache>
            </c:numRef>
          </c:val>
          <c:smooth val="0"/>
        </c:ser>
        <c:ser>
          <c:idx val="2"/>
          <c:order val="2"/>
          <c:tx>
            <c:v>Uncertain Component</c:v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1"/>
              <c:pt idx="0">
                <c:v>Time (day)</c:v>
              </c:pt>
            </c:strLit>
          </c:cat>
          <c:val>
            <c:numRef>
              <c:f>PriceSimulation!$G$30:$G$280</c:f>
              <c:numCache>
                <c:formatCode>"¥"#,##0.00_);\("¥"#,##0.00\)</c:formatCode>
                <c:ptCount val="251"/>
                <c:pt idx="0" formatCode="General">
                  <c:v>0</c:v>
                </c:pt>
                <c:pt idx="1">
                  <c:v>0.30576608411395156</c:v>
                </c:pt>
                <c:pt idx="2">
                  <c:v>0.18952007826901784</c:v>
                </c:pt>
                <c:pt idx="3">
                  <c:v>-0.41620607940051535</c:v>
                </c:pt>
                <c:pt idx="4">
                  <c:v>2.4307169614742108E-2</c:v>
                </c:pt>
                <c:pt idx="5">
                  <c:v>0.14144254777151843</c:v>
                </c:pt>
                <c:pt idx="6">
                  <c:v>0.27011584882453654</c:v>
                </c:pt>
                <c:pt idx="7">
                  <c:v>-1.4272600415271341E-2</c:v>
                </c:pt>
                <c:pt idx="8">
                  <c:v>-0.1605605186505592</c:v>
                </c:pt>
                <c:pt idx="9">
                  <c:v>-0.17952475695884651</c:v>
                </c:pt>
                <c:pt idx="10">
                  <c:v>0.22832279466592631</c:v>
                </c:pt>
                <c:pt idx="11">
                  <c:v>0.18609846762637794</c:v>
                </c:pt>
                <c:pt idx="12">
                  <c:v>2.9198202374624671E-2</c:v>
                </c:pt>
                <c:pt idx="13">
                  <c:v>0.1520923229784934</c:v>
                </c:pt>
                <c:pt idx="14">
                  <c:v>1.4370672752958669E-2</c:v>
                </c:pt>
                <c:pt idx="15">
                  <c:v>-0.22367081295865532</c:v>
                </c:pt>
                <c:pt idx="16">
                  <c:v>-9.3805503164380966E-2</c:v>
                </c:pt>
                <c:pt idx="17">
                  <c:v>-0.42818168305758952</c:v>
                </c:pt>
                <c:pt idx="18">
                  <c:v>-1.2748390587583813E-2</c:v>
                </c:pt>
                <c:pt idx="19">
                  <c:v>-0.25461992023536872</c:v>
                </c:pt>
                <c:pt idx="20">
                  <c:v>-9.9119547542644071E-2</c:v>
                </c:pt>
                <c:pt idx="21">
                  <c:v>9.724728724611964E-2</c:v>
                </c:pt>
                <c:pt idx="22">
                  <c:v>8.2427549868118177E-3</c:v>
                </c:pt>
                <c:pt idx="23">
                  <c:v>-7.699859704939449E-2</c:v>
                </c:pt>
                <c:pt idx="24">
                  <c:v>0.12790862822697058</c:v>
                </c:pt>
                <c:pt idx="25">
                  <c:v>0.148535945109602</c:v>
                </c:pt>
                <c:pt idx="26">
                  <c:v>0.36399724004975553</c:v>
                </c:pt>
                <c:pt idx="27">
                  <c:v>7.7276335754998371E-2</c:v>
                </c:pt>
                <c:pt idx="28">
                  <c:v>-8.8002081672721388E-2</c:v>
                </c:pt>
                <c:pt idx="29">
                  <c:v>0.1841178056137629</c:v>
                </c:pt>
                <c:pt idx="30">
                  <c:v>0.30218291700603928</c:v>
                </c:pt>
                <c:pt idx="31">
                  <c:v>-0.18828655709054054</c:v>
                </c:pt>
                <c:pt idx="32">
                  <c:v>-4.4428782625971053E-2</c:v>
                </c:pt>
                <c:pt idx="33">
                  <c:v>4.5541998540116424E-2</c:v>
                </c:pt>
                <c:pt idx="34">
                  <c:v>0.17407046766482637</c:v>
                </c:pt>
                <c:pt idx="35">
                  <c:v>5.6975073716937885E-2</c:v>
                </c:pt>
                <c:pt idx="36">
                  <c:v>0.5309818029924056</c:v>
                </c:pt>
                <c:pt idx="37">
                  <c:v>0.30615123403602418</c:v>
                </c:pt>
                <c:pt idx="38">
                  <c:v>-1.3716090817757376E-2</c:v>
                </c:pt>
                <c:pt idx="39">
                  <c:v>0.22393932664559735</c:v>
                </c:pt>
                <c:pt idx="40">
                  <c:v>-7.72805478038876E-2</c:v>
                </c:pt>
                <c:pt idx="41">
                  <c:v>-2.4429039342635406E-2</c:v>
                </c:pt>
                <c:pt idx="42">
                  <c:v>0.35557430201501283</c:v>
                </c:pt>
                <c:pt idx="43">
                  <c:v>-6.4162024421628772E-2</c:v>
                </c:pt>
                <c:pt idx="44">
                  <c:v>-0.15307555429489561</c:v>
                </c:pt>
                <c:pt idx="45">
                  <c:v>5.1812242479179815E-2</c:v>
                </c:pt>
                <c:pt idx="46">
                  <c:v>-0.11324684908339755</c:v>
                </c:pt>
                <c:pt idx="47">
                  <c:v>0.22790373232786543</c:v>
                </c:pt>
                <c:pt idx="48">
                  <c:v>0.15451120968159771</c:v>
                </c:pt>
                <c:pt idx="49">
                  <c:v>-3.3072814449923271E-2</c:v>
                </c:pt>
                <c:pt idx="50">
                  <c:v>-0.25750189955936342</c:v>
                </c:pt>
                <c:pt idx="51">
                  <c:v>0.35644912624568015</c:v>
                </c:pt>
                <c:pt idx="52">
                  <c:v>-0.20827146219576598</c:v>
                </c:pt>
                <c:pt idx="53">
                  <c:v>-0.18523433579888327</c:v>
                </c:pt>
                <c:pt idx="54">
                  <c:v>-0.27295681581481368</c:v>
                </c:pt>
                <c:pt idx="55">
                  <c:v>-0.29108996812188792</c:v>
                </c:pt>
                <c:pt idx="56">
                  <c:v>-0.32054671822568359</c:v>
                </c:pt>
                <c:pt idx="57">
                  <c:v>-0.12930353489211655</c:v>
                </c:pt>
                <c:pt idx="58">
                  <c:v>0.10404534265549792</c:v>
                </c:pt>
                <c:pt idx="59">
                  <c:v>-0.16131217861205194</c:v>
                </c:pt>
                <c:pt idx="60">
                  <c:v>0.35118220901020614</c:v>
                </c:pt>
                <c:pt idx="61">
                  <c:v>-0.70037682953780767</c:v>
                </c:pt>
                <c:pt idx="62">
                  <c:v>-5.6136942346896035E-3</c:v>
                </c:pt>
                <c:pt idx="63">
                  <c:v>0.25074734734107729</c:v>
                </c:pt>
                <c:pt idx="64">
                  <c:v>-0.22783290210681173</c:v>
                </c:pt>
                <c:pt idx="65">
                  <c:v>-0.26910522661164471</c:v>
                </c:pt>
                <c:pt idx="66">
                  <c:v>9.6009497398455323E-2</c:v>
                </c:pt>
                <c:pt idx="67">
                  <c:v>2.3146003042343821E-2</c:v>
                </c:pt>
                <c:pt idx="68">
                  <c:v>-0.11410514051888221</c:v>
                </c:pt>
                <c:pt idx="69">
                  <c:v>-6.3226995501079131E-2</c:v>
                </c:pt>
                <c:pt idx="70">
                  <c:v>3.9204080689289711E-2</c:v>
                </c:pt>
                <c:pt idx="71">
                  <c:v>-0.1958964885057064</c:v>
                </c:pt>
                <c:pt idx="72">
                  <c:v>-3.585080261089324E-2</c:v>
                </c:pt>
                <c:pt idx="73">
                  <c:v>0.18688103376683252</c:v>
                </c:pt>
                <c:pt idx="74">
                  <c:v>-0.22906178223710505</c:v>
                </c:pt>
                <c:pt idx="75">
                  <c:v>3.0236459951717976E-2</c:v>
                </c:pt>
                <c:pt idx="76">
                  <c:v>-0.10621199962572092</c:v>
                </c:pt>
                <c:pt idx="77">
                  <c:v>0.16000665416203042</c:v>
                </c:pt>
                <c:pt idx="78">
                  <c:v>-0.30919213728835437</c:v>
                </c:pt>
                <c:pt idx="79">
                  <c:v>0.36309742725047656</c:v>
                </c:pt>
                <c:pt idx="80">
                  <c:v>-0.12182580502248541</c:v>
                </c:pt>
                <c:pt idx="81">
                  <c:v>0.14580205009638192</c:v>
                </c:pt>
                <c:pt idx="82">
                  <c:v>0.42907889729581505</c:v>
                </c:pt>
                <c:pt idx="83">
                  <c:v>-0.18292652380356422</c:v>
                </c:pt>
                <c:pt idx="84">
                  <c:v>0.37024589207497627</c:v>
                </c:pt>
                <c:pt idx="85">
                  <c:v>0.4648227394345561</c:v>
                </c:pt>
                <c:pt idx="86">
                  <c:v>0.3212533972460534</c:v>
                </c:pt>
                <c:pt idx="87">
                  <c:v>0.10733323093000635</c:v>
                </c:pt>
                <c:pt idx="88">
                  <c:v>0.25102408539195231</c:v>
                </c:pt>
                <c:pt idx="89">
                  <c:v>4.4050645679465816E-2</c:v>
                </c:pt>
                <c:pt idx="90">
                  <c:v>0.1280865813145855</c:v>
                </c:pt>
                <c:pt idx="91">
                  <c:v>-0.63350750632536368</c:v>
                </c:pt>
                <c:pt idx="92">
                  <c:v>-0.27683986335131827</c:v>
                </c:pt>
                <c:pt idx="93">
                  <c:v>-0.52523496664478486</c:v>
                </c:pt>
                <c:pt idx="94">
                  <c:v>-0.41410646289901187</c:v>
                </c:pt>
                <c:pt idx="95">
                  <c:v>-0.15816949895766008</c:v>
                </c:pt>
                <c:pt idx="96">
                  <c:v>-0.23579158390007571</c:v>
                </c:pt>
                <c:pt idx="97">
                  <c:v>-4.6405054923617683E-2</c:v>
                </c:pt>
                <c:pt idx="98">
                  <c:v>-0.20394112578392765</c:v>
                </c:pt>
                <c:pt idx="99">
                  <c:v>9.5679278172351445E-2</c:v>
                </c:pt>
                <c:pt idx="100">
                  <c:v>-0.12311529707194602</c:v>
                </c:pt>
                <c:pt idx="101">
                  <c:v>0.5648226346817804</c:v>
                </c:pt>
                <c:pt idx="102">
                  <c:v>1.7416413185765478E-2</c:v>
                </c:pt>
                <c:pt idx="103">
                  <c:v>8.8948080752251357E-2</c:v>
                </c:pt>
                <c:pt idx="104">
                  <c:v>-0.13916536660093648</c:v>
                </c:pt>
                <c:pt idx="105">
                  <c:v>0.64159616529039987</c:v>
                </c:pt>
                <c:pt idx="106">
                  <c:v>-7.1544705816844356E-2</c:v>
                </c:pt>
                <c:pt idx="107">
                  <c:v>-0.15852767114191124</c:v>
                </c:pt>
                <c:pt idx="108">
                  <c:v>-0.14414360213101496</c:v>
                </c:pt>
                <c:pt idx="109">
                  <c:v>0.14572753359876067</c:v>
                </c:pt>
                <c:pt idx="110">
                  <c:v>-0.35249989450018759</c:v>
                </c:pt>
                <c:pt idx="111">
                  <c:v>-0.26423247838286379</c:v>
                </c:pt>
                <c:pt idx="112">
                  <c:v>-0.38313746950526628</c:v>
                </c:pt>
                <c:pt idx="113">
                  <c:v>-0.38719495648317448</c:v>
                </c:pt>
                <c:pt idx="114">
                  <c:v>-0.60912989605951751</c:v>
                </c:pt>
                <c:pt idx="115">
                  <c:v>-0.19396466095266618</c:v>
                </c:pt>
                <c:pt idx="116">
                  <c:v>-8.8161125970941612E-2</c:v>
                </c:pt>
                <c:pt idx="117">
                  <c:v>2.3815340827514575E-2</c:v>
                </c:pt>
                <c:pt idx="118">
                  <c:v>0.39890288141455166</c:v>
                </c:pt>
                <c:pt idx="119">
                  <c:v>-2.6224599907299861E-2</c:v>
                </c:pt>
                <c:pt idx="120">
                  <c:v>-9.1154335332277014E-2</c:v>
                </c:pt>
                <c:pt idx="121">
                  <c:v>-0.13289575599791981</c:v>
                </c:pt>
                <c:pt idx="122">
                  <c:v>-0.15779378363884256</c:v>
                </c:pt>
                <c:pt idx="123">
                  <c:v>-0.16968107374378327</c:v>
                </c:pt>
                <c:pt idx="124">
                  <c:v>-8.6831080660546789E-2</c:v>
                </c:pt>
                <c:pt idx="125">
                  <c:v>-0.31378682242112887</c:v>
                </c:pt>
                <c:pt idx="126">
                  <c:v>0.13682650482463821</c:v>
                </c:pt>
                <c:pt idx="127">
                  <c:v>0.18607219888898285</c:v>
                </c:pt>
                <c:pt idx="128">
                  <c:v>5.5880017599871934E-3</c:v>
                </c:pt>
                <c:pt idx="129">
                  <c:v>-0.13489878186141446</c:v>
                </c:pt>
                <c:pt idx="130">
                  <c:v>0.24715399360456125</c:v>
                </c:pt>
                <c:pt idx="131">
                  <c:v>-0.25952973652948863</c:v>
                </c:pt>
                <c:pt idx="132">
                  <c:v>-0.30870598629533497</c:v>
                </c:pt>
                <c:pt idx="133">
                  <c:v>0.16966843474586391</c:v>
                </c:pt>
                <c:pt idx="134">
                  <c:v>3.5387186933675707E-2</c:v>
                </c:pt>
                <c:pt idx="135">
                  <c:v>0.16475284264465628</c:v>
                </c:pt>
                <c:pt idx="136">
                  <c:v>0.23558214334937766</c:v>
                </c:pt>
                <c:pt idx="137">
                  <c:v>8.2222446952151529E-2</c:v>
                </c:pt>
                <c:pt idx="138">
                  <c:v>-0.23952315656996781</c:v>
                </c:pt>
                <c:pt idx="139">
                  <c:v>-0.28096417220934455</c:v>
                </c:pt>
                <c:pt idx="140">
                  <c:v>-0.25316899051818531</c:v>
                </c:pt>
                <c:pt idx="141">
                  <c:v>-0.21793914181524165</c:v>
                </c:pt>
                <c:pt idx="142">
                  <c:v>5.4523295942472849E-2</c:v>
                </c:pt>
                <c:pt idx="143">
                  <c:v>-8.4539944322624017E-2</c:v>
                </c:pt>
                <c:pt idx="144">
                  <c:v>0.250230465470068</c:v>
                </c:pt>
                <c:pt idx="145">
                  <c:v>0.16845961020928257</c:v>
                </c:pt>
                <c:pt idx="146">
                  <c:v>0.20287974065170822</c:v>
                </c:pt>
                <c:pt idx="147">
                  <c:v>0.29060660061825239</c:v>
                </c:pt>
                <c:pt idx="148">
                  <c:v>0.13549234141902566</c:v>
                </c:pt>
                <c:pt idx="149">
                  <c:v>-3.4941161001363241E-2</c:v>
                </c:pt>
                <c:pt idx="150">
                  <c:v>-0.22147316141201756</c:v>
                </c:pt>
                <c:pt idx="151">
                  <c:v>-9.638877792641054E-2</c:v>
                </c:pt>
                <c:pt idx="152">
                  <c:v>3.6523822901754599E-2</c:v>
                </c:pt>
                <c:pt idx="153">
                  <c:v>0.15213359072349242</c:v>
                </c:pt>
                <c:pt idx="154">
                  <c:v>-0.1318403627866136</c:v>
                </c:pt>
                <c:pt idx="155">
                  <c:v>4.3230348326268597E-3</c:v>
                </c:pt>
                <c:pt idx="156">
                  <c:v>-1.9395132539569815E-2</c:v>
                </c:pt>
                <c:pt idx="157">
                  <c:v>8.9642210514654153E-2</c:v>
                </c:pt>
                <c:pt idx="158">
                  <c:v>-0.24069809744209536</c:v>
                </c:pt>
                <c:pt idx="159">
                  <c:v>4.2510744945687406E-3</c:v>
                </c:pt>
                <c:pt idx="160">
                  <c:v>-0.13571463256761795</c:v>
                </c:pt>
                <c:pt idx="161">
                  <c:v>0.22548841796760577</c:v>
                </c:pt>
                <c:pt idx="162">
                  <c:v>-0.33274502647871351</c:v>
                </c:pt>
                <c:pt idx="163">
                  <c:v>0.18282784225665694</c:v>
                </c:pt>
                <c:pt idx="164">
                  <c:v>0.37931186072186129</c:v>
                </c:pt>
                <c:pt idx="165">
                  <c:v>-0.11714520842590126</c:v>
                </c:pt>
                <c:pt idx="166">
                  <c:v>-0.47262557676398664</c:v>
                </c:pt>
                <c:pt idx="167">
                  <c:v>6.9875267642883543E-2</c:v>
                </c:pt>
                <c:pt idx="168">
                  <c:v>0.12828043104652131</c:v>
                </c:pt>
                <c:pt idx="169">
                  <c:v>0.29012177103511405</c:v>
                </c:pt>
                <c:pt idx="170">
                  <c:v>-7.0096460873864785E-2</c:v>
                </c:pt>
                <c:pt idx="171">
                  <c:v>2.3968974335033977E-2</c:v>
                </c:pt>
                <c:pt idx="172">
                  <c:v>-4.7205232530815877E-2</c:v>
                </c:pt>
                <c:pt idx="173">
                  <c:v>-3.6902761455301913E-2</c:v>
                </c:pt>
                <c:pt idx="174">
                  <c:v>-0.39805528669286439</c:v>
                </c:pt>
                <c:pt idx="175">
                  <c:v>0.53375682063722252</c:v>
                </c:pt>
                <c:pt idx="176">
                  <c:v>0.28924995936183251</c:v>
                </c:pt>
                <c:pt idx="177">
                  <c:v>0.49319327665304691</c:v>
                </c:pt>
                <c:pt idx="178">
                  <c:v>0.34314832470441914</c:v>
                </c:pt>
                <c:pt idx="179">
                  <c:v>-0.22351637857292239</c:v>
                </c:pt>
                <c:pt idx="180">
                  <c:v>-9.6145934865550231E-3</c:v>
                </c:pt>
                <c:pt idx="181">
                  <c:v>-0.21504019295509913</c:v>
                </c:pt>
                <c:pt idx="182">
                  <c:v>0.34927135723975056</c:v>
                </c:pt>
                <c:pt idx="183">
                  <c:v>0.19768581398899343</c:v>
                </c:pt>
                <c:pt idx="184">
                  <c:v>-9.8153097282844826E-2</c:v>
                </c:pt>
                <c:pt idx="185">
                  <c:v>0.14552358750965588</c:v>
                </c:pt>
                <c:pt idx="186">
                  <c:v>8.6384434993714621E-2</c:v>
                </c:pt>
                <c:pt idx="187">
                  <c:v>0.1403831758100349</c:v>
                </c:pt>
                <c:pt idx="188">
                  <c:v>8.0073137029859964E-2</c:v>
                </c:pt>
                <c:pt idx="189">
                  <c:v>0.19086373148005897</c:v>
                </c:pt>
                <c:pt idx="190">
                  <c:v>-0.69978193630907093</c:v>
                </c:pt>
                <c:pt idx="191">
                  <c:v>-1.1247431414101783E-2</c:v>
                </c:pt>
                <c:pt idx="192">
                  <c:v>-0.23215286324654194</c:v>
                </c:pt>
                <c:pt idx="193">
                  <c:v>2.5485602043978872E-2</c:v>
                </c:pt>
                <c:pt idx="194">
                  <c:v>0.26398751526400765</c:v>
                </c:pt>
                <c:pt idx="195">
                  <c:v>-0.35365717923368756</c:v>
                </c:pt>
                <c:pt idx="196">
                  <c:v>-0.22599767562023665</c:v>
                </c:pt>
                <c:pt idx="197">
                  <c:v>-5.3172995227674491E-2</c:v>
                </c:pt>
                <c:pt idx="198">
                  <c:v>-0.43145106083008677</c:v>
                </c:pt>
                <c:pt idx="199">
                  <c:v>-4.0358384864287444E-3</c:v>
                </c:pt>
                <c:pt idx="200">
                  <c:v>-0.26195763108170667</c:v>
                </c:pt>
                <c:pt idx="201">
                  <c:v>-0.2508136696108938</c:v>
                </c:pt>
                <c:pt idx="202">
                  <c:v>0.51787560331863958</c:v>
                </c:pt>
                <c:pt idx="203">
                  <c:v>-0.21435663924364867</c:v>
                </c:pt>
                <c:pt idx="204">
                  <c:v>3.6666555989055993E-2</c:v>
                </c:pt>
                <c:pt idx="205">
                  <c:v>0.17569670051378061</c:v>
                </c:pt>
                <c:pt idx="206">
                  <c:v>4.6129013841003541E-2</c:v>
                </c:pt>
                <c:pt idx="207">
                  <c:v>-5.0016075227638623E-2</c:v>
                </c:pt>
                <c:pt idx="208">
                  <c:v>4.616310160756143E-2</c:v>
                </c:pt>
                <c:pt idx="209">
                  <c:v>1.6626525859535946E-2</c:v>
                </c:pt>
                <c:pt idx="210">
                  <c:v>-0.11015671071844046</c:v>
                </c:pt>
                <c:pt idx="211">
                  <c:v>0.23051424591631431</c:v>
                </c:pt>
                <c:pt idx="212">
                  <c:v>0.13725896511639668</c:v>
                </c:pt>
                <c:pt idx="213">
                  <c:v>9.4565319341350929E-2</c:v>
                </c:pt>
                <c:pt idx="214">
                  <c:v>8.9046782423798376E-2</c:v>
                </c:pt>
                <c:pt idx="215">
                  <c:v>0.25793439315392774</c:v>
                </c:pt>
                <c:pt idx="216">
                  <c:v>-7.8147246552912719E-2</c:v>
                </c:pt>
                <c:pt idx="217">
                  <c:v>-0.12422509605443466</c:v>
                </c:pt>
                <c:pt idx="218">
                  <c:v>-8.0338392449361251E-2</c:v>
                </c:pt>
                <c:pt idx="219">
                  <c:v>-0.48033878324071999</c:v>
                </c:pt>
                <c:pt idx="220">
                  <c:v>0.3797250380312871</c:v>
                </c:pt>
                <c:pt idx="221">
                  <c:v>0.1307905433123544</c:v>
                </c:pt>
                <c:pt idx="222">
                  <c:v>-0.28655971896367127</c:v>
                </c:pt>
                <c:pt idx="223">
                  <c:v>0.15404292140337184</c:v>
                </c:pt>
                <c:pt idx="224">
                  <c:v>-7.3606923461031926E-2</c:v>
                </c:pt>
                <c:pt idx="225">
                  <c:v>-6.7402064472155132E-4</c:v>
                </c:pt>
                <c:pt idx="226">
                  <c:v>0.55676630418479789</c:v>
                </c:pt>
                <c:pt idx="227">
                  <c:v>0.10373432045138919</c:v>
                </c:pt>
                <c:pt idx="228">
                  <c:v>0.41070618688331351</c:v>
                </c:pt>
                <c:pt idx="229">
                  <c:v>-6.9095187066730901E-2</c:v>
                </c:pt>
                <c:pt idx="230">
                  <c:v>0.20476756934414908</c:v>
                </c:pt>
                <c:pt idx="231">
                  <c:v>0.29603321629860169</c:v>
                </c:pt>
                <c:pt idx="232">
                  <c:v>2.7982410732423801E-2</c:v>
                </c:pt>
                <c:pt idx="233">
                  <c:v>7.5519172142453073E-2</c:v>
                </c:pt>
                <c:pt idx="234">
                  <c:v>-0.3578634852321585</c:v>
                </c:pt>
                <c:pt idx="235">
                  <c:v>-5.8401310828042341E-2</c:v>
                </c:pt>
                <c:pt idx="236">
                  <c:v>0.20186062699992569</c:v>
                </c:pt>
                <c:pt idx="237">
                  <c:v>-1.682657531202203E-2</c:v>
                </c:pt>
                <c:pt idx="238">
                  <c:v>0.11677269544067492</c:v>
                </c:pt>
                <c:pt idx="239">
                  <c:v>0.17064238939901877</c:v>
                </c:pt>
                <c:pt idx="240">
                  <c:v>4.1227779791952912E-2</c:v>
                </c:pt>
                <c:pt idx="241">
                  <c:v>8.7941160964598808E-2</c:v>
                </c:pt>
                <c:pt idx="242">
                  <c:v>-2.7064614049104208E-2</c:v>
                </c:pt>
                <c:pt idx="243">
                  <c:v>0.24307457286793266</c:v>
                </c:pt>
                <c:pt idx="244">
                  <c:v>0.22964977920326213</c:v>
                </c:pt>
                <c:pt idx="245">
                  <c:v>3.2224469751128026E-2</c:v>
                </c:pt>
                <c:pt idx="246">
                  <c:v>-7.2207585015327425E-2</c:v>
                </c:pt>
                <c:pt idx="247">
                  <c:v>-0.18798161788957657</c:v>
                </c:pt>
                <c:pt idx="248">
                  <c:v>0.18641253501774102</c:v>
                </c:pt>
                <c:pt idx="249">
                  <c:v>0.21380841822207941</c:v>
                </c:pt>
                <c:pt idx="250">
                  <c:v>0.12114012806796559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4764160"/>
        <c:axId val="394764720"/>
      </c:lineChart>
      <c:catAx>
        <c:axId val="394764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</a:t>
                </a:r>
                <a:r>
                  <a:rPr lang="en-US" altLang="zh-CN" baseline="0"/>
                  <a:t>  (day)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4764720"/>
        <c:crossesAt val="-5"/>
        <c:auto val="1"/>
        <c:lblAlgn val="ctr"/>
        <c:lblOffset val="100"/>
        <c:tickLblSkip val="5"/>
        <c:tickMarkSkip val="5"/>
        <c:noMultiLvlLbl val="0"/>
      </c:catAx>
      <c:valAx>
        <c:axId val="39476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stock</a:t>
                </a:r>
                <a:r>
                  <a:rPr lang="en-US" altLang="zh-CN" baseline="0"/>
                  <a:t> price (dollors)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476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0</xdr:row>
      <xdr:rowOff>0</xdr:rowOff>
    </xdr:from>
    <xdr:to>
      <xdr:col>19</xdr:col>
      <xdr:colOff>76200</xdr:colOff>
      <xdr:row>16</xdr:row>
      <xdr:rowOff>171450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647700</xdr:colOff>
      <xdr:row>8</xdr:row>
      <xdr:rowOff>57150</xdr:rowOff>
    </xdr:from>
    <xdr:to>
      <xdr:col>12</xdr:col>
      <xdr:colOff>238125</xdr:colOff>
      <xdr:row>25</xdr:row>
      <xdr:rowOff>133350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表1" displayName="表1" ref="A4:C10" totalsRowShown="0">
  <tableColumns count="3">
    <tableColumn id="1" name="列1"/>
    <tableColumn id="2" name="using formula"/>
    <tableColumn id="3" name="using func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151"/>
  <sheetViews>
    <sheetView topLeftCell="A2135" workbookViewId="0">
      <selection activeCell="A2" sqref="A2:B2151"/>
    </sheetView>
  </sheetViews>
  <sheetFormatPr defaultRowHeight="15" x14ac:dyDescent="0.25"/>
  <cols>
    <col min="1" max="1" width="19" customWidth="1"/>
    <col min="2" max="2" width="12.375" customWidth="1"/>
  </cols>
  <sheetData>
    <row r="1" spans="1:2" x14ac:dyDescent="0.25">
      <c r="A1" s="2" t="s">
        <v>19</v>
      </c>
      <c r="B1" s="2" t="s">
        <v>20</v>
      </c>
    </row>
    <row r="2" spans="1:2" x14ac:dyDescent="0.25">
      <c r="A2" s="3">
        <v>41593</v>
      </c>
      <c r="B2">
        <v>2350.73</v>
      </c>
    </row>
    <row r="3" spans="1:2" x14ac:dyDescent="0.25">
      <c r="A3" s="3">
        <v>41592</v>
      </c>
      <c r="B3">
        <v>2304.5</v>
      </c>
    </row>
    <row r="4" spans="1:2" x14ac:dyDescent="0.25">
      <c r="A4" s="3">
        <v>41591</v>
      </c>
      <c r="B4">
        <v>2288.12</v>
      </c>
    </row>
    <row r="5" spans="1:2" x14ac:dyDescent="0.25">
      <c r="A5" s="3">
        <v>41590</v>
      </c>
      <c r="B5">
        <v>2340</v>
      </c>
    </row>
    <row r="6" spans="1:2" x14ac:dyDescent="0.25">
      <c r="A6" s="3">
        <v>41589</v>
      </c>
      <c r="B6">
        <v>2315.89</v>
      </c>
    </row>
    <row r="7" spans="1:2" x14ac:dyDescent="0.25">
      <c r="A7" s="3">
        <v>41586</v>
      </c>
      <c r="B7">
        <v>2307.9499999999998</v>
      </c>
    </row>
    <row r="8" spans="1:2" x14ac:dyDescent="0.25">
      <c r="A8" s="3">
        <v>41585</v>
      </c>
      <c r="B8">
        <v>2340.5500000000002</v>
      </c>
    </row>
    <row r="9" spans="1:2" x14ac:dyDescent="0.25">
      <c r="A9" s="3">
        <v>41584</v>
      </c>
      <c r="B9">
        <v>2353.5700000000002</v>
      </c>
    </row>
    <row r="10" spans="1:2" x14ac:dyDescent="0.25">
      <c r="A10" s="3">
        <v>41583</v>
      </c>
      <c r="B10">
        <v>2383.77</v>
      </c>
    </row>
    <row r="11" spans="1:2" x14ac:dyDescent="0.25">
      <c r="A11" s="3">
        <v>41582</v>
      </c>
      <c r="B11">
        <v>2380.4499999999998</v>
      </c>
    </row>
    <row r="12" spans="1:2" x14ac:dyDescent="0.25">
      <c r="A12" s="3">
        <v>41579</v>
      </c>
      <c r="B12">
        <v>2384.96</v>
      </c>
    </row>
    <row r="13" spans="1:2" x14ac:dyDescent="0.25">
      <c r="A13" s="3">
        <v>41578</v>
      </c>
      <c r="B13">
        <v>2373.7199999999998</v>
      </c>
    </row>
    <row r="14" spans="1:2" x14ac:dyDescent="0.25">
      <c r="A14" s="3">
        <v>41577</v>
      </c>
      <c r="B14">
        <v>2407.4699999999998</v>
      </c>
    </row>
    <row r="15" spans="1:2" x14ac:dyDescent="0.25">
      <c r="A15" s="3">
        <v>41576</v>
      </c>
      <c r="B15">
        <v>2372.0500000000002</v>
      </c>
    </row>
    <row r="16" spans="1:2" x14ac:dyDescent="0.25">
      <c r="A16" s="3">
        <v>41575</v>
      </c>
      <c r="B16">
        <v>2365.9499999999998</v>
      </c>
    </row>
    <row r="17" spans="1:2" x14ac:dyDescent="0.25">
      <c r="A17" s="3">
        <v>41572</v>
      </c>
      <c r="B17">
        <v>2368.56</v>
      </c>
    </row>
    <row r="18" spans="1:2" x14ac:dyDescent="0.25">
      <c r="A18" s="3">
        <v>41571</v>
      </c>
      <c r="B18">
        <v>2400.5100000000002</v>
      </c>
    </row>
    <row r="19" spans="1:2" x14ac:dyDescent="0.25">
      <c r="A19" s="3">
        <v>41570</v>
      </c>
      <c r="B19">
        <v>2418.4899999999998</v>
      </c>
    </row>
    <row r="20" spans="1:2" x14ac:dyDescent="0.25">
      <c r="A20" s="3">
        <v>41569</v>
      </c>
      <c r="B20">
        <v>2445.89</v>
      </c>
    </row>
    <row r="21" spans="1:2" x14ac:dyDescent="0.25">
      <c r="A21" s="3">
        <v>41568</v>
      </c>
      <c r="B21">
        <v>2471.3200000000002</v>
      </c>
    </row>
    <row r="22" spans="1:2" x14ac:dyDescent="0.25">
      <c r="A22" s="3">
        <v>41565</v>
      </c>
      <c r="B22">
        <v>2426.0500000000002</v>
      </c>
    </row>
    <row r="23" spans="1:2" x14ac:dyDescent="0.25">
      <c r="A23" s="3">
        <v>41564</v>
      </c>
      <c r="B23">
        <v>2413.33</v>
      </c>
    </row>
    <row r="24" spans="1:2" x14ac:dyDescent="0.25">
      <c r="A24" s="3">
        <v>41563</v>
      </c>
      <c r="B24">
        <v>2421.37</v>
      </c>
    </row>
    <row r="25" spans="1:2" x14ac:dyDescent="0.25">
      <c r="A25" s="3">
        <v>41562</v>
      </c>
      <c r="B25">
        <v>2467.52</v>
      </c>
    </row>
    <row r="26" spans="1:2" x14ac:dyDescent="0.25">
      <c r="A26" s="3">
        <v>41561</v>
      </c>
      <c r="B26">
        <v>2472.54</v>
      </c>
    </row>
    <row r="27" spans="1:2" x14ac:dyDescent="0.25">
      <c r="A27" s="3">
        <v>41558</v>
      </c>
      <c r="B27">
        <v>2468.5100000000002</v>
      </c>
    </row>
    <row r="28" spans="1:2" x14ac:dyDescent="0.25">
      <c r="A28" s="3">
        <v>41557</v>
      </c>
      <c r="B28">
        <v>2429.3200000000002</v>
      </c>
    </row>
    <row r="29" spans="1:2" x14ac:dyDescent="0.25">
      <c r="A29" s="3">
        <v>41556</v>
      </c>
      <c r="B29">
        <v>2453.58</v>
      </c>
    </row>
    <row r="30" spans="1:2" x14ac:dyDescent="0.25">
      <c r="A30" s="3">
        <v>41555</v>
      </c>
      <c r="B30">
        <v>2441.81</v>
      </c>
    </row>
    <row r="31" spans="1:2" x14ac:dyDescent="0.25">
      <c r="A31" s="3">
        <v>41547</v>
      </c>
      <c r="B31">
        <v>2409.04</v>
      </c>
    </row>
    <row r="32" spans="1:2" x14ac:dyDescent="0.25">
      <c r="A32" s="3">
        <v>41544</v>
      </c>
      <c r="B32">
        <v>2394.9699999999998</v>
      </c>
    </row>
    <row r="33" spans="1:2" x14ac:dyDescent="0.25">
      <c r="A33" s="3">
        <v>41543</v>
      </c>
      <c r="B33">
        <v>2384.44</v>
      </c>
    </row>
    <row r="34" spans="1:2" x14ac:dyDescent="0.25">
      <c r="A34" s="3">
        <v>41542</v>
      </c>
      <c r="B34">
        <v>2429.0300000000002</v>
      </c>
    </row>
    <row r="35" spans="1:2" x14ac:dyDescent="0.25">
      <c r="A35" s="3">
        <v>41541</v>
      </c>
      <c r="B35">
        <v>2443.89</v>
      </c>
    </row>
    <row r="36" spans="1:2" x14ac:dyDescent="0.25">
      <c r="A36" s="3">
        <v>41540</v>
      </c>
      <c r="B36">
        <v>2472.29</v>
      </c>
    </row>
    <row r="37" spans="1:2" x14ac:dyDescent="0.25">
      <c r="A37" s="3">
        <v>41535</v>
      </c>
      <c r="B37">
        <v>2432.5100000000002</v>
      </c>
    </row>
    <row r="38" spans="1:2" x14ac:dyDescent="0.25">
      <c r="A38" s="3">
        <v>41534</v>
      </c>
      <c r="B38">
        <v>2427.3200000000002</v>
      </c>
    </row>
    <row r="39" spans="1:2" x14ac:dyDescent="0.25">
      <c r="A39" s="3">
        <v>41533</v>
      </c>
      <c r="B39">
        <v>2478.39</v>
      </c>
    </row>
    <row r="40" spans="1:2" x14ac:dyDescent="0.25">
      <c r="A40" s="3">
        <v>41530</v>
      </c>
      <c r="B40">
        <v>2488.9</v>
      </c>
    </row>
    <row r="41" spans="1:2" x14ac:dyDescent="0.25">
      <c r="A41" s="3">
        <v>41529</v>
      </c>
      <c r="B41">
        <v>2507.4499999999998</v>
      </c>
    </row>
    <row r="42" spans="1:2" x14ac:dyDescent="0.25">
      <c r="A42" s="3">
        <v>41528</v>
      </c>
      <c r="B42">
        <v>2482.89</v>
      </c>
    </row>
    <row r="43" spans="1:2" x14ac:dyDescent="0.25">
      <c r="A43" s="3">
        <v>41527</v>
      </c>
      <c r="B43">
        <v>2474.89</v>
      </c>
    </row>
    <row r="44" spans="1:2" x14ac:dyDescent="0.25">
      <c r="A44" s="3">
        <v>41526</v>
      </c>
      <c r="B44">
        <v>2440.61</v>
      </c>
    </row>
    <row r="45" spans="1:2" x14ac:dyDescent="0.25">
      <c r="A45" s="3">
        <v>41523</v>
      </c>
      <c r="B45">
        <v>2357.7800000000002</v>
      </c>
    </row>
    <row r="46" spans="1:2" x14ac:dyDescent="0.25">
      <c r="A46" s="3">
        <v>41522</v>
      </c>
      <c r="B46">
        <v>2341.7399999999998</v>
      </c>
    </row>
    <row r="47" spans="1:2" x14ac:dyDescent="0.25">
      <c r="A47" s="3">
        <v>41521</v>
      </c>
      <c r="B47">
        <v>2350.6999999999998</v>
      </c>
    </row>
    <row r="48" spans="1:2" x14ac:dyDescent="0.25">
      <c r="A48" s="3">
        <v>41520</v>
      </c>
      <c r="B48">
        <v>2354.5</v>
      </c>
    </row>
    <row r="49" spans="1:2" x14ac:dyDescent="0.25">
      <c r="A49" s="3">
        <v>41519</v>
      </c>
      <c r="B49">
        <v>2320.34</v>
      </c>
    </row>
    <row r="50" spans="1:2" x14ac:dyDescent="0.25">
      <c r="A50" s="3">
        <v>41516</v>
      </c>
      <c r="B50">
        <v>2313.91</v>
      </c>
    </row>
    <row r="51" spans="1:2" x14ac:dyDescent="0.25">
      <c r="A51" s="3">
        <v>41515</v>
      </c>
      <c r="B51">
        <v>2318.31</v>
      </c>
    </row>
    <row r="52" spans="1:2" x14ac:dyDescent="0.25">
      <c r="A52" s="3">
        <v>41514</v>
      </c>
      <c r="B52">
        <v>2328.06</v>
      </c>
    </row>
    <row r="53" spans="1:2" x14ac:dyDescent="0.25">
      <c r="A53" s="3">
        <v>41513</v>
      </c>
      <c r="B53">
        <v>2340.88</v>
      </c>
    </row>
    <row r="54" spans="1:2" x14ac:dyDescent="0.25">
      <c r="A54" s="3">
        <v>41512</v>
      </c>
      <c r="B54">
        <v>2335.62</v>
      </c>
    </row>
    <row r="55" spans="1:2" x14ac:dyDescent="0.25">
      <c r="A55" s="3">
        <v>41509</v>
      </c>
      <c r="B55">
        <v>2286.9299999999998</v>
      </c>
    </row>
    <row r="56" spans="1:2" x14ac:dyDescent="0.25">
      <c r="A56" s="3">
        <v>41508</v>
      </c>
      <c r="B56">
        <v>2303.9299999999998</v>
      </c>
    </row>
    <row r="57" spans="1:2" x14ac:dyDescent="0.25">
      <c r="A57" s="3">
        <v>41507</v>
      </c>
      <c r="B57">
        <v>2308.59</v>
      </c>
    </row>
    <row r="58" spans="1:2" x14ac:dyDescent="0.25">
      <c r="A58" s="3">
        <v>41506</v>
      </c>
      <c r="B58">
        <v>2312.4699999999998</v>
      </c>
    </row>
    <row r="59" spans="1:2" x14ac:dyDescent="0.25">
      <c r="A59" s="3">
        <v>41505</v>
      </c>
      <c r="B59">
        <v>2331.4299999999998</v>
      </c>
    </row>
    <row r="60" spans="1:2" x14ac:dyDescent="0.25">
      <c r="A60" s="3">
        <v>41502</v>
      </c>
      <c r="B60">
        <v>2304.14</v>
      </c>
    </row>
    <row r="61" spans="1:2" x14ac:dyDescent="0.25">
      <c r="A61" s="3">
        <v>41501</v>
      </c>
      <c r="B61">
        <v>2321.58</v>
      </c>
    </row>
    <row r="62" spans="1:2" x14ac:dyDescent="0.25">
      <c r="A62" s="3">
        <v>41500</v>
      </c>
      <c r="B62">
        <v>2349.08</v>
      </c>
    </row>
    <row r="63" spans="1:2" x14ac:dyDescent="0.25">
      <c r="A63" s="3">
        <v>41499</v>
      </c>
      <c r="B63">
        <v>2359.0700000000002</v>
      </c>
    </row>
    <row r="64" spans="1:2" x14ac:dyDescent="0.25">
      <c r="A64" s="3">
        <v>41498</v>
      </c>
      <c r="B64">
        <v>2352.79</v>
      </c>
    </row>
    <row r="65" spans="1:2" x14ac:dyDescent="0.25">
      <c r="A65" s="3">
        <v>41495</v>
      </c>
      <c r="B65">
        <v>2286.0100000000002</v>
      </c>
    </row>
    <row r="66" spans="1:2" x14ac:dyDescent="0.25">
      <c r="A66" s="3">
        <v>41494</v>
      </c>
      <c r="B66">
        <v>2276.7800000000002</v>
      </c>
    </row>
    <row r="67" spans="1:2" x14ac:dyDescent="0.25">
      <c r="A67" s="3">
        <v>41493</v>
      </c>
      <c r="B67">
        <v>2280.62</v>
      </c>
    </row>
    <row r="68" spans="1:2" x14ac:dyDescent="0.25">
      <c r="A68" s="3">
        <v>41492</v>
      </c>
      <c r="B68">
        <v>2293.64</v>
      </c>
    </row>
    <row r="69" spans="1:2" x14ac:dyDescent="0.25">
      <c r="A69" s="3">
        <v>41491</v>
      </c>
      <c r="B69">
        <v>2278.33</v>
      </c>
    </row>
    <row r="70" spans="1:2" x14ac:dyDescent="0.25">
      <c r="A70" s="3">
        <v>41488</v>
      </c>
      <c r="B70">
        <v>2247.2600000000002</v>
      </c>
    </row>
    <row r="71" spans="1:2" x14ac:dyDescent="0.25">
      <c r="A71" s="3">
        <v>41487</v>
      </c>
      <c r="B71">
        <v>2245.36</v>
      </c>
    </row>
    <row r="72" spans="1:2" x14ac:dyDescent="0.25">
      <c r="A72" s="3">
        <v>41486</v>
      </c>
      <c r="B72">
        <v>2193.02</v>
      </c>
    </row>
    <row r="73" spans="1:2" x14ac:dyDescent="0.25">
      <c r="A73" s="3">
        <v>41485</v>
      </c>
      <c r="B73">
        <v>2189.39</v>
      </c>
    </row>
    <row r="74" spans="1:2" x14ac:dyDescent="0.25">
      <c r="A74" s="3">
        <v>41484</v>
      </c>
      <c r="B74">
        <v>2175.9699999999998</v>
      </c>
    </row>
    <row r="75" spans="1:2" x14ac:dyDescent="0.25">
      <c r="A75" s="3">
        <v>41481</v>
      </c>
      <c r="B75">
        <v>2224.0100000000002</v>
      </c>
    </row>
    <row r="76" spans="1:2" x14ac:dyDescent="0.25">
      <c r="A76" s="3">
        <v>41480</v>
      </c>
      <c r="B76">
        <v>2237.6799999999998</v>
      </c>
    </row>
    <row r="77" spans="1:2" x14ac:dyDescent="0.25">
      <c r="A77" s="3">
        <v>41479</v>
      </c>
      <c r="B77">
        <v>2249.15</v>
      </c>
    </row>
    <row r="78" spans="1:2" x14ac:dyDescent="0.25">
      <c r="A78" s="3">
        <v>41478</v>
      </c>
      <c r="B78">
        <v>2265.85</v>
      </c>
    </row>
    <row r="79" spans="1:2" x14ac:dyDescent="0.25">
      <c r="A79" s="3">
        <v>41477</v>
      </c>
      <c r="B79">
        <v>2202.19</v>
      </c>
    </row>
    <row r="80" spans="1:2" x14ac:dyDescent="0.25">
      <c r="A80" s="3">
        <v>41474</v>
      </c>
      <c r="B80">
        <v>2190.48</v>
      </c>
    </row>
    <row r="81" spans="1:2" x14ac:dyDescent="0.25">
      <c r="A81" s="3">
        <v>41473</v>
      </c>
      <c r="B81">
        <v>2245.33</v>
      </c>
    </row>
    <row r="82" spans="1:2" x14ac:dyDescent="0.25">
      <c r="A82" s="3">
        <v>41472</v>
      </c>
      <c r="B82">
        <v>2282.84</v>
      </c>
    </row>
    <row r="83" spans="1:2" x14ac:dyDescent="0.25">
      <c r="A83" s="3">
        <v>41471</v>
      </c>
      <c r="B83">
        <v>2317.85</v>
      </c>
    </row>
    <row r="84" spans="1:2" x14ac:dyDescent="0.25">
      <c r="A84" s="3">
        <v>41470</v>
      </c>
      <c r="B84">
        <v>2307.3000000000002</v>
      </c>
    </row>
    <row r="85" spans="1:2" x14ac:dyDescent="0.25">
      <c r="A85" s="3">
        <v>41467</v>
      </c>
      <c r="B85">
        <v>2275.37</v>
      </c>
    </row>
    <row r="86" spans="1:2" x14ac:dyDescent="0.25">
      <c r="A86" s="3">
        <v>41466</v>
      </c>
      <c r="B86">
        <v>2326.69</v>
      </c>
    </row>
    <row r="87" spans="1:2" x14ac:dyDescent="0.25">
      <c r="A87" s="3">
        <v>41465</v>
      </c>
      <c r="B87">
        <v>2224.06</v>
      </c>
    </row>
    <row r="88" spans="1:2" x14ac:dyDescent="0.25">
      <c r="A88" s="3">
        <v>41464</v>
      </c>
      <c r="B88">
        <v>2162.67</v>
      </c>
    </row>
    <row r="89" spans="1:2" x14ac:dyDescent="0.25">
      <c r="A89" s="3">
        <v>41463</v>
      </c>
      <c r="B89">
        <v>2163.62</v>
      </c>
    </row>
    <row r="90" spans="1:2" x14ac:dyDescent="0.25">
      <c r="A90" s="3">
        <v>41460</v>
      </c>
      <c r="B90">
        <v>2226.85</v>
      </c>
    </row>
    <row r="91" spans="1:2" x14ac:dyDescent="0.25">
      <c r="A91" s="3">
        <v>41459</v>
      </c>
      <c r="B91">
        <v>2221.98</v>
      </c>
    </row>
    <row r="92" spans="1:2" x14ac:dyDescent="0.25">
      <c r="A92" s="3">
        <v>41458</v>
      </c>
      <c r="B92">
        <v>2203.83</v>
      </c>
    </row>
    <row r="93" spans="1:2" x14ac:dyDescent="0.25">
      <c r="A93" s="3">
        <v>41457</v>
      </c>
      <c r="B93">
        <v>2221.98</v>
      </c>
    </row>
    <row r="94" spans="1:2" x14ac:dyDescent="0.25">
      <c r="A94" s="3">
        <v>41456</v>
      </c>
      <c r="B94">
        <v>2213.3200000000002</v>
      </c>
    </row>
    <row r="95" spans="1:2" x14ac:dyDescent="0.25">
      <c r="A95" s="3">
        <v>41453</v>
      </c>
      <c r="B95">
        <v>2200.64</v>
      </c>
    </row>
    <row r="96" spans="1:2" x14ac:dyDescent="0.25">
      <c r="A96" s="3">
        <v>41452</v>
      </c>
      <c r="B96">
        <v>2160.7399999999998</v>
      </c>
    </row>
    <row r="97" spans="1:2" x14ac:dyDescent="0.25">
      <c r="A97" s="3">
        <v>41451</v>
      </c>
      <c r="B97">
        <v>2168.3000000000002</v>
      </c>
    </row>
    <row r="98" spans="1:2" x14ac:dyDescent="0.25">
      <c r="A98" s="3">
        <v>41450</v>
      </c>
      <c r="B98">
        <v>2165.42</v>
      </c>
    </row>
    <row r="99" spans="1:2" x14ac:dyDescent="0.25">
      <c r="A99" s="3">
        <v>41449</v>
      </c>
      <c r="B99">
        <v>2171.21</v>
      </c>
    </row>
    <row r="100" spans="1:2" x14ac:dyDescent="0.25">
      <c r="A100" s="3">
        <v>41446</v>
      </c>
      <c r="B100">
        <v>2317.39</v>
      </c>
    </row>
    <row r="101" spans="1:2" x14ac:dyDescent="0.25">
      <c r="A101" s="3">
        <v>41445</v>
      </c>
      <c r="B101">
        <v>2321.4699999999998</v>
      </c>
    </row>
    <row r="102" spans="1:2" x14ac:dyDescent="0.25">
      <c r="A102" s="3">
        <v>41444</v>
      </c>
      <c r="B102">
        <v>2400.77</v>
      </c>
    </row>
    <row r="103" spans="1:2" x14ac:dyDescent="0.25">
      <c r="A103" s="3">
        <v>41443</v>
      </c>
      <c r="B103">
        <v>2418.75</v>
      </c>
    </row>
    <row r="104" spans="1:2" x14ac:dyDescent="0.25">
      <c r="A104" s="3">
        <v>41442</v>
      </c>
      <c r="B104">
        <v>2403.84</v>
      </c>
    </row>
    <row r="105" spans="1:2" x14ac:dyDescent="0.25">
      <c r="A105" s="3">
        <v>41439</v>
      </c>
      <c r="B105">
        <v>2416.77</v>
      </c>
    </row>
    <row r="106" spans="1:2" x14ac:dyDescent="0.25">
      <c r="A106" s="3">
        <v>41438</v>
      </c>
      <c r="B106">
        <v>2399.94</v>
      </c>
    </row>
    <row r="107" spans="1:2" x14ac:dyDescent="0.25">
      <c r="A107" s="3">
        <v>41432</v>
      </c>
      <c r="B107">
        <v>2484.16</v>
      </c>
    </row>
    <row r="108" spans="1:2" x14ac:dyDescent="0.25">
      <c r="A108" s="3">
        <v>41431</v>
      </c>
      <c r="B108">
        <v>2527.84</v>
      </c>
    </row>
    <row r="109" spans="1:2" x14ac:dyDescent="0.25">
      <c r="A109" s="3">
        <v>41430</v>
      </c>
      <c r="B109">
        <v>2560.54</v>
      </c>
    </row>
    <row r="110" spans="1:2" x14ac:dyDescent="0.25">
      <c r="A110" s="3">
        <v>41429</v>
      </c>
      <c r="B110">
        <v>2565.67</v>
      </c>
    </row>
    <row r="111" spans="1:2" x14ac:dyDescent="0.25">
      <c r="A111" s="3">
        <v>41428</v>
      </c>
      <c r="B111">
        <v>2602.62</v>
      </c>
    </row>
    <row r="112" spans="1:2" x14ac:dyDescent="0.25">
      <c r="A112" s="3">
        <v>41425</v>
      </c>
      <c r="B112">
        <v>2606.4299999999998</v>
      </c>
    </row>
    <row r="113" spans="1:2" x14ac:dyDescent="0.25">
      <c r="A113" s="3">
        <v>41424</v>
      </c>
      <c r="B113">
        <v>2634.32</v>
      </c>
    </row>
    <row r="114" spans="1:2" x14ac:dyDescent="0.25">
      <c r="A114" s="3">
        <v>41423</v>
      </c>
      <c r="B114">
        <v>2642.56</v>
      </c>
    </row>
    <row r="115" spans="1:2" x14ac:dyDescent="0.25">
      <c r="A115" s="3">
        <v>41422</v>
      </c>
      <c r="B115">
        <v>2644.36</v>
      </c>
    </row>
    <row r="116" spans="1:2" x14ac:dyDescent="0.25">
      <c r="A116" s="3">
        <v>41421</v>
      </c>
      <c r="B116">
        <v>2599.59</v>
      </c>
    </row>
    <row r="117" spans="1:2" x14ac:dyDescent="0.25">
      <c r="A117" s="3">
        <v>41418</v>
      </c>
      <c r="B117">
        <v>2597.23</v>
      </c>
    </row>
    <row r="118" spans="1:2" x14ac:dyDescent="0.25">
      <c r="A118" s="3">
        <v>41417</v>
      </c>
      <c r="B118">
        <v>2582.85</v>
      </c>
    </row>
    <row r="119" spans="1:2" x14ac:dyDescent="0.25">
      <c r="A119" s="3">
        <v>41416</v>
      </c>
      <c r="B119">
        <v>2618.0300000000002</v>
      </c>
    </row>
    <row r="120" spans="1:2" x14ac:dyDescent="0.25">
      <c r="A120" s="3">
        <v>41415</v>
      </c>
      <c r="B120">
        <v>2614.85</v>
      </c>
    </row>
    <row r="121" spans="1:2" x14ac:dyDescent="0.25">
      <c r="A121" s="3">
        <v>41414</v>
      </c>
      <c r="B121">
        <v>2609.61</v>
      </c>
    </row>
    <row r="122" spans="1:2" x14ac:dyDescent="0.25">
      <c r="A122" s="3">
        <v>41411</v>
      </c>
      <c r="B122">
        <v>2592.19</v>
      </c>
    </row>
    <row r="123" spans="1:2" x14ac:dyDescent="0.25">
      <c r="A123" s="3">
        <v>41410</v>
      </c>
      <c r="B123">
        <v>2552.71</v>
      </c>
    </row>
    <row r="124" spans="1:2" x14ac:dyDescent="0.25">
      <c r="A124" s="3">
        <v>41409</v>
      </c>
      <c r="B124">
        <v>2506.9299999999998</v>
      </c>
    </row>
    <row r="125" spans="1:2" x14ac:dyDescent="0.25">
      <c r="A125" s="3">
        <v>41408</v>
      </c>
      <c r="B125">
        <v>2493.34</v>
      </c>
    </row>
    <row r="126" spans="1:2" x14ac:dyDescent="0.25">
      <c r="A126" s="3">
        <v>41407</v>
      </c>
      <c r="B126">
        <v>2530.77</v>
      </c>
    </row>
    <row r="127" spans="1:2" x14ac:dyDescent="0.25">
      <c r="A127" s="3">
        <v>41404</v>
      </c>
      <c r="B127">
        <v>2540.84</v>
      </c>
    </row>
    <row r="128" spans="1:2" x14ac:dyDescent="0.25">
      <c r="A128" s="3">
        <v>41403</v>
      </c>
      <c r="B128">
        <v>2527.79</v>
      </c>
    </row>
    <row r="129" spans="1:2" x14ac:dyDescent="0.25">
      <c r="A129" s="3">
        <v>41402</v>
      </c>
      <c r="B129">
        <v>2542.8000000000002</v>
      </c>
    </row>
    <row r="130" spans="1:2" x14ac:dyDescent="0.25">
      <c r="A130" s="3">
        <v>41401</v>
      </c>
      <c r="B130">
        <v>2529.94</v>
      </c>
    </row>
    <row r="131" spans="1:2" x14ac:dyDescent="0.25">
      <c r="A131" s="3">
        <v>41400</v>
      </c>
      <c r="B131">
        <v>2525.98</v>
      </c>
    </row>
    <row r="132" spans="1:2" x14ac:dyDescent="0.25">
      <c r="A132" s="3">
        <v>41397</v>
      </c>
      <c r="B132">
        <v>2492.91</v>
      </c>
    </row>
    <row r="133" spans="1:2" x14ac:dyDescent="0.25">
      <c r="A133" s="3">
        <v>41396</v>
      </c>
      <c r="B133">
        <v>2449.64</v>
      </c>
    </row>
    <row r="134" spans="1:2" x14ac:dyDescent="0.25">
      <c r="A134" s="3">
        <v>41390</v>
      </c>
      <c r="B134">
        <v>2447.31</v>
      </c>
    </row>
    <row r="135" spans="1:2" x14ac:dyDescent="0.25">
      <c r="A135" s="3">
        <v>41389</v>
      </c>
      <c r="B135">
        <v>2467.88</v>
      </c>
    </row>
    <row r="136" spans="1:2" x14ac:dyDescent="0.25">
      <c r="A136" s="3">
        <v>41388</v>
      </c>
      <c r="B136">
        <v>2495.58</v>
      </c>
    </row>
    <row r="137" spans="1:2" x14ac:dyDescent="0.25">
      <c r="A137" s="3">
        <v>41387</v>
      </c>
      <c r="B137">
        <v>2449.4699999999998</v>
      </c>
    </row>
    <row r="138" spans="1:2" x14ac:dyDescent="0.25">
      <c r="A138" s="3">
        <v>41386</v>
      </c>
      <c r="B138">
        <v>2530.67</v>
      </c>
    </row>
    <row r="139" spans="1:2" x14ac:dyDescent="0.25">
      <c r="A139" s="3">
        <v>41383</v>
      </c>
      <c r="B139">
        <v>2533.83</v>
      </c>
    </row>
    <row r="140" spans="1:2" x14ac:dyDescent="0.25">
      <c r="A140" s="3">
        <v>41382</v>
      </c>
      <c r="B140">
        <v>2464.85</v>
      </c>
    </row>
    <row r="141" spans="1:2" x14ac:dyDescent="0.25">
      <c r="A141" s="3">
        <v>41381</v>
      </c>
      <c r="B141">
        <v>2458.4699999999998</v>
      </c>
    </row>
    <row r="142" spans="1:2" x14ac:dyDescent="0.25">
      <c r="A142" s="3">
        <v>41380</v>
      </c>
      <c r="B142">
        <v>2459.59</v>
      </c>
    </row>
    <row r="143" spans="1:2" x14ac:dyDescent="0.25">
      <c r="A143" s="3">
        <v>41379</v>
      </c>
      <c r="B143">
        <v>2436.8200000000002</v>
      </c>
    </row>
    <row r="144" spans="1:2" x14ac:dyDescent="0.25">
      <c r="A144" s="3">
        <v>41376</v>
      </c>
      <c r="B144">
        <v>2462.11</v>
      </c>
    </row>
    <row r="145" spans="1:2" x14ac:dyDescent="0.25">
      <c r="A145" s="3">
        <v>41375</v>
      </c>
      <c r="B145">
        <v>2477.88</v>
      </c>
    </row>
    <row r="146" spans="1:2" x14ac:dyDescent="0.25">
      <c r="A146" s="3">
        <v>41374</v>
      </c>
      <c r="B146">
        <v>2485.31</v>
      </c>
    </row>
    <row r="147" spans="1:2" x14ac:dyDescent="0.25">
      <c r="A147" s="3">
        <v>41373</v>
      </c>
      <c r="B147">
        <v>2489.4299999999998</v>
      </c>
    </row>
    <row r="148" spans="1:2" x14ac:dyDescent="0.25">
      <c r="A148" s="3">
        <v>41372</v>
      </c>
      <c r="B148">
        <v>2472.3000000000002</v>
      </c>
    </row>
    <row r="149" spans="1:2" x14ac:dyDescent="0.25">
      <c r="A149" s="3">
        <v>41367</v>
      </c>
      <c r="B149">
        <v>2483.5500000000002</v>
      </c>
    </row>
    <row r="150" spans="1:2" x14ac:dyDescent="0.25">
      <c r="A150" s="3">
        <v>41366</v>
      </c>
      <c r="B150">
        <v>2486.39</v>
      </c>
    </row>
    <row r="151" spans="1:2" x14ac:dyDescent="0.25">
      <c r="A151" s="3">
        <v>41365</v>
      </c>
      <c r="B151">
        <v>2493.19</v>
      </c>
    </row>
    <row r="152" spans="1:2" x14ac:dyDescent="0.25">
      <c r="A152" s="3">
        <v>41362</v>
      </c>
      <c r="B152">
        <v>2495.08</v>
      </c>
    </row>
    <row r="153" spans="1:2" x14ac:dyDescent="0.25">
      <c r="A153" s="3">
        <v>41361</v>
      </c>
      <c r="B153">
        <v>2499.3000000000002</v>
      </c>
    </row>
    <row r="154" spans="1:2" x14ac:dyDescent="0.25">
      <c r="A154" s="3">
        <v>41360</v>
      </c>
      <c r="B154">
        <v>2583.5300000000002</v>
      </c>
    </row>
    <row r="155" spans="1:2" x14ac:dyDescent="0.25">
      <c r="A155" s="3">
        <v>41359</v>
      </c>
      <c r="B155">
        <v>2575.0500000000002</v>
      </c>
    </row>
    <row r="156" spans="1:2" x14ac:dyDescent="0.25">
      <c r="A156" s="3">
        <v>41358</v>
      </c>
      <c r="B156">
        <v>2613.1</v>
      </c>
    </row>
    <row r="157" spans="1:2" x14ac:dyDescent="0.25">
      <c r="A157" s="3">
        <v>41355</v>
      </c>
      <c r="B157">
        <v>2618.31</v>
      </c>
    </row>
    <row r="158" spans="1:2" x14ac:dyDescent="0.25">
      <c r="A158" s="3">
        <v>41354</v>
      </c>
      <c r="B158">
        <v>2614.9899999999998</v>
      </c>
    </row>
    <row r="159" spans="1:2" x14ac:dyDescent="0.25">
      <c r="A159" s="3">
        <v>41353</v>
      </c>
      <c r="B159">
        <v>2610.17</v>
      </c>
    </row>
    <row r="160" spans="1:2" x14ac:dyDescent="0.25">
      <c r="A160" s="3">
        <v>41352</v>
      </c>
      <c r="B160">
        <v>2525.1</v>
      </c>
    </row>
    <row r="161" spans="1:2" x14ac:dyDescent="0.25">
      <c r="A161" s="3">
        <v>41351</v>
      </c>
      <c r="B161">
        <v>2502.4899999999998</v>
      </c>
    </row>
    <row r="162" spans="1:2" x14ac:dyDescent="0.25">
      <c r="A162" s="3">
        <v>41348</v>
      </c>
      <c r="B162">
        <v>2539.87</v>
      </c>
    </row>
    <row r="163" spans="1:2" x14ac:dyDescent="0.25">
      <c r="A163" s="3">
        <v>41347</v>
      </c>
      <c r="B163">
        <v>2534.27</v>
      </c>
    </row>
    <row r="164" spans="1:2" x14ac:dyDescent="0.25">
      <c r="A164" s="3">
        <v>41346</v>
      </c>
      <c r="B164">
        <v>2527.4899999999998</v>
      </c>
    </row>
    <row r="165" spans="1:2" x14ac:dyDescent="0.25">
      <c r="A165" s="3">
        <v>41345</v>
      </c>
      <c r="B165">
        <v>2555.61</v>
      </c>
    </row>
    <row r="166" spans="1:2" x14ac:dyDescent="0.25">
      <c r="A166" s="3">
        <v>41344</v>
      </c>
      <c r="B166">
        <v>2592.37</v>
      </c>
    </row>
    <row r="167" spans="1:2" x14ac:dyDescent="0.25">
      <c r="A167" s="3">
        <v>41341</v>
      </c>
      <c r="B167">
        <v>2606.9299999999998</v>
      </c>
    </row>
    <row r="168" spans="1:2" x14ac:dyDescent="0.25">
      <c r="A168" s="3">
        <v>41340</v>
      </c>
      <c r="B168">
        <v>2619.48</v>
      </c>
    </row>
    <row r="169" spans="1:2" x14ac:dyDescent="0.25">
      <c r="A169" s="3">
        <v>41339</v>
      </c>
      <c r="B169">
        <v>2650.2</v>
      </c>
    </row>
    <row r="170" spans="1:2" x14ac:dyDescent="0.25">
      <c r="A170" s="3">
        <v>41338</v>
      </c>
      <c r="B170">
        <v>2622.81</v>
      </c>
    </row>
    <row r="171" spans="1:2" x14ac:dyDescent="0.25">
      <c r="A171" s="3">
        <v>41337</v>
      </c>
      <c r="B171">
        <v>2545.7199999999998</v>
      </c>
    </row>
    <row r="172" spans="1:2" x14ac:dyDescent="0.25">
      <c r="A172" s="3">
        <v>41334</v>
      </c>
      <c r="B172">
        <v>2668.84</v>
      </c>
    </row>
    <row r="173" spans="1:2" x14ac:dyDescent="0.25">
      <c r="A173" s="3">
        <v>41333</v>
      </c>
      <c r="B173">
        <v>2673.33</v>
      </c>
    </row>
    <row r="174" spans="1:2" x14ac:dyDescent="0.25">
      <c r="A174" s="3">
        <v>41332</v>
      </c>
      <c r="B174">
        <v>2594.6799999999998</v>
      </c>
    </row>
    <row r="175" spans="1:2" x14ac:dyDescent="0.25">
      <c r="A175" s="3">
        <v>41331</v>
      </c>
      <c r="B175">
        <v>2567.59</v>
      </c>
    </row>
    <row r="176" spans="1:2" x14ac:dyDescent="0.25">
      <c r="A176" s="3">
        <v>41330</v>
      </c>
      <c r="B176">
        <v>2604.96</v>
      </c>
    </row>
    <row r="177" spans="1:2" x14ac:dyDescent="0.25">
      <c r="A177" s="3">
        <v>41327</v>
      </c>
      <c r="B177">
        <v>2596.6</v>
      </c>
    </row>
    <row r="178" spans="1:2" x14ac:dyDescent="0.25">
      <c r="A178" s="3">
        <v>41326</v>
      </c>
      <c r="B178">
        <v>2610.5500000000002</v>
      </c>
    </row>
    <row r="179" spans="1:2" x14ac:dyDescent="0.25">
      <c r="A179" s="3">
        <v>41325</v>
      </c>
      <c r="B179">
        <v>2702.64</v>
      </c>
    </row>
    <row r="180" spans="1:2" x14ac:dyDescent="0.25">
      <c r="A180" s="3">
        <v>41324</v>
      </c>
      <c r="B180">
        <v>2685.61</v>
      </c>
    </row>
    <row r="181" spans="1:2" x14ac:dyDescent="0.25">
      <c r="A181" s="3">
        <v>41323</v>
      </c>
      <c r="B181">
        <v>2737.47</v>
      </c>
    </row>
    <row r="182" spans="1:2" x14ac:dyDescent="0.25">
      <c r="A182" s="3">
        <v>41313</v>
      </c>
      <c r="B182">
        <v>2771.72</v>
      </c>
    </row>
    <row r="183" spans="1:2" x14ac:dyDescent="0.25">
      <c r="A183" s="3">
        <v>41312</v>
      </c>
      <c r="B183">
        <v>2759.87</v>
      </c>
    </row>
    <row r="184" spans="1:2" x14ac:dyDescent="0.25">
      <c r="A184" s="3">
        <v>41311</v>
      </c>
      <c r="B184">
        <v>2775.84</v>
      </c>
    </row>
    <row r="185" spans="1:2" x14ac:dyDescent="0.25">
      <c r="A185" s="3">
        <v>41310</v>
      </c>
      <c r="B185">
        <v>2771.67</v>
      </c>
    </row>
    <row r="186" spans="1:2" x14ac:dyDescent="0.25">
      <c r="A186" s="3">
        <v>41309</v>
      </c>
      <c r="B186">
        <v>2748.03</v>
      </c>
    </row>
    <row r="187" spans="1:2" x14ac:dyDescent="0.25">
      <c r="A187" s="3">
        <v>41306</v>
      </c>
      <c r="B187">
        <v>2743.32</v>
      </c>
    </row>
    <row r="188" spans="1:2" x14ac:dyDescent="0.25">
      <c r="A188" s="3">
        <v>41305</v>
      </c>
      <c r="B188">
        <v>2686.88</v>
      </c>
    </row>
    <row r="189" spans="1:2" x14ac:dyDescent="0.25">
      <c r="A189" s="3">
        <v>41304</v>
      </c>
      <c r="B189">
        <v>2688.71</v>
      </c>
    </row>
    <row r="190" spans="1:2" x14ac:dyDescent="0.25">
      <c r="A190" s="3">
        <v>41303</v>
      </c>
      <c r="B190">
        <v>2675.87</v>
      </c>
    </row>
    <row r="191" spans="1:2" x14ac:dyDescent="0.25">
      <c r="A191" s="3">
        <v>41302</v>
      </c>
      <c r="B191">
        <v>2651.86</v>
      </c>
    </row>
    <row r="192" spans="1:2" x14ac:dyDescent="0.25">
      <c r="A192" s="3">
        <v>41299</v>
      </c>
      <c r="B192">
        <v>2571.67</v>
      </c>
    </row>
    <row r="193" spans="1:2" x14ac:dyDescent="0.25">
      <c r="A193" s="3">
        <v>41298</v>
      </c>
      <c r="B193">
        <v>2582.75</v>
      </c>
    </row>
    <row r="194" spans="1:2" x14ac:dyDescent="0.25">
      <c r="A194" s="3">
        <v>41297</v>
      </c>
      <c r="B194">
        <v>2607.46</v>
      </c>
    </row>
    <row r="195" spans="1:2" x14ac:dyDescent="0.25">
      <c r="A195" s="3">
        <v>41296</v>
      </c>
      <c r="B195">
        <v>2596.9</v>
      </c>
    </row>
    <row r="196" spans="1:2" x14ac:dyDescent="0.25">
      <c r="A196" s="3">
        <v>41295</v>
      </c>
      <c r="B196">
        <v>2610.9</v>
      </c>
    </row>
    <row r="197" spans="1:2" x14ac:dyDescent="0.25">
      <c r="A197" s="3">
        <v>41292</v>
      </c>
      <c r="B197">
        <v>2595.44</v>
      </c>
    </row>
    <row r="198" spans="1:2" x14ac:dyDescent="0.25">
      <c r="A198" s="3">
        <v>41291</v>
      </c>
      <c r="B198">
        <v>2552.7600000000002</v>
      </c>
    </row>
    <row r="199" spans="1:2" x14ac:dyDescent="0.25">
      <c r="A199" s="3">
        <v>41290</v>
      </c>
      <c r="B199">
        <v>2577.09</v>
      </c>
    </row>
    <row r="200" spans="1:2" x14ac:dyDescent="0.25">
      <c r="A200" s="3">
        <v>41289</v>
      </c>
      <c r="B200">
        <v>2595.86</v>
      </c>
    </row>
    <row r="201" spans="1:2" x14ac:dyDescent="0.25">
      <c r="A201" s="3">
        <v>41288</v>
      </c>
      <c r="B201">
        <v>2577.73</v>
      </c>
    </row>
    <row r="202" spans="1:2" x14ac:dyDescent="0.25">
      <c r="A202" s="3">
        <v>41285</v>
      </c>
      <c r="B202">
        <v>2483.23</v>
      </c>
    </row>
    <row r="203" spans="1:2" x14ac:dyDescent="0.25">
      <c r="A203" s="3">
        <v>41284</v>
      </c>
      <c r="B203">
        <v>2530.5700000000002</v>
      </c>
    </row>
    <row r="204" spans="1:2" x14ac:dyDescent="0.25">
      <c r="A204" s="3">
        <v>41283</v>
      </c>
      <c r="B204">
        <v>2526.13</v>
      </c>
    </row>
    <row r="205" spans="1:2" x14ac:dyDescent="0.25">
      <c r="A205" s="3">
        <v>41282</v>
      </c>
      <c r="B205">
        <v>2525.33</v>
      </c>
    </row>
    <row r="206" spans="1:2" x14ac:dyDescent="0.25">
      <c r="A206" s="3">
        <v>41281</v>
      </c>
      <c r="B206">
        <v>2535.9899999999998</v>
      </c>
    </row>
    <row r="207" spans="1:2" x14ac:dyDescent="0.25">
      <c r="A207" s="3">
        <v>41278</v>
      </c>
      <c r="B207">
        <v>2524.41</v>
      </c>
    </row>
    <row r="208" spans="1:2" x14ac:dyDescent="0.25">
      <c r="A208" s="3">
        <v>41274</v>
      </c>
      <c r="B208">
        <v>2522.9499999999998</v>
      </c>
    </row>
    <row r="209" spans="1:2" x14ac:dyDescent="0.25">
      <c r="A209" s="3">
        <v>41271</v>
      </c>
      <c r="B209">
        <v>2480.0500000000002</v>
      </c>
    </row>
    <row r="210" spans="1:2" x14ac:dyDescent="0.25">
      <c r="A210" s="3">
        <v>41270</v>
      </c>
      <c r="B210">
        <v>2444.59</v>
      </c>
    </row>
    <row r="211" spans="1:2" x14ac:dyDescent="0.25">
      <c r="A211" s="3">
        <v>41269</v>
      </c>
      <c r="B211">
        <v>2457.62</v>
      </c>
    </row>
    <row r="212" spans="1:2" x14ac:dyDescent="0.25">
      <c r="A212" s="3">
        <v>41268</v>
      </c>
      <c r="B212">
        <v>2448.4</v>
      </c>
    </row>
    <row r="213" spans="1:2" x14ac:dyDescent="0.25">
      <c r="A213" s="3">
        <v>41267</v>
      </c>
      <c r="B213">
        <v>2381.2199999999998</v>
      </c>
    </row>
    <row r="214" spans="1:2" x14ac:dyDescent="0.25">
      <c r="A214" s="3">
        <v>41264</v>
      </c>
      <c r="B214">
        <v>2372</v>
      </c>
    </row>
    <row r="215" spans="1:2" x14ac:dyDescent="0.25">
      <c r="A215" s="3">
        <v>41263</v>
      </c>
      <c r="B215">
        <v>2384.8200000000002</v>
      </c>
    </row>
    <row r="216" spans="1:2" x14ac:dyDescent="0.25">
      <c r="A216" s="3">
        <v>41262</v>
      </c>
      <c r="B216">
        <v>2371.11</v>
      </c>
    </row>
    <row r="217" spans="1:2" x14ac:dyDescent="0.25">
      <c r="A217" s="3">
        <v>41261</v>
      </c>
      <c r="B217">
        <v>2368.12</v>
      </c>
    </row>
    <row r="218" spans="1:2" x14ac:dyDescent="0.25">
      <c r="A218" s="3">
        <v>41260</v>
      </c>
      <c r="B218">
        <v>2366.6999999999998</v>
      </c>
    </row>
    <row r="219" spans="1:2" x14ac:dyDescent="0.25">
      <c r="A219" s="3">
        <v>41257</v>
      </c>
      <c r="B219">
        <v>2355.87</v>
      </c>
    </row>
    <row r="220" spans="1:2" x14ac:dyDescent="0.25">
      <c r="A220" s="3">
        <v>41256</v>
      </c>
      <c r="B220">
        <v>2242.64</v>
      </c>
    </row>
    <row r="221" spans="1:2" x14ac:dyDescent="0.25">
      <c r="A221" s="3">
        <v>41255</v>
      </c>
      <c r="B221">
        <v>2267.77</v>
      </c>
    </row>
    <row r="222" spans="1:2" x14ac:dyDescent="0.25">
      <c r="A222" s="3">
        <v>41254</v>
      </c>
      <c r="B222">
        <v>2258.5</v>
      </c>
    </row>
    <row r="223" spans="1:2" x14ac:dyDescent="0.25">
      <c r="A223" s="3">
        <v>41253</v>
      </c>
      <c r="B223">
        <v>2271.0500000000002</v>
      </c>
    </row>
    <row r="224" spans="1:2" x14ac:dyDescent="0.25">
      <c r="A224" s="3">
        <v>41250</v>
      </c>
      <c r="B224">
        <v>2246.7600000000002</v>
      </c>
    </row>
    <row r="225" spans="1:2" x14ac:dyDescent="0.25">
      <c r="A225" s="3">
        <v>41249</v>
      </c>
      <c r="B225">
        <v>2203.6</v>
      </c>
    </row>
    <row r="226" spans="1:2" x14ac:dyDescent="0.25">
      <c r="A226" s="3">
        <v>41248</v>
      </c>
      <c r="B226">
        <v>2207.88</v>
      </c>
    </row>
    <row r="227" spans="1:2" x14ac:dyDescent="0.25">
      <c r="A227" s="3">
        <v>41247</v>
      </c>
      <c r="B227">
        <v>2131.4699999999998</v>
      </c>
    </row>
    <row r="228" spans="1:2" x14ac:dyDescent="0.25">
      <c r="A228" s="3">
        <v>41246</v>
      </c>
      <c r="B228">
        <v>2108.85</v>
      </c>
    </row>
    <row r="229" spans="1:2" x14ac:dyDescent="0.25">
      <c r="A229" s="3">
        <v>41243</v>
      </c>
      <c r="B229">
        <v>2139.66</v>
      </c>
    </row>
    <row r="230" spans="1:2" x14ac:dyDescent="0.25">
      <c r="A230" s="3">
        <v>41242</v>
      </c>
      <c r="B230">
        <v>2115.6799999999998</v>
      </c>
    </row>
    <row r="231" spans="1:2" x14ac:dyDescent="0.25">
      <c r="A231" s="3">
        <v>41241</v>
      </c>
      <c r="B231">
        <v>2129.16</v>
      </c>
    </row>
    <row r="232" spans="1:2" x14ac:dyDescent="0.25">
      <c r="A232" s="3">
        <v>41240</v>
      </c>
      <c r="B232">
        <v>2150.64</v>
      </c>
    </row>
    <row r="233" spans="1:2" x14ac:dyDescent="0.25">
      <c r="A233" s="3">
        <v>41239</v>
      </c>
      <c r="B233">
        <v>2175.6</v>
      </c>
    </row>
    <row r="234" spans="1:2" x14ac:dyDescent="0.25">
      <c r="A234" s="3">
        <v>41236</v>
      </c>
      <c r="B234">
        <v>2192.6799999999998</v>
      </c>
    </row>
    <row r="235" spans="1:2" x14ac:dyDescent="0.25">
      <c r="A235" s="3">
        <v>41235</v>
      </c>
      <c r="B235">
        <v>2177.5500000000002</v>
      </c>
    </row>
    <row r="236" spans="1:2" x14ac:dyDescent="0.25">
      <c r="A236" s="3">
        <v>41234</v>
      </c>
      <c r="B236">
        <v>2194.9</v>
      </c>
    </row>
    <row r="237" spans="1:2" x14ac:dyDescent="0.25">
      <c r="A237" s="3">
        <v>41233</v>
      </c>
      <c r="B237">
        <v>2164.88</v>
      </c>
    </row>
    <row r="238" spans="1:2" x14ac:dyDescent="0.25">
      <c r="A238" s="3">
        <v>41232</v>
      </c>
      <c r="B238">
        <v>2174.98</v>
      </c>
    </row>
    <row r="239" spans="1:2" x14ac:dyDescent="0.25">
      <c r="A239" s="3">
        <v>41229</v>
      </c>
      <c r="B239">
        <v>2177.2399999999998</v>
      </c>
    </row>
    <row r="240" spans="1:2" x14ac:dyDescent="0.25">
      <c r="A240" s="3">
        <v>41228</v>
      </c>
      <c r="B240">
        <v>2193.62</v>
      </c>
    </row>
    <row r="241" spans="1:2" x14ac:dyDescent="0.25">
      <c r="A241" s="3">
        <v>41227</v>
      </c>
      <c r="B241">
        <v>2223.11</v>
      </c>
    </row>
    <row r="242" spans="1:2" x14ac:dyDescent="0.25">
      <c r="A242" s="3">
        <v>41226</v>
      </c>
      <c r="B242">
        <v>2212.44</v>
      </c>
    </row>
    <row r="243" spans="1:2" x14ac:dyDescent="0.25">
      <c r="A243" s="3">
        <v>41225</v>
      </c>
      <c r="B243">
        <v>2251.85</v>
      </c>
    </row>
    <row r="244" spans="1:2" x14ac:dyDescent="0.25">
      <c r="A244" s="3">
        <v>41222</v>
      </c>
      <c r="B244">
        <v>2240.92</v>
      </c>
    </row>
    <row r="245" spans="1:2" x14ac:dyDescent="0.25">
      <c r="A245" s="3">
        <v>41221</v>
      </c>
      <c r="B245">
        <v>2245.41</v>
      </c>
    </row>
    <row r="246" spans="1:2" x14ac:dyDescent="0.25">
      <c r="A246" s="3">
        <v>41220</v>
      </c>
      <c r="B246">
        <v>2287.5100000000002</v>
      </c>
    </row>
    <row r="247" spans="1:2" x14ac:dyDescent="0.25">
      <c r="A247" s="3">
        <v>41219</v>
      </c>
      <c r="B247">
        <v>2292.21</v>
      </c>
    </row>
    <row r="248" spans="1:2" x14ac:dyDescent="0.25">
      <c r="A248" s="3">
        <v>41218</v>
      </c>
      <c r="B248">
        <v>2301.88</v>
      </c>
    </row>
    <row r="249" spans="1:2" x14ac:dyDescent="0.25">
      <c r="A249" s="3">
        <v>41215</v>
      </c>
      <c r="B249">
        <v>2306.77</v>
      </c>
    </row>
    <row r="250" spans="1:2" x14ac:dyDescent="0.25">
      <c r="A250" s="3">
        <v>41214</v>
      </c>
      <c r="B250">
        <v>2297.88</v>
      </c>
    </row>
    <row r="251" spans="1:2" x14ac:dyDescent="0.25">
      <c r="A251" s="3">
        <v>41213</v>
      </c>
      <c r="B251">
        <v>2254.8200000000002</v>
      </c>
    </row>
    <row r="252" spans="1:2" x14ac:dyDescent="0.25">
      <c r="A252" s="3">
        <v>41212</v>
      </c>
      <c r="B252">
        <v>2239.88</v>
      </c>
    </row>
    <row r="253" spans="1:2" x14ac:dyDescent="0.25">
      <c r="A253" s="3">
        <v>41211</v>
      </c>
      <c r="B253">
        <v>2235.85</v>
      </c>
    </row>
    <row r="254" spans="1:2" x14ac:dyDescent="0.25">
      <c r="A254" s="3">
        <v>41208</v>
      </c>
      <c r="B254">
        <v>2247.91</v>
      </c>
    </row>
    <row r="255" spans="1:2" x14ac:dyDescent="0.25">
      <c r="A255" s="3">
        <v>41207</v>
      </c>
      <c r="B255">
        <v>2291.2399999999998</v>
      </c>
    </row>
    <row r="256" spans="1:2" x14ac:dyDescent="0.25">
      <c r="A256" s="3">
        <v>41206</v>
      </c>
      <c r="B256">
        <v>2307.7800000000002</v>
      </c>
    </row>
    <row r="257" spans="1:2" x14ac:dyDescent="0.25">
      <c r="A257" s="3">
        <v>41205</v>
      </c>
      <c r="B257">
        <v>2312.08</v>
      </c>
    </row>
    <row r="258" spans="1:2" x14ac:dyDescent="0.25">
      <c r="A258" s="3">
        <v>41204</v>
      </c>
      <c r="B258">
        <v>2341.59</v>
      </c>
    </row>
    <row r="259" spans="1:2" x14ac:dyDescent="0.25">
      <c r="A259" s="3">
        <v>41201</v>
      </c>
      <c r="B259">
        <v>2332.4699999999998</v>
      </c>
    </row>
    <row r="260" spans="1:2" x14ac:dyDescent="0.25">
      <c r="A260" s="3">
        <v>41200</v>
      </c>
      <c r="B260">
        <v>2336.08</v>
      </c>
    </row>
    <row r="261" spans="1:2" x14ac:dyDescent="0.25">
      <c r="A261" s="3">
        <v>41199</v>
      </c>
      <c r="B261">
        <v>2300.8000000000002</v>
      </c>
    </row>
    <row r="262" spans="1:2" x14ac:dyDescent="0.25">
      <c r="A262" s="3">
        <v>41198</v>
      </c>
      <c r="B262">
        <v>2298.16</v>
      </c>
    </row>
    <row r="263" spans="1:2" x14ac:dyDescent="0.25">
      <c r="A263" s="3">
        <v>41197</v>
      </c>
      <c r="B263">
        <v>2294.86</v>
      </c>
    </row>
    <row r="264" spans="1:2" x14ac:dyDescent="0.25">
      <c r="A264" s="3">
        <v>41194</v>
      </c>
      <c r="B264">
        <v>2304.5300000000002</v>
      </c>
    </row>
    <row r="265" spans="1:2" x14ac:dyDescent="0.25">
      <c r="A265" s="3">
        <v>41193</v>
      </c>
      <c r="B265">
        <v>2302.5300000000002</v>
      </c>
    </row>
    <row r="266" spans="1:2" x14ac:dyDescent="0.25">
      <c r="A266" s="3">
        <v>41192</v>
      </c>
      <c r="B266">
        <v>2324.12</v>
      </c>
    </row>
    <row r="267" spans="1:2" x14ac:dyDescent="0.25">
      <c r="A267" s="3">
        <v>41191</v>
      </c>
      <c r="B267">
        <v>2320.16</v>
      </c>
    </row>
    <row r="268" spans="1:2" x14ac:dyDescent="0.25">
      <c r="A268" s="3">
        <v>41190</v>
      </c>
      <c r="B268">
        <v>2270.0500000000002</v>
      </c>
    </row>
    <row r="269" spans="1:2" x14ac:dyDescent="0.25">
      <c r="A269" s="3">
        <v>41180</v>
      </c>
      <c r="B269">
        <v>2293.11</v>
      </c>
    </row>
    <row r="270" spans="1:2" x14ac:dyDescent="0.25">
      <c r="A270" s="3">
        <v>41179</v>
      </c>
      <c r="B270">
        <v>2251.7199999999998</v>
      </c>
    </row>
    <row r="271" spans="1:2" x14ac:dyDescent="0.25">
      <c r="A271" s="3">
        <v>41178</v>
      </c>
      <c r="B271">
        <v>2184.89</v>
      </c>
    </row>
    <row r="272" spans="1:2" x14ac:dyDescent="0.25">
      <c r="A272" s="3">
        <v>41177</v>
      </c>
      <c r="B272">
        <v>2210.15</v>
      </c>
    </row>
    <row r="273" spans="1:2" x14ac:dyDescent="0.25">
      <c r="A273" s="3">
        <v>41176</v>
      </c>
      <c r="B273">
        <v>2215.52</v>
      </c>
    </row>
    <row r="274" spans="1:2" x14ac:dyDescent="0.25">
      <c r="A274" s="3">
        <v>41173</v>
      </c>
      <c r="B274">
        <v>2199.06</v>
      </c>
    </row>
    <row r="275" spans="1:2" x14ac:dyDescent="0.25">
      <c r="A275" s="3">
        <v>41172</v>
      </c>
      <c r="B275">
        <v>2195.9499999999998</v>
      </c>
    </row>
    <row r="276" spans="1:2" x14ac:dyDescent="0.25">
      <c r="A276" s="3">
        <v>41171</v>
      </c>
      <c r="B276">
        <v>2246.2399999999998</v>
      </c>
    </row>
    <row r="277" spans="1:2" x14ac:dyDescent="0.25">
      <c r="A277" s="3">
        <v>41170</v>
      </c>
      <c r="B277">
        <v>2235.2399999999998</v>
      </c>
    </row>
    <row r="278" spans="1:2" x14ac:dyDescent="0.25">
      <c r="A278" s="3">
        <v>41169</v>
      </c>
      <c r="B278">
        <v>2258.6999999999998</v>
      </c>
    </row>
    <row r="279" spans="1:2" x14ac:dyDescent="0.25">
      <c r="A279" s="3">
        <v>41166</v>
      </c>
      <c r="B279">
        <v>2315.54</v>
      </c>
    </row>
    <row r="280" spans="1:2" x14ac:dyDescent="0.25">
      <c r="A280" s="3">
        <v>41165</v>
      </c>
      <c r="B280">
        <v>2298.46</v>
      </c>
    </row>
    <row r="281" spans="1:2" x14ac:dyDescent="0.25">
      <c r="A281" s="3">
        <v>41164</v>
      </c>
      <c r="B281">
        <v>2320.0700000000002</v>
      </c>
    </row>
    <row r="282" spans="1:2" x14ac:dyDescent="0.25">
      <c r="A282" s="3">
        <v>41163</v>
      </c>
      <c r="B282">
        <v>2311.89</v>
      </c>
    </row>
    <row r="283" spans="1:2" x14ac:dyDescent="0.25">
      <c r="A283" s="3">
        <v>41162</v>
      </c>
      <c r="B283">
        <v>2326.67</v>
      </c>
    </row>
    <row r="284" spans="1:2" x14ac:dyDescent="0.25">
      <c r="A284" s="3">
        <v>41159</v>
      </c>
      <c r="B284">
        <v>2317.1799999999998</v>
      </c>
    </row>
    <row r="285" spans="1:2" x14ac:dyDescent="0.25">
      <c r="A285" s="3">
        <v>41158</v>
      </c>
      <c r="B285">
        <v>2217.8200000000002</v>
      </c>
    </row>
    <row r="286" spans="1:2" x14ac:dyDescent="0.25">
      <c r="A286" s="3">
        <v>41157</v>
      </c>
      <c r="B286">
        <v>2199.88</v>
      </c>
    </row>
    <row r="287" spans="1:2" x14ac:dyDescent="0.25">
      <c r="A287" s="3">
        <v>41156</v>
      </c>
      <c r="B287">
        <v>2204.41</v>
      </c>
    </row>
    <row r="288" spans="1:2" x14ac:dyDescent="0.25">
      <c r="A288" s="3">
        <v>41155</v>
      </c>
      <c r="B288">
        <v>2228.37</v>
      </c>
    </row>
    <row r="289" spans="1:2" x14ac:dyDescent="0.25">
      <c r="A289" s="3">
        <v>41152</v>
      </c>
      <c r="B289">
        <v>2204.87</v>
      </c>
    </row>
    <row r="290" spans="1:2" x14ac:dyDescent="0.25">
      <c r="A290" s="3">
        <v>41151</v>
      </c>
      <c r="B290">
        <v>2211.37</v>
      </c>
    </row>
    <row r="291" spans="1:2" x14ac:dyDescent="0.25">
      <c r="A291" s="3">
        <v>41150</v>
      </c>
      <c r="B291">
        <v>2214.81</v>
      </c>
    </row>
    <row r="292" spans="1:2" x14ac:dyDescent="0.25">
      <c r="A292" s="3">
        <v>41149</v>
      </c>
      <c r="B292">
        <v>2238.41</v>
      </c>
    </row>
    <row r="293" spans="1:2" x14ac:dyDescent="0.25">
      <c r="A293" s="3">
        <v>41148</v>
      </c>
      <c r="B293">
        <v>2228.1999999999998</v>
      </c>
    </row>
    <row r="294" spans="1:2" x14ac:dyDescent="0.25">
      <c r="A294" s="3">
        <v>41145</v>
      </c>
      <c r="B294">
        <v>2275.6799999999998</v>
      </c>
    </row>
    <row r="295" spans="1:2" x14ac:dyDescent="0.25">
      <c r="A295" s="3">
        <v>41144</v>
      </c>
      <c r="B295">
        <v>2302.1999999999998</v>
      </c>
    </row>
    <row r="296" spans="1:2" x14ac:dyDescent="0.25">
      <c r="A296" s="3">
        <v>41143</v>
      </c>
      <c r="B296">
        <v>2295.59</v>
      </c>
    </row>
    <row r="297" spans="1:2" x14ac:dyDescent="0.25">
      <c r="A297" s="3">
        <v>41142</v>
      </c>
      <c r="B297">
        <v>2313.6999999999998</v>
      </c>
    </row>
    <row r="298" spans="1:2" x14ac:dyDescent="0.25">
      <c r="A298" s="3">
        <v>41141</v>
      </c>
      <c r="B298">
        <v>2301.79</v>
      </c>
    </row>
    <row r="299" spans="1:2" x14ac:dyDescent="0.25">
      <c r="A299" s="3">
        <v>41138</v>
      </c>
      <c r="B299">
        <v>2313.48</v>
      </c>
    </row>
    <row r="300" spans="1:2" x14ac:dyDescent="0.25">
      <c r="A300" s="3">
        <v>41137</v>
      </c>
      <c r="B300">
        <v>2319.67</v>
      </c>
    </row>
    <row r="301" spans="1:2" x14ac:dyDescent="0.25">
      <c r="A301" s="3">
        <v>41136</v>
      </c>
      <c r="B301">
        <v>2331.61</v>
      </c>
    </row>
    <row r="302" spans="1:2" x14ac:dyDescent="0.25">
      <c r="A302" s="3">
        <v>41135</v>
      </c>
      <c r="B302">
        <v>2357.02</v>
      </c>
    </row>
    <row r="303" spans="1:2" x14ac:dyDescent="0.25">
      <c r="A303" s="3">
        <v>41134</v>
      </c>
      <c r="B303">
        <v>2351.9299999999998</v>
      </c>
    </row>
    <row r="304" spans="1:2" x14ac:dyDescent="0.25">
      <c r="A304" s="3">
        <v>41131</v>
      </c>
      <c r="B304">
        <v>2399.75</v>
      </c>
    </row>
    <row r="305" spans="1:2" x14ac:dyDescent="0.25">
      <c r="A305" s="3">
        <v>41130</v>
      </c>
      <c r="B305">
        <v>2411.6999999999998</v>
      </c>
    </row>
    <row r="306" spans="1:2" x14ac:dyDescent="0.25">
      <c r="A306" s="3">
        <v>41129</v>
      </c>
      <c r="B306">
        <v>2389.79</v>
      </c>
    </row>
    <row r="307" spans="1:2" x14ac:dyDescent="0.25">
      <c r="A307" s="3">
        <v>41128</v>
      </c>
      <c r="B307">
        <v>2388.87</v>
      </c>
    </row>
    <row r="308" spans="1:2" x14ac:dyDescent="0.25">
      <c r="A308" s="3">
        <v>41127</v>
      </c>
      <c r="B308">
        <v>2385.61</v>
      </c>
    </row>
    <row r="309" spans="1:2" x14ac:dyDescent="0.25">
      <c r="A309" s="3">
        <v>41124</v>
      </c>
      <c r="B309">
        <v>2353.7399999999998</v>
      </c>
    </row>
    <row r="310" spans="1:2" x14ac:dyDescent="0.25">
      <c r="A310" s="3">
        <v>41123</v>
      </c>
      <c r="B310">
        <v>2334.88</v>
      </c>
    </row>
    <row r="311" spans="1:2" x14ac:dyDescent="0.25">
      <c r="A311" s="3">
        <v>41122</v>
      </c>
      <c r="B311">
        <v>2358.65</v>
      </c>
    </row>
    <row r="312" spans="1:2" x14ac:dyDescent="0.25">
      <c r="A312" s="3">
        <v>41121</v>
      </c>
      <c r="B312">
        <v>2332.92</v>
      </c>
    </row>
    <row r="313" spans="1:2" x14ac:dyDescent="0.25">
      <c r="A313" s="3">
        <v>41120</v>
      </c>
      <c r="B313">
        <v>2335.79</v>
      </c>
    </row>
    <row r="314" spans="1:2" x14ac:dyDescent="0.25">
      <c r="A314" s="3">
        <v>41117</v>
      </c>
      <c r="B314">
        <v>2349.11</v>
      </c>
    </row>
    <row r="315" spans="1:2" x14ac:dyDescent="0.25">
      <c r="A315" s="3">
        <v>41116</v>
      </c>
      <c r="B315">
        <v>2347.4899999999998</v>
      </c>
    </row>
    <row r="316" spans="1:2" x14ac:dyDescent="0.25">
      <c r="A316" s="3">
        <v>41115</v>
      </c>
      <c r="B316">
        <v>2360.08</v>
      </c>
    </row>
    <row r="317" spans="1:2" x14ac:dyDescent="0.25">
      <c r="A317" s="3">
        <v>41114</v>
      </c>
      <c r="B317">
        <v>2375.9899999999998</v>
      </c>
    </row>
    <row r="318" spans="1:2" x14ac:dyDescent="0.25">
      <c r="A318" s="3">
        <v>41113</v>
      </c>
      <c r="B318">
        <v>2365.4299999999998</v>
      </c>
    </row>
    <row r="319" spans="1:2" x14ac:dyDescent="0.25">
      <c r="A319" s="3">
        <v>41110</v>
      </c>
      <c r="B319">
        <v>2398.46</v>
      </c>
    </row>
    <row r="320" spans="1:2" x14ac:dyDescent="0.25">
      <c r="A320" s="3">
        <v>41109</v>
      </c>
      <c r="B320">
        <v>2424.3200000000002</v>
      </c>
    </row>
    <row r="321" spans="1:2" x14ac:dyDescent="0.25">
      <c r="A321" s="3">
        <v>41108</v>
      </c>
      <c r="B321">
        <v>2414.33</v>
      </c>
    </row>
    <row r="322" spans="1:2" x14ac:dyDescent="0.25">
      <c r="A322" s="3">
        <v>41107</v>
      </c>
      <c r="B322">
        <v>2414.1999999999998</v>
      </c>
    </row>
    <row r="323" spans="1:2" x14ac:dyDescent="0.25">
      <c r="A323" s="3">
        <v>41106</v>
      </c>
      <c r="B323">
        <v>2399.73</v>
      </c>
    </row>
    <row r="324" spans="1:2" x14ac:dyDescent="0.25">
      <c r="A324" s="3">
        <v>41103</v>
      </c>
      <c r="B324">
        <v>2450.63</v>
      </c>
    </row>
    <row r="325" spans="1:2" x14ac:dyDescent="0.25">
      <c r="A325" s="3">
        <v>41102</v>
      </c>
      <c r="B325">
        <v>2449.1799999999998</v>
      </c>
    </row>
    <row r="326" spans="1:2" x14ac:dyDescent="0.25">
      <c r="A326" s="3">
        <v>41101</v>
      </c>
      <c r="B326">
        <v>2425.5700000000002</v>
      </c>
    </row>
    <row r="327" spans="1:2" x14ac:dyDescent="0.25">
      <c r="A327" s="3">
        <v>41100</v>
      </c>
      <c r="B327">
        <v>2406.71</v>
      </c>
    </row>
    <row r="328" spans="1:2" x14ac:dyDescent="0.25">
      <c r="A328" s="3">
        <v>41099</v>
      </c>
      <c r="B328">
        <v>2416.04</v>
      </c>
    </row>
    <row r="329" spans="1:2" x14ac:dyDescent="0.25">
      <c r="A329" s="3">
        <v>41096</v>
      </c>
      <c r="B329">
        <v>2472.61</v>
      </c>
    </row>
    <row r="330" spans="1:2" x14ac:dyDescent="0.25">
      <c r="A330" s="3">
        <v>41095</v>
      </c>
      <c r="B330">
        <v>2430.37</v>
      </c>
    </row>
    <row r="331" spans="1:2" x14ac:dyDescent="0.25">
      <c r="A331" s="3">
        <v>41094</v>
      </c>
      <c r="B331">
        <v>2464.92</v>
      </c>
    </row>
    <row r="332" spans="1:2" x14ac:dyDescent="0.25">
      <c r="A332" s="3">
        <v>41093</v>
      </c>
      <c r="B332">
        <v>2468.7199999999998</v>
      </c>
    </row>
    <row r="333" spans="1:2" x14ac:dyDescent="0.25">
      <c r="A333" s="3">
        <v>41092</v>
      </c>
      <c r="B333">
        <v>2465.2399999999998</v>
      </c>
    </row>
    <row r="334" spans="1:2" x14ac:dyDescent="0.25">
      <c r="A334" s="3">
        <v>41089</v>
      </c>
      <c r="B334">
        <v>2461.61</v>
      </c>
    </row>
    <row r="335" spans="1:2" x14ac:dyDescent="0.25">
      <c r="A335" s="3">
        <v>41088</v>
      </c>
      <c r="B335">
        <v>2425.73</v>
      </c>
    </row>
    <row r="336" spans="1:2" x14ac:dyDescent="0.25">
      <c r="A336" s="3">
        <v>41087</v>
      </c>
      <c r="B336">
        <v>2447.19</v>
      </c>
    </row>
    <row r="337" spans="1:2" x14ac:dyDescent="0.25">
      <c r="A337" s="3">
        <v>41086</v>
      </c>
      <c r="B337">
        <v>2454.92</v>
      </c>
    </row>
    <row r="338" spans="1:2" x14ac:dyDescent="0.25">
      <c r="A338" s="3">
        <v>41085</v>
      </c>
      <c r="B338">
        <v>2456.52</v>
      </c>
    </row>
    <row r="339" spans="1:2" x14ac:dyDescent="0.25">
      <c r="A339" s="3">
        <v>41081</v>
      </c>
      <c r="B339">
        <v>2512.19</v>
      </c>
    </row>
    <row r="340" spans="1:2" x14ac:dyDescent="0.25">
      <c r="A340" s="3">
        <v>41080</v>
      </c>
      <c r="B340">
        <v>2552.61</v>
      </c>
    </row>
    <row r="341" spans="1:2" x14ac:dyDescent="0.25">
      <c r="A341" s="3">
        <v>41079</v>
      </c>
      <c r="B341">
        <v>2558.62</v>
      </c>
    </row>
    <row r="342" spans="1:2" x14ac:dyDescent="0.25">
      <c r="A342" s="3">
        <v>41078</v>
      </c>
      <c r="B342">
        <v>2581.21</v>
      </c>
    </row>
    <row r="343" spans="1:2" x14ac:dyDescent="0.25">
      <c r="A343" s="3">
        <v>41075</v>
      </c>
      <c r="B343">
        <v>2568.0500000000002</v>
      </c>
    </row>
    <row r="344" spans="1:2" x14ac:dyDescent="0.25">
      <c r="A344" s="3">
        <v>41074</v>
      </c>
      <c r="B344">
        <v>2560.42</v>
      </c>
    </row>
    <row r="345" spans="1:2" x14ac:dyDescent="0.25">
      <c r="A345" s="3">
        <v>41073</v>
      </c>
      <c r="B345">
        <v>2580.64</v>
      </c>
    </row>
    <row r="346" spans="1:2" x14ac:dyDescent="0.25">
      <c r="A346" s="3">
        <v>41072</v>
      </c>
      <c r="B346">
        <v>2540.1799999999998</v>
      </c>
    </row>
    <row r="347" spans="1:2" x14ac:dyDescent="0.25">
      <c r="A347" s="3">
        <v>41071</v>
      </c>
      <c r="B347">
        <v>2558.2600000000002</v>
      </c>
    </row>
    <row r="348" spans="1:2" x14ac:dyDescent="0.25">
      <c r="A348" s="3">
        <v>41068</v>
      </c>
      <c r="B348">
        <v>2524.33</v>
      </c>
    </row>
    <row r="349" spans="1:2" x14ac:dyDescent="0.25">
      <c r="A349" s="3">
        <v>41067</v>
      </c>
      <c r="B349">
        <v>2542.1799999999998</v>
      </c>
    </row>
    <row r="350" spans="1:2" x14ac:dyDescent="0.25">
      <c r="A350" s="3">
        <v>41066</v>
      </c>
      <c r="B350">
        <v>2557.4</v>
      </c>
    </row>
    <row r="351" spans="1:2" x14ac:dyDescent="0.25">
      <c r="A351" s="3">
        <v>41065</v>
      </c>
      <c r="B351">
        <v>2558.84</v>
      </c>
    </row>
    <row r="352" spans="1:2" x14ac:dyDescent="0.25">
      <c r="A352" s="3">
        <v>41064</v>
      </c>
      <c r="B352">
        <v>2559.0300000000002</v>
      </c>
    </row>
    <row r="353" spans="1:2" x14ac:dyDescent="0.25">
      <c r="A353" s="3">
        <v>41061</v>
      </c>
      <c r="B353">
        <v>2633</v>
      </c>
    </row>
    <row r="354" spans="1:2" x14ac:dyDescent="0.25">
      <c r="A354" s="3">
        <v>41060</v>
      </c>
      <c r="B354">
        <v>2632.04</v>
      </c>
    </row>
    <row r="355" spans="1:2" x14ac:dyDescent="0.25">
      <c r="A355" s="3">
        <v>41059</v>
      </c>
      <c r="B355">
        <v>2642.26</v>
      </c>
    </row>
    <row r="356" spans="1:2" x14ac:dyDescent="0.25">
      <c r="A356" s="3">
        <v>41058</v>
      </c>
      <c r="B356">
        <v>2650.85</v>
      </c>
    </row>
    <row r="357" spans="1:2" x14ac:dyDescent="0.25">
      <c r="A357" s="3">
        <v>41057</v>
      </c>
      <c r="B357">
        <v>2614.69</v>
      </c>
    </row>
    <row r="358" spans="1:2" x14ac:dyDescent="0.25">
      <c r="A358" s="3">
        <v>41054</v>
      </c>
      <c r="B358">
        <v>2573.1</v>
      </c>
    </row>
    <row r="359" spans="1:2" x14ac:dyDescent="0.25">
      <c r="A359" s="3">
        <v>41053</v>
      </c>
      <c r="B359">
        <v>2595.2600000000002</v>
      </c>
    </row>
    <row r="360" spans="1:2" x14ac:dyDescent="0.25">
      <c r="A360" s="3">
        <v>41052</v>
      </c>
      <c r="B360">
        <v>2616.87</v>
      </c>
    </row>
    <row r="361" spans="1:2" x14ac:dyDescent="0.25">
      <c r="A361" s="3">
        <v>41051</v>
      </c>
      <c r="B361">
        <v>2627.53</v>
      </c>
    </row>
    <row r="362" spans="1:2" x14ac:dyDescent="0.25">
      <c r="A362" s="3">
        <v>41050</v>
      </c>
      <c r="B362">
        <v>2587.23</v>
      </c>
    </row>
    <row r="363" spans="1:2" x14ac:dyDescent="0.25">
      <c r="A363" s="3">
        <v>41047</v>
      </c>
      <c r="B363">
        <v>2573.98</v>
      </c>
    </row>
    <row r="364" spans="1:2" x14ac:dyDescent="0.25">
      <c r="A364" s="3">
        <v>41046</v>
      </c>
      <c r="B364">
        <v>2613.94</v>
      </c>
    </row>
    <row r="365" spans="1:2" x14ac:dyDescent="0.25">
      <c r="A365" s="3">
        <v>41045</v>
      </c>
      <c r="B365">
        <v>2574.65</v>
      </c>
    </row>
    <row r="366" spans="1:2" x14ac:dyDescent="0.25">
      <c r="A366" s="3">
        <v>41044</v>
      </c>
      <c r="B366">
        <v>2617.37</v>
      </c>
    </row>
    <row r="367" spans="1:2" x14ac:dyDescent="0.25">
      <c r="A367" s="3">
        <v>41043</v>
      </c>
      <c r="B367">
        <v>2615.5300000000002</v>
      </c>
    </row>
    <row r="368" spans="1:2" x14ac:dyDescent="0.25">
      <c r="A368" s="3">
        <v>41040</v>
      </c>
      <c r="B368">
        <v>2636.92</v>
      </c>
    </row>
    <row r="369" spans="1:2" x14ac:dyDescent="0.25">
      <c r="A369" s="3">
        <v>41039</v>
      </c>
      <c r="B369">
        <v>2657.21</v>
      </c>
    </row>
    <row r="370" spans="1:2" x14ac:dyDescent="0.25">
      <c r="A370" s="3">
        <v>41038</v>
      </c>
      <c r="B370">
        <v>2657.51</v>
      </c>
    </row>
    <row r="371" spans="1:2" x14ac:dyDescent="0.25">
      <c r="A371" s="3">
        <v>41037</v>
      </c>
      <c r="B371">
        <v>2709.12</v>
      </c>
    </row>
    <row r="372" spans="1:2" x14ac:dyDescent="0.25">
      <c r="A372" s="3">
        <v>41036</v>
      </c>
      <c r="B372">
        <v>2717.78</v>
      </c>
    </row>
    <row r="373" spans="1:2" x14ac:dyDescent="0.25">
      <c r="A373" s="3">
        <v>41033</v>
      </c>
      <c r="B373">
        <v>2715.88</v>
      </c>
    </row>
    <row r="374" spans="1:2" x14ac:dyDescent="0.25">
      <c r="A374" s="3">
        <v>41032</v>
      </c>
      <c r="B374">
        <v>2691.52</v>
      </c>
    </row>
    <row r="375" spans="1:2" x14ac:dyDescent="0.25">
      <c r="A375" s="3">
        <v>41031</v>
      </c>
      <c r="B375">
        <v>2683.49</v>
      </c>
    </row>
    <row r="376" spans="1:2" x14ac:dyDescent="0.25">
      <c r="A376" s="3">
        <v>41026</v>
      </c>
      <c r="B376">
        <v>2626.16</v>
      </c>
    </row>
    <row r="377" spans="1:2" x14ac:dyDescent="0.25">
      <c r="A377" s="3">
        <v>41025</v>
      </c>
      <c r="B377">
        <v>2631.49</v>
      </c>
    </row>
    <row r="378" spans="1:2" x14ac:dyDescent="0.25">
      <c r="A378" s="3">
        <v>41024</v>
      </c>
      <c r="B378">
        <v>2625.99</v>
      </c>
    </row>
    <row r="379" spans="1:2" x14ac:dyDescent="0.25">
      <c r="A379" s="3">
        <v>41023</v>
      </c>
      <c r="B379">
        <v>2604.87</v>
      </c>
    </row>
    <row r="380" spans="1:2" x14ac:dyDescent="0.25">
      <c r="A380" s="3">
        <v>41022</v>
      </c>
      <c r="B380">
        <v>2606.04</v>
      </c>
    </row>
    <row r="381" spans="1:2" x14ac:dyDescent="0.25">
      <c r="A381" s="3">
        <v>41019</v>
      </c>
      <c r="B381">
        <v>2626.84</v>
      </c>
    </row>
    <row r="382" spans="1:2" x14ac:dyDescent="0.25">
      <c r="A382" s="3">
        <v>41018</v>
      </c>
      <c r="B382">
        <v>2596.06</v>
      </c>
    </row>
    <row r="383" spans="1:2" x14ac:dyDescent="0.25">
      <c r="A383" s="3">
        <v>41017</v>
      </c>
      <c r="B383">
        <v>2599.91</v>
      </c>
    </row>
    <row r="384" spans="1:2" x14ac:dyDescent="0.25">
      <c r="A384" s="3">
        <v>41016</v>
      </c>
      <c r="B384">
        <v>2541.88</v>
      </c>
    </row>
    <row r="385" spans="1:2" x14ac:dyDescent="0.25">
      <c r="A385" s="3">
        <v>41015</v>
      </c>
      <c r="B385">
        <v>2574.04</v>
      </c>
    </row>
    <row r="386" spans="1:2" x14ac:dyDescent="0.25">
      <c r="A386" s="3">
        <v>41012</v>
      </c>
      <c r="B386">
        <v>2580.4499999999998</v>
      </c>
    </row>
    <row r="387" spans="1:2" x14ac:dyDescent="0.25">
      <c r="A387" s="3">
        <v>41011</v>
      </c>
      <c r="B387">
        <v>2570.44</v>
      </c>
    </row>
    <row r="388" spans="1:2" x14ac:dyDescent="0.25">
      <c r="A388" s="3">
        <v>41010</v>
      </c>
      <c r="B388">
        <v>2520.04</v>
      </c>
    </row>
    <row r="389" spans="1:2" x14ac:dyDescent="0.25">
      <c r="A389" s="3">
        <v>41009</v>
      </c>
      <c r="B389">
        <v>2519.79</v>
      </c>
    </row>
    <row r="390" spans="1:2" x14ac:dyDescent="0.25">
      <c r="A390" s="3">
        <v>41008</v>
      </c>
      <c r="B390">
        <v>2495.15</v>
      </c>
    </row>
    <row r="391" spans="1:2" x14ac:dyDescent="0.25">
      <c r="A391" s="3">
        <v>41005</v>
      </c>
      <c r="B391">
        <v>2519.83</v>
      </c>
    </row>
    <row r="392" spans="1:2" x14ac:dyDescent="0.25">
      <c r="A392" s="3">
        <v>41004</v>
      </c>
      <c r="B392">
        <v>2512.83</v>
      </c>
    </row>
    <row r="393" spans="1:2" x14ac:dyDescent="0.25">
      <c r="A393" s="3">
        <v>40998</v>
      </c>
      <c r="B393">
        <v>2454.9</v>
      </c>
    </row>
    <row r="394" spans="1:2" x14ac:dyDescent="0.25">
      <c r="A394" s="3">
        <v>40997</v>
      </c>
      <c r="B394">
        <v>2443.12</v>
      </c>
    </row>
    <row r="395" spans="1:2" x14ac:dyDescent="0.25">
      <c r="A395" s="3">
        <v>40996</v>
      </c>
      <c r="B395">
        <v>2474.9</v>
      </c>
    </row>
    <row r="396" spans="1:2" x14ac:dyDescent="0.25">
      <c r="A396" s="3">
        <v>40995</v>
      </c>
      <c r="B396">
        <v>2547.14</v>
      </c>
    </row>
    <row r="397" spans="1:2" x14ac:dyDescent="0.25">
      <c r="A397" s="3">
        <v>40994</v>
      </c>
      <c r="B397">
        <v>2555.44</v>
      </c>
    </row>
    <row r="398" spans="1:2" x14ac:dyDescent="0.25">
      <c r="A398" s="3">
        <v>40991</v>
      </c>
      <c r="B398">
        <v>2552.94</v>
      </c>
    </row>
    <row r="399" spans="1:2" x14ac:dyDescent="0.25">
      <c r="A399" s="3">
        <v>40990</v>
      </c>
      <c r="B399">
        <v>2583.75</v>
      </c>
    </row>
    <row r="400" spans="1:2" x14ac:dyDescent="0.25">
      <c r="A400" s="3">
        <v>40989</v>
      </c>
      <c r="B400">
        <v>2587.79</v>
      </c>
    </row>
    <row r="401" spans="1:2" x14ac:dyDescent="0.25">
      <c r="A401" s="3">
        <v>40988</v>
      </c>
      <c r="B401">
        <v>2584.4499999999998</v>
      </c>
    </row>
    <row r="402" spans="1:2" x14ac:dyDescent="0.25">
      <c r="A402" s="3">
        <v>40987</v>
      </c>
      <c r="B402">
        <v>2630.01</v>
      </c>
    </row>
    <row r="403" spans="1:2" x14ac:dyDescent="0.25">
      <c r="A403" s="3">
        <v>40984</v>
      </c>
      <c r="B403">
        <v>2623.52</v>
      </c>
    </row>
    <row r="404" spans="1:2" x14ac:dyDescent="0.25">
      <c r="A404" s="3">
        <v>40983</v>
      </c>
      <c r="B404">
        <v>2585.5500000000002</v>
      </c>
    </row>
    <row r="405" spans="1:2" x14ac:dyDescent="0.25">
      <c r="A405" s="3">
        <v>40982</v>
      </c>
      <c r="B405">
        <v>2605.11</v>
      </c>
    </row>
    <row r="406" spans="1:2" x14ac:dyDescent="0.25">
      <c r="A406" s="3">
        <v>40981</v>
      </c>
      <c r="B406">
        <v>2681.07</v>
      </c>
    </row>
    <row r="407" spans="1:2" x14ac:dyDescent="0.25">
      <c r="A407" s="3">
        <v>40980</v>
      </c>
      <c r="B407">
        <v>2654.4</v>
      </c>
    </row>
    <row r="408" spans="1:2" x14ac:dyDescent="0.25">
      <c r="A408" s="3">
        <v>40977</v>
      </c>
      <c r="B408">
        <v>2664.3</v>
      </c>
    </row>
    <row r="409" spans="1:2" x14ac:dyDescent="0.25">
      <c r="A409" s="3">
        <v>40976</v>
      </c>
      <c r="B409">
        <v>2635.79</v>
      </c>
    </row>
    <row r="410" spans="1:2" x14ac:dyDescent="0.25">
      <c r="A410" s="3">
        <v>40975</v>
      </c>
      <c r="B410">
        <v>2603.0100000000002</v>
      </c>
    </row>
    <row r="411" spans="1:2" x14ac:dyDescent="0.25">
      <c r="A411" s="3">
        <v>40974</v>
      </c>
      <c r="B411">
        <v>2621.0500000000002</v>
      </c>
    </row>
    <row r="412" spans="1:2" x14ac:dyDescent="0.25">
      <c r="A412" s="3">
        <v>40973</v>
      </c>
      <c r="B412">
        <v>2662.7</v>
      </c>
    </row>
    <row r="413" spans="1:2" x14ac:dyDescent="0.25">
      <c r="A413" s="3">
        <v>40970</v>
      </c>
      <c r="B413">
        <v>2679.93</v>
      </c>
    </row>
    <row r="414" spans="1:2" x14ac:dyDescent="0.25">
      <c r="A414" s="3">
        <v>40969</v>
      </c>
      <c r="B414">
        <v>2633.35</v>
      </c>
    </row>
    <row r="415" spans="1:2" x14ac:dyDescent="0.25">
      <c r="A415" s="3">
        <v>40968</v>
      </c>
      <c r="B415">
        <v>2634.14</v>
      </c>
    </row>
    <row r="416" spans="1:2" x14ac:dyDescent="0.25">
      <c r="A416" s="3">
        <v>40967</v>
      </c>
      <c r="B416">
        <v>2662.46</v>
      </c>
    </row>
    <row r="417" spans="1:2" x14ac:dyDescent="0.25">
      <c r="A417" s="3">
        <v>40966</v>
      </c>
      <c r="B417">
        <v>2656.57</v>
      </c>
    </row>
    <row r="418" spans="1:2" x14ac:dyDescent="0.25">
      <c r="A418" s="3">
        <v>40963</v>
      </c>
      <c r="B418">
        <v>2648.02</v>
      </c>
    </row>
    <row r="419" spans="1:2" x14ac:dyDescent="0.25">
      <c r="A419" s="3">
        <v>40962</v>
      </c>
      <c r="B419">
        <v>2606.2600000000002</v>
      </c>
    </row>
    <row r="420" spans="1:2" x14ac:dyDescent="0.25">
      <c r="A420" s="3">
        <v>40961</v>
      </c>
      <c r="B420">
        <v>2597.48</v>
      </c>
    </row>
    <row r="421" spans="1:2" x14ac:dyDescent="0.25">
      <c r="A421" s="3">
        <v>40960</v>
      </c>
      <c r="B421">
        <v>2562.4499999999998</v>
      </c>
    </row>
    <row r="422" spans="1:2" x14ac:dyDescent="0.25">
      <c r="A422" s="3">
        <v>40959</v>
      </c>
      <c r="B422">
        <v>2540.71</v>
      </c>
    </row>
    <row r="423" spans="1:2" x14ac:dyDescent="0.25">
      <c r="A423" s="3">
        <v>40956</v>
      </c>
      <c r="B423">
        <v>2537.09</v>
      </c>
    </row>
    <row r="424" spans="1:2" x14ac:dyDescent="0.25">
      <c r="A424" s="3">
        <v>40955</v>
      </c>
      <c r="B424">
        <v>2536.0700000000002</v>
      </c>
    </row>
    <row r="425" spans="1:2" x14ac:dyDescent="0.25">
      <c r="A425" s="3">
        <v>40954</v>
      </c>
      <c r="B425">
        <v>2549.61</v>
      </c>
    </row>
    <row r="426" spans="1:2" x14ac:dyDescent="0.25">
      <c r="A426" s="3">
        <v>40953</v>
      </c>
      <c r="B426">
        <v>2522.11</v>
      </c>
    </row>
    <row r="427" spans="1:2" x14ac:dyDescent="0.25">
      <c r="A427" s="3">
        <v>40952</v>
      </c>
      <c r="B427">
        <v>2531.98</v>
      </c>
    </row>
    <row r="428" spans="1:2" x14ac:dyDescent="0.25">
      <c r="A428" s="3">
        <v>40949</v>
      </c>
      <c r="B428">
        <v>2533.62</v>
      </c>
    </row>
    <row r="429" spans="1:2" x14ac:dyDescent="0.25">
      <c r="A429" s="3">
        <v>40948</v>
      </c>
      <c r="B429">
        <v>2529.23</v>
      </c>
    </row>
    <row r="430" spans="1:2" x14ac:dyDescent="0.25">
      <c r="A430" s="3">
        <v>40947</v>
      </c>
      <c r="B430">
        <v>2528.2399999999998</v>
      </c>
    </row>
    <row r="431" spans="1:2" x14ac:dyDescent="0.25">
      <c r="A431" s="3">
        <v>40946</v>
      </c>
      <c r="B431">
        <v>2457.9499999999998</v>
      </c>
    </row>
    <row r="432" spans="1:2" x14ac:dyDescent="0.25">
      <c r="A432" s="3">
        <v>40945</v>
      </c>
      <c r="B432">
        <v>2504.3200000000002</v>
      </c>
    </row>
    <row r="433" spans="1:2" x14ac:dyDescent="0.25">
      <c r="A433" s="3">
        <v>40942</v>
      </c>
      <c r="B433">
        <v>2506.09</v>
      </c>
    </row>
    <row r="434" spans="1:2" x14ac:dyDescent="0.25">
      <c r="A434" s="3">
        <v>40941</v>
      </c>
      <c r="B434">
        <v>2486.2399999999998</v>
      </c>
    </row>
    <row r="435" spans="1:2" x14ac:dyDescent="0.25">
      <c r="A435" s="3">
        <v>40940</v>
      </c>
      <c r="B435">
        <v>2428.9899999999998</v>
      </c>
    </row>
    <row r="436" spans="1:2" x14ac:dyDescent="0.25">
      <c r="A436" s="3">
        <v>40939</v>
      </c>
      <c r="B436">
        <v>2464.2600000000002</v>
      </c>
    </row>
    <row r="437" spans="1:2" x14ac:dyDescent="0.25">
      <c r="A437" s="3">
        <v>40938</v>
      </c>
      <c r="B437">
        <v>2460.7199999999998</v>
      </c>
    </row>
    <row r="438" spans="1:2" x14ac:dyDescent="0.25">
      <c r="A438" s="3">
        <v>40928</v>
      </c>
      <c r="B438">
        <v>2504.09</v>
      </c>
    </row>
    <row r="439" spans="1:2" x14ac:dyDescent="0.25">
      <c r="A439" s="3">
        <v>40927</v>
      </c>
      <c r="B439">
        <v>2468.35</v>
      </c>
    </row>
    <row r="440" spans="1:2" x14ac:dyDescent="0.25">
      <c r="A440" s="3">
        <v>40926</v>
      </c>
      <c r="B440">
        <v>2422.19</v>
      </c>
    </row>
    <row r="441" spans="1:2" x14ac:dyDescent="0.25">
      <c r="A441" s="3">
        <v>40925</v>
      </c>
      <c r="B441">
        <v>2460.6</v>
      </c>
    </row>
    <row r="442" spans="1:2" x14ac:dyDescent="0.25">
      <c r="A442" s="3">
        <v>40924</v>
      </c>
      <c r="B442">
        <v>2345.65</v>
      </c>
    </row>
    <row r="443" spans="1:2" x14ac:dyDescent="0.25">
      <c r="A443" s="3">
        <v>40921</v>
      </c>
      <c r="B443">
        <v>2394.33</v>
      </c>
    </row>
    <row r="444" spans="1:2" x14ac:dyDescent="0.25">
      <c r="A444" s="3">
        <v>40920</v>
      </c>
      <c r="B444">
        <v>2435.2199999999998</v>
      </c>
    </row>
    <row r="445" spans="1:2" x14ac:dyDescent="0.25">
      <c r="A445" s="3">
        <v>40919</v>
      </c>
      <c r="B445">
        <v>2435.61</v>
      </c>
    </row>
    <row r="446" spans="1:2" x14ac:dyDescent="0.25">
      <c r="A446" s="3">
        <v>40918</v>
      </c>
      <c r="B446">
        <v>2447.35</v>
      </c>
    </row>
    <row r="447" spans="1:2" x14ac:dyDescent="0.25">
      <c r="A447" s="3">
        <v>40917</v>
      </c>
      <c r="B447">
        <v>2368.5700000000002</v>
      </c>
    </row>
    <row r="448" spans="1:2" x14ac:dyDescent="0.25">
      <c r="A448" s="3">
        <v>40914</v>
      </c>
      <c r="B448">
        <v>2290.6</v>
      </c>
    </row>
    <row r="449" spans="1:2" x14ac:dyDescent="0.25">
      <c r="A449" s="3">
        <v>40913</v>
      </c>
      <c r="B449">
        <v>2276.39</v>
      </c>
    </row>
    <row r="450" spans="1:2" x14ac:dyDescent="0.25">
      <c r="A450" s="3">
        <v>40912</v>
      </c>
      <c r="B450">
        <v>2298.75</v>
      </c>
    </row>
    <row r="451" spans="1:2" x14ac:dyDescent="0.25">
      <c r="A451" s="3">
        <v>40907</v>
      </c>
      <c r="B451">
        <v>2345.7399999999998</v>
      </c>
    </row>
    <row r="452" spans="1:2" x14ac:dyDescent="0.25">
      <c r="A452" s="3">
        <v>40906</v>
      </c>
      <c r="B452">
        <v>2311.36</v>
      </c>
    </row>
    <row r="453" spans="1:2" x14ac:dyDescent="0.25">
      <c r="A453" s="3">
        <v>40905</v>
      </c>
      <c r="B453">
        <v>2307.9299999999998</v>
      </c>
    </row>
    <row r="454" spans="1:2" x14ac:dyDescent="0.25">
      <c r="A454" s="3">
        <v>40904</v>
      </c>
      <c r="B454">
        <v>2305.04</v>
      </c>
    </row>
    <row r="455" spans="1:2" x14ac:dyDescent="0.25">
      <c r="A455" s="3">
        <v>40903</v>
      </c>
      <c r="B455">
        <v>2335.6999999999998</v>
      </c>
    </row>
    <row r="456" spans="1:2" x14ac:dyDescent="0.25">
      <c r="A456" s="3">
        <v>40900</v>
      </c>
      <c r="B456">
        <v>2359.16</v>
      </c>
    </row>
    <row r="457" spans="1:2" x14ac:dyDescent="0.25">
      <c r="A457" s="3">
        <v>40899</v>
      </c>
      <c r="B457">
        <v>2341.34</v>
      </c>
    </row>
    <row r="458" spans="1:2" x14ac:dyDescent="0.25">
      <c r="A458" s="3">
        <v>40898</v>
      </c>
      <c r="B458">
        <v>2339.11</v>
      </c>
    </row>
    <row r="459" spans="1:2" x14ac:dyDescent="0.25">
      <c r="A459" s="3">
        <v>40897</v>
      </c>
      <c r="B459">
        <v>2377.0700000000002</v>
      </c>
    </row>
    <row r="460" spans="1:2" x14ac:dyDescent="0.25">
      <c r="A460" s="3">
        <v>40896</v>
      </c>
      <c r="B460">
        <v>2384.41</v>
      </c>
    </row>
    <row r="461" spans="1:2" x14ac:dyDescent="0.25">
      <c r="A461" s="3">
        <v>40893</v>
      </c>
      <c r="B461">
        <v>2390.13</v>
      </c>
    </row>
    <row r="462" spans="1:2" x14ac:dyDescent="0.25">
      <c r="A462" s="3">
        <v>40892</v>
      </c>
      <c r="B462">
        <v>2340.79</v>
      </c>
    </row>
    <row r="463" spans="1:2" x14ac:dyDescent="0.25">
      <c r="A463" s="3">
        <v>40891</v>
      </c>
      <c r="B463">
        <v>2397.48</v>
      </c>
    </row>
    <row r="464" spans="1:2" x14ac:dyDescent="0.25">
      <c r="A464" s="3">
        <v>40890</v>
      </c>
      <c r="B464">
        <v>2421.9299999999998</v>
      </c>
    </row>
    <row r="465" spans="1:2" x14ac:dyDescent="0.25">
      <c r="A465" s="3">
        <v>40889</v>
      </c>
      <c r="B465">
        <v>2477.69</v>
      </c>
    </row>
    <row r="466" spans="1:2" x14ac:dyDescent="0.25">
      <c r="A466" s="3">
        <v>40886</v>
      </c>
      <c r="B466">
        <v>2503.46</v>
      </c>
    </row>
    <row r="467" spans="1:2" x14ac:dyDescent="0.25">
      <c r="A467" s="3">
        <v>40885</v>
      </c>
      <c r="B467">
        <v>2525</v>
      </c>
    </row>
    <row r="468" spans="1:2" x14ac:dyDescent="0.25">
      <c r="A468" s="3">
        <v>40884</v>
      </c>
      <c r="B468">
        <v>2528.23</v>
      </c>
    </row>
    <row r="469" spans="1:2" x14ac:dyDescent="0.25">
      <c r="A469" s="3">
        <v>40883</v>
      </c>
      <c r="B469">
        <v>2516.34</v>
      </c>
    </row>
    <row r="470" spans="1:2" x14ac:dyDescent="0.25">
      <c r="A470" s="3">
        <v>40882</v>
      </c>
      <c r="B470">
        <v>2521.39</v>
      </c>
    </row>
    <row r="471" spans="1:2" x14ac:dyDescent="0.25">
      <c r="A471" s="3">
        <v>40879</v>
      </c>
      <c r="B471">
        <v>2557.31</v>
      </c>
    </row>
    <row r="472" spans="1:2" x14ac:dyDescent="0.25">
      <c r="A472" s="3">
        <v>40878</v>
      </c>
      <c r="B472">
        <v>2583.61</v>
      </c>
    </row>
    <row r="473" spans="1:2" x14ac:dyDescent="0.25">
      <c r="A473" s="3">
        <v>40877</v>
      </c>
      <c r="B473">
        <v>2521.52</v>
      </c>
    </row>
    <row r="474" spans="1:2" x14ac:dyDescent="0.25">
      <c r="A474" s="3">
        <v>40876</v>
      </c>
      <c r="B474">
        <v>2608.5700000000002</v>
      </c>
    </row>
    <row r="475" spans="1:2" x14ac:dyDescent="0.25">
      <c r="A475" s="3">
        <v>40875</v>
      </c>
      <c r="B475">
        <v>2573.3200000000002</v>
      </c>
    </row>
    <row r="476" spans="1:2" x14ac:dyDescent="0.25">
      <c r="A476" s="3">
        <v>40872</v>
      </c>
      <c r="B476">
        <v>2569.9699999999998</v>
      </c>
    </row>
    <row r="477" spans="1:2" x14ac:dyDescent="0.25">
      <c r="A477" s="3">
        <v>40871</v>
      </c>
      <c r="B477">
        <v>2588.92</v>
      </c>
    </row>
    <row r="478" spans="1:2" x14ac:dyDescent="0.25">
      <c r="A478" s="3">
        <v>40870</v>
      </c>
      <c r="B478">
        <v>2584.0100000000002</v>
      </c>
    </row>
    <row r="479" spans="1:2" x14ac:dyDescent="0.25">
      <c r="A479" s="3">
        <v>40869</v>
      </c>
      <c r="B479">
        <v>2609.48</v>
      </c>
    </row>
    <row r="480" spans="1:2" x14ac:dyDescent="0.25">
      <c r="A480" s="3">
        <v>40868</v>
      </c>
      <c r="B480">
        <v>2609.69</v>
      </c>
    </row>
    <row r="481" spans="1:2" x14ac:dyDescent="0.25">
      <c r="A481" s="3">
        <v>40865</v>
      </c>
      <c r="B481">
        <v>2606.5</v>
      </c>
    </row>
    <row r="482" spans="1:2" x14ac:dyDescent="0.25">
      <c r="A482" s="3">
        <v>40864</v>
      </c>
      <c r="B482">
        <v>2662.02</v>
      </c>
    </row>
    <row r="483" spans="1:2" x14ac:dyDescent="0.25">
      <c r="A483" s="3">
        <v>40863</v>
      </c>
      <c r="B483">
        <v>2670.12</v>
      </c>
    </row>
    <row r="484" spans="1:2" x14ac:dyDescent="0.25">
      <c r="A484" s="3">
        <v>40862</v>
      </c>
      <c r="B484">
        <v>2744.68</v>
      </c>
    </row>
    <row r="485" spans="1:2" x14ac:dyDescent="0.25">
      <c r="A485" s="3">
        <v>40861</v>
      </c>
      <c r="B485">
        <v>2750.2</v>
      </c>
    </row>
    <row r="486" spans="1:2" x14ac:dyDescent="0.25">
      <c r="A486" s="3">
        <v>40858</v>
      </c>
      <c r="B486">
        <v>2695</v>
      </c>
    </row>
    <row r="487" spans="1:2" x14ac:dyDescent="0.25">
      <c r="A487" s="3">
        <v>40857</v>
      </c>
      <c r="B487">
        <v>2699.59</v>
      </c>
    </row>
    <row r="488" spans="1:2" x14ac:dyDescent="0.25">
      <c r="A488" s="3">
        <v>40856</v>
      </c>
      <c r="B488">
        <v>2751.65</v>
      </c>
    </row>
    <row r="489" spans="1:2" x14ac:dyDescent="0.25">
      <c r="A489" s="3">
        <v>40855</v>
      </c>
      <c r="B489">
        <v>2727.71</v>
      </c>
    </row>
    <row r="490" spans="1:2" x14ac:dyDescent="0.25">
      <c r="A490" s="3">
        <v>40854</v>
      </c>
      <c r="B490">
        <v>2736.25</v>
      </c>
    </row>
    <row r="491" spans="1:2" x14ac:dyDescent="0.25">
      <c r="A491" s="3">
        <v>40851</v>
      </c>
      <c r="B491">
        <v>2763.75</v>
      </c>
    </row>
    <row r="492" spans="1:2" x14ac:dyDescent="0.25">
      <c r="A492" s="3">
        <v>40850</v>
      </c>
      <c r="B492">
        <v>2744.3</v>
      </c>
    </row>
    <row r="493" spans="1:2" x14ac:dyDescent="0.25">
      <c r="A493" s="3">
        <v>40849</v>
      </c>
      <c r="B493">
        <v>2742.39</v>
      </c>
    </row>
    <row r="494" spans="1:2" x14ac:dyDescent="0.25">
      <c r="A494" s="3">
        <v>40848</v>
      </c>
      <c r="B494">
        <v>2697.53</v>
      </c>
    </row>
    <row r="495" spans="1:2" x14ac:dyDescent="0.25">
      <c r="A495" s="3">
        <v>40847</v>
      </c>
      <c r="B495">
        <v>2695.31</v>
      </c>
    </row>
    <row r="496" spans="1:2" x14ac:dyDescent="0.25">
      <c r="A496" s="3">
        <v>40844</v>
      </c>
      <c r="B496">
        <v>2709.02</v>
      </c>
    </row>
    <row r="497" spans="1:2" x14ac:dyDescent="0.25">
      <c r="A497" s="3">
        <v>40843</v>
      </c>
      <c r="B497">
        <v>2657.48</v>
      </c>
    </row>
    <row r="498" spans="1:2" x14ac:dyDescent="0.25">
      <c r="A498" s="3">
        <v>40842</v>
      </c>
      <c r="B498">
        <v>2651.65</v>
      </c>
    </row>
    <row r="499" spans="1:2" x14ac:dyDescent="0.25">
      <c r="A499" s="3">
        <v>40841</v>
      </c>
      <c r="B499">
        <v>2625.43</v>
      </c>
    </row>
    <row r="500" spans="1:2" x14ac:dyDescent="0.25">
      <c r="A500" s="3">
        <v>40840</v>
      </c>
      <c r="B500">
        <v>2576.67</v>
      </c>
    </row>
    <row r="501" spans="1:2" x14ac:dyDescent="0.25">
      <c r="A501" s="3">
        <v>40837</v>
      </c>
      <c r="B501">
        <v>2507.88</v>
      </c>
    </row>
    <row r="502" spans="1:2" x14ac:dyDescent="0.25">
      <c r="A502" s="3">
        <v>40836</v>
      </c>
      <c r="B502">
        <v>2520.5300000000002</v>
      </c>
    </row>
    <row r="503" spans="1:2" x14ac:dyDescent="0.25">
      <c r="A503" s="3">
        <v>40835</v>
      </c>
      <c r="B503">
        <v>2583.08</v>
      </c>
    </row>
    <row r="504" spans="1:2" x14ac:dyDescent="0.25">
      <c r="A504" s="3">
        <v>40834</v>
      </c>
      <c r="B504">
        <v>2592.21</v>
      </c>
    </row>
    <row r="505" spans="1:2" x14ac:dyDescent="0.25">
      <c r="A505" s="3">
        <v>40833</v>
      </c>
      <c r="B505">
        <v>2666.95</v>
      </c>
    </row>
    <row r="506" spans="1:2" x14ac:dyDescent="0.25">
      <c r="A506" s="3">
        <v>40830</v>
      </c>
      <c r="B506">
        <v>2653.78</v>
      </c>
    </row>
    <row r="507" spans="1:2" x14ac:dyDescent="0.25">
      <c r="A507" s="3">
        <v>40829</v>
      </c>
      <c r="B507">
        <v>2662.6</v>
      </c>
    </row>
    <row r="508" spans="1:2" x14ac:dyDescent="0.25">
      <c r="A508" s="3">
        <v>40828</v>
      </c>
      <c r="B508">
        <v>2644.76</v>
      </c>
    </row>
    <row r="509" spans="1:2" x14ac:dyDescent="0.25">
      <c r="A509" s="3">
        <v>40827</v>
      </c>
      <c r="B509">
        <v>2551.9899999999998</v>
      </c>
    </row>
    <row r="510" spans="1:2" x14ac:dyDescent="0.25">
      <c r="A510" s="3">
        <v>40826</v>
      </c>
      <c r="B510">
        <v>2557.08</v>
      </c>
    </row>
    <row r="511" spans="1:2" x14ac:dyDescent="0.25">
      <c r="A511" s="3">
        <v>40816</v>
      </c>
      <c r="B511">
        <v>2581.35</v>
      </c>
    </row>
    <row r="512" spans="1:2" x14ac:dyDescent="0.25">
      <c r="A512" s="3">
        <v>40815</v>
      </c>
      <c r="B512">
        <v>2588.19</v>
      </c>
    </row>
    <row r="513" spans="1:2" x14ac:dyDescent="0.25">
      <c r="A513" s="3">
        <v>40814</v>
      </c>
      <c r="B513">
        <v>2610.59</v>
      </c>
    </row>
    <row r="514" spans="1:2" x14ac:dyDescent="0.25">
      <c r="A514" s="3">
        <v>40813</v>
      </c>
      <c r="B514">
        <v>2637.88</v>
      </c>
    </row>
    <row r="515" spans="1:2" x14ac:dyDescent="0.25">
      <c r="A515" s="3">
        <v>40812</v>
      </c>
      <c r="B515">
        <v>2610.92</v>
      </c>
    </row>
    <row r="516" spans="1:2" x14ac:dyDescent="0.25">
      <c r="A516" s="3">
        <v>40809</v>
      </c>
      <c r="B516">
        <v>2669.48</v>
      </c>
    </row>
    <row r="517" spans="1:2" x14ac:dyDescent="0.25">
      <c r="A517" s="3">
        <v>40808</v>
      </c>
      <c r="B517">
        <v>2685.69</v>
      </c>
    </row>
    <row r="518" spans="1:2" x14ac:dyDescent="0.25">
      <c r="A518" s="3">
        <v>40807</v>
      </c>
      <c r="B518">
        <v>2771.01</v>
      </c>
    </row>
    <row r="519" spans="1:2" x14ac:dyDescent="0.25">
      <c r="A519" s="3">
        <v>40806</v>
      </c>
      <c r="B519">
        <v>2689.85</v>
      </c>
    </row>
    <row r="520" spans="1:2" x14ac:dyDescent="0.25">
      <c r="A520" s="3">
        <v>40805</v>
      </c>
      <c r="B520">
        <v>2679.27</v>
      </c>
    </row>
    <row r="521" spans="1:2" x14ac:dyDescent="0.25">
      <c r="A521" s="3">
        <v>40802</v>
      </c>
      <c r="B521">
        <v>2733.99</v>
      </c>
    </row>
    <row r="522" spans="1:2" x14ac:dyDescent="0.25">
      <c r="A522" s="3">
        <v>40801</v>
      </c>
      <c r="B522">
        <v>2729.05</v>
      </c>
    </row>
    <row r="523" spans="1:2" x14ac:dyDescent="0.25">
      <c r="A523" s="3">
        <v>40800</v>
      </c>
      <c r="B523">
        <v>2733.11</v>
      </c>
    </row>
    <row r="524" spans="1:2" x14ac:dyDescent="0.25">
      <c r="A524" s="3">
        <v>40799</v>
      </c>
      <c r="B524">
        <v>2720.28</v>
      </c>
    </row>
    <row r="525" spans="1:2" x14ac:dyDescent="0.25">
      <c r="A525" s="3">
        <v>40795</v>
      </c>
      <c r="B525">
        <v>2751.1</v>
      </c>
    </row>
    <row r="526" spans="1:2" x14ac:dyDescent="0.25">
      <c r="A526" s="3">
        <v>40794</v>
      </c>
      <c r="B526">
        <v>2756.11</v>
      </c>
    </row>
    <row r="527" spans="1:2" x14ac:dyDescent="0.25">
      <c r="A527" s="3">
        <v>40793</v>
      </c>
      <c r="B527">
        <v>2779.09</v>
      </c>
    </row>
    <row r="528" spans="1:2" x14ac:dyDescent="0.25">
      <c r="A528" s="3">
        <v>40792</v>
      </c>
      <c r="B528">
        <v>2723.3</v>
      </c>
    </row>
    <row r="529" spans="1:2" x14ac:dyDescent="0.25">
      <c r="A529" s="3">
        <v>40791</v>
      </c>
      <c r="B529">
        <v>2743.82</v>
      </c>
    </row>
    <row r="530" spans="1:2" x14ac:dyDescent="0.25">
      <c r="A530" s="3">
        <v>40788</v>
      </c>
      <c r="B530">
        <v>2803.85</v>
      </c>
    </row>
    <row r="531" spans="1:2" x14ac:dyDescent="0.25">
      <c r="A531" s="3">
        <v>40787</v>
      </c>
      <c r="B531">
        <v>2834.54</v>
      </c>
    </row>
    <row r="532" spans="1:2" x14ac:dyDescent="0.25">
      <c r="A532" s="3">
        <v>40786</v>
      </c>
      <c r="B532">
        <v>2846.78</v>
      </c>
    </row>
    <row r="533" spans="1:2" x14ac:dyDescent="0.25">
      <c r="A533" s="3">
        <v>40785</v>
      </c>
      <c r="B533">
        <v>2841.74</v>
      </c>
    </row>
    <row r="534" spans="1:2" x14ac:dyDescent="0.25">
      <c r="A534" s="3">
        <v>40784</v>
      </c>
      <c r="B534">
        <v>2852.81</v>
      </c>
    </row>
    <row r="535" spans="1:2" x14ac:dyDescent="0.25">
      <c r="A535" s="3">
        <v>40781</v>
      </c>
      <c r="B535">
        <v>2901.22</v>
      </c>
    </row>
    <row r="536" spans="1:2" x14ac:dyDescent="0.25">
      <c r="A536" s="3">
        <v>40780</v>
      </c>
      <c r="B536">
        <v>2903.84</v>
      </c>
    </row>
    <row r="537" spans="1:2" x14ac:dyDescent="0.25">
      <c r="A537" s="3">
        <v>40779</v>
      </c>
      <c r="B537">
        <v>2810.02</v>
      </c>
    </row>
    <row r="538" spans="1:2" x14ac:dyDescent="0.25">
      <c r="A538" s="3">
        <v>40778</v>
      </c>
      <c r="B538">
        <v>2821</v>
      </c>
    </row>
    <row r="539" spans="1:2" x14ac:dyDescent="0.25">
      <c r="A539" s="3">
        <v>40777</v>
      </c>
      <c r="B539">
        <v>2777.79</v>
      </c>
    </row>
    <row r="540" spans="1:2" x14ac:dyDescent="0.25">
      <c r="A540" s="3">
        <v>40774</v>
      </c>
      <c r="B540">
        <v>2807.66</v>
      </c>
    </row>
    <row r="541" spans="1:2" x14ac:dyDescent="0.25">
      <c r="A541" s="3">
        <v>40773</v>
      </c>
      <c r="B541">
        <v>2834.25</v>
      </c>
    </row>
    <row r="542" spans="1:2" x14ac:dyDescent="0.25">
      <c r="A542" s="3">
        <v>40772</v>
      </c>
      <c r="B542">
        <v>2886.01</v>
      </c>
    </row>
    <row r="543" spans="1:2" x14ac:dyDescent="0.25">
      <c r="A543" s="3">
        <v>40771</v>
      </c>
      <c r="B543">
        <v>2897.58</v>
      </c>
    </row>
    <row r="544" spans="1:2" x14ac:dyDescent="0.25">
      <c r="A544" s="3">
        <v>40770</v>
      </c>
      <c r="B544">
        <v>2917.88</v>
      </c>
    </row>
    <row r="545" spans="1:2" x14ac:dyDescent="0.25">
      <c r="A545" s="3">
        <v>40767</v>
      </c>
      <c r="B545">
        <v>2875.37</v>
      </c>
    </row>
    <row r="546" spans="1:2" x14ac:dyDescent="0.25">
      <c r="A546" s="3">
        <v>40766</v>
      </c>
      <c r="B546">
        <v>2866.92</v>
      </c>
    </row>
    <row r="547" spans="1:2" x14ac:dyDescent="0.25">
      <c r="A547" s="3">
        <v>40765</v>
      </c>
      <c r="B547">
        <v>2824.12</v>
      </c>
    </row>
    <row r="548" spans="1:2" x14ac:dyDescent="0.25">
      <c r="A548" s="3">
        <v>40764</v>
      </c>
      <c r="B548">
        <v>2798.19</v>
      </c>
    </row>
    <row r="549" spans="1:2" x14ac:dyDescent="0.25">
      <c r="A549" s="3">
        <v>40763</v>
      </c>
      <c r="B549">
        <v>2793.9</v>
      </c>
    </row>
    <row r="550" spans="1:2" x14ac:dyDescent="0.25">
      <c r="A550" s="3">
        <v>40760</v>
      </c>
      <c r="B550">
        <v>2897.42</v>
      </c>
    </row>
    <row r="551" spans="1:2" x14ac:dyDescent="0.25">
      <c r="A551" s="3">
        <v>40759</v>
      </c>
      <c r="B551">
        <v>2960.31</v>
      </c>
    </row>
    <row r="552" spans="1:2" x14ac:dyDescent="0.25">
      <c r="A552" s="3">
        <v>40758</v>
      </c>
      <c r="B552">
        <v>2954.87</v>
      </c>
    </row>
    <row r="553" spans="1:2" x14ac:dyDescent="0.25">
      <c r="A553" s="3">
        <v>40757</v>
      </c>
      <c r="B553">
        <v>2956.38</v>
      </c>
    </row>
    <row r="554" spans="1:2" x14ac:dyDescent="0.25">
      <c r="A554" s="3">
        <v>40756</v>
      </c>
      <c r="B554">
        <v>2977.72</v>
      </c>
    </row>
    <row r="555" spans="1:2" x14ac:dyDescent="0.25">
      <c r="A555" s="3">
        <v>40753</v>
      </c>
      <c r="B555">
        <v>2972.08</v>
      </c>
    </row>
    <row r="556" spans="1:2" x14ac:dyDescent="0.25">
      <c r="A556" s="3">
        <v>40752</v>
      </c>
      <c r="B556">
        <v>2981</v>
      </c>
    </row>
    <row r="557" spans="1:2" x14ac:dyDescent="0.25">
      <c r="A557" s="3">
        <v>40751</v>
      </c>
      <c r="B557">
        <v>3000.05</v>
      </c>
    </row>
    <row r="558" spans="1:2" x14ac:dyDescent="0.25">
      <c r="A558" s="3">
        <v>40750</v>
      </c>
      <c r="B558">
        <v>2977.77</v>
      </c>
    </row>
    <row r="559" spans="1:2" x14ac:dyDescent="0.25">
      <c r="A559" s="3">
        <v>40749</v>
      </c>
      <c r="B559">
        <v>2968.29</v>
      </c>
    </row>
    <row r="560" spans="1:2" x14ac:dyDescent="0.25">
      <c r="A560" s="3">
        <v>40746</v>
      </c>
      <c r="B560">
        <v>3067.99</v>
      </c>
    </row>
    <row r="561" spans="1:2" x14ac:dyDescent="0.25">
      <c r="A561" s="3">
        <v>40745</v>
      </c>
      <c r="B561">
        <v>3059.14</v>
      </c>
    </row>
    <row r="562" spans="1:2" x14ac:dyDescent="0.25">
      <c r="A562" s="3">
        <v>40744</v>
      </c>
      <c r="B562">
        <v>3091.57</v>
      </c>
    </row>
    <row r="563" spans="1:2" x14ac:dyDescent="0.25">
      <c r="A563" s="3">
        <v>40743</v>
      </c>
      <c r="B563">
        <v>3095.13</v>
      </c>
    </row>
    <row r="564" spans="1:2" x14ac:dyDescent="0.25">
      <c r="A564" s="3">
        <v>40742</v>
      </c>
      <c r="B564">
        <v>3122.6</v>
      </c>
    </row>
    <row r="565" spans="1:2" x14ac:dyDescent="0.25">
      <c r="A565" s="3">
        <v>40739</v>
      </c>
      <c r="B565">
        <v>3128.89</v>
      </c>
    </row>
    <row r="566" spans="1:2" x14ac:dyDescent="0.25">
      <c r="A566" s="3">
        <v>40738</v>
      </c>
      <c r="B566">
        <v>3115.75</v>
      </c>
    </row>
    <row r="567" spans="1:2" x14ac:dyDescent="0.25">
      <c r="A567" s="3">
        <v>40737</v>
      </c>
      <c r="B567">
        <v>3106.25</v>
      </c>
    </row>
    <row r="568" spans="1:2" x14ac:dyDescent="0.25">
      <c r="A568" s="3">
        <v>40736</v>
      </c>
      <c r="B568">
        <v>3056.91</v>
      </c>
    </row>
    <row r="569" spans="1:2" x14ac:dyDescent="0.25">
      <c r="A569" s="3">
        <v>40735</v>
      </c>
      <c r="B569">
        <v>3113.21</v>
      </c>
    </row>
    <row r="570" spans="1:2" x14ac:dyDescent="0.25">
      <c r="A570" s="3">
        <v>40732</v>
      </c>
      <c r="B570">
        <v>3109.18</v>
      </c>
    </row>
    <row r="571" spans="1:2" x14ac:dyDescent="0.25">
      <c r="A571" s="3">
        <v>40731</v>
      </c>
      <c r="B571">
        <v>3101.68</v>
      </c>
    </row>
    <row r="572" spans="1:2" x14ac:dyDescent="0.25">
      <c r="A572" s="3">
        <v>40730</v>
      </c>
      <c r="B572">
        <v>3113.71</v>
      </c>
    </row>
    <row r="573" spans="1:2" x14ac:dyDescent="0.25">
      <c r="A573" s="3">
        <v>40729</v>
      </c>
      <c r="B573">
        <v>3122.5</v>
      </c>
    </row>
    <row r="574" spans="1:2" x14ac:dyDescent="0.25">
      <c r="A574" s="3">
        <v>40728</v>
      </c>
      <c r="B574">
        <v>3121.98</v>
      </c>
    </row>
    <row r="575" spans="1:2" x14ac:dyDescent="0.25">
      <c r="A575" s="3">
        <v>40725</v>
      </c>
      <c r="B575">
        <v>3049.75</v>
      </c>
    </row>
    <row r="576" spans="1:2" x14ac:dyDescent="0.25">
      <c r="A576" s="3">
        <v>40724</v>
      </c>
      <c r="B576">
        <v>3044.09</v>
      </c>
    </row>
    <row r="577" spans="1:2" x14ac:dyDescent="0.25">
      <c r="A577" s="3">
        <v>40723</v>
      </c>
      <c r="B577">
        <v>3000.17</v>
      </c>
    </row>
    <row r="578" spans="1:2" x14ac:dyDescent="0.25">
      <c r="A578" s="3">
        <v>40722</v>
      </c>
      <c r="B578">
        <v>3041.73</v>
      </c>
    </row>
    <row r="579" spans="1:2" x14ac:dyDescent="0.25">
      <c r="A579" s="3">
        <v>40721</v>
      </c>
      <c r="B579">
        <v>3036.49</v>
      </c>
    </row>
    <row r="580" spans="1:2" x14ac:dyDescent="0.25">
      <c r="A580" s="3">
        <v>40718</v>
      </c>
      <c r="B580">
        <v>3027.47</v>
      </c>
    </row>
    <row r="581" spans="1:2" x14ac:dyDescent="0.25">
      <c r="A581" s="3">
        <v>40717</v>
      </c>
      <c r="B581">
        <v>2957.63</v>
      </c>
    </row>
    <row r="582" spans="1:2" x14ac:dyDescent="0.25">
      <c r="A582" s="3">
        <v>40716</v>
      </c>
      <c r="B582">
        <v>2908.58</v>
      </c>
    </row>
    <row r="583" spans="1:2" x14ac:dyDescent="0.25">
      <c r="A583" s="3">
        <v>40715</v>
      </c>
      <c r="B583">
        <v>2909.07</v>
      </c>
    </row>
    <row r="584" spans="1:2" x14ac:dyDescent="0.25">
      <c r="A584" s="3">
        <v>40714</v>
      </c>
      <c r="B584">
        <v>2874.9</v>
      </c>
    </row>
    <row r="585" spans="1:2" x14ac:dyDescent="0.25">
      <c r="A585" s="3">
        <v>40711</v>
      </c>
      <c r="B585">
        <v>2892.16</v>
      </c>
    </row>
    <row r="586" spans="1:2" x14ac:dyDescent="0.25">
      <c r="A586" s="3">
        <v>40710</v>
      </c>
      <c r="B586">
        <v>2917.58</v>
      </c>
    </row>
    <row r="587" spans="1:2" x14ac:dyDescent="0.25">
      <c r="A587" s="3">
        <v>40709</v>
      </c>
      <c r="B587">
        <v>2963.12</v>
      </c>
    </row>
    <row r="588" spans="1:2" x14ac:dyDescent="0.25">
      <c r="A588" s="3">
        <v>40708</v>
      </c>
      <c r="B588">
        <v>2993.56</v>
      </c>
    </row>
    <row r="589" spans="1:2" x14ac:dyDescent="0.25">
      <c r="A589" s="3">
        <v>40707</v>
      </c>
      <c r="B589">
        <v>2950.35</v>
      </c>
    </row>
    <row r="590" spans="1:2" x14ac:dyDescent="0.25">
      <c r="A590" s="3">
        <v>40704</v>
      </c>
      <c r="B590">
        <v>2961.93</v>
      </c>
    </row>
    <row r="591" spans="1:2" x14ac:dyDescent="0.25">
      <c r="A591" s="3">
        <v>40703</v>
      </c>
      <c r="B591">
        <v>2951.89</v>
      </c>
    </row>
    <row r="592" spans="1:2" x14ac:dyDescent="0.25">
      <c r="A592" s="3">
        <v>40702</v>
      </c>
      <c r="B592">
        <v>3008.65</v>
      </c>
    </row>
    <row r="593" spans="1:2" x14ac:dyDescent="0.25">
      <c r="A593" s="3">
        <v>40701</v>
      </c>
      <c r="B593">
        <v>3004.26</v>
      </c>
    </row>
    <row r="594" spans="1:2" x14ac:dyDescent="0.25">
      <c r="A594" s="3">
        <v>40697</v>
      </c>
      <c r="B594">
        <v>2986.35</v>
      </c>
    </row>
    <row r="595" spans="1:2" x14ac:dyDescent="0.25">
      <c r="A595" s="3">
        <v>40696</v>
      </c>
      <c r="B595">
        <v>2955.71</v>
      </c>
    </row>
    <row r="596" spans="1:2" x14ac:dyDescent="0.25">
      <c r="A596" s="3">
        <v>40695</v>
      </c>
      <c r="B596">
        <v>3004.17</v>
      </c>
    </row>
    <row r="597" spans="1:2" x14ac:dyDescent="0.25">
      <c r="A597" s="3">
        <v>40694</v>
      </c>
      <c r="B597">
        <v>3001.56</v>
      </c>
    </row>
    <row r="598" spans="1:2" x14ac:dyDescent="0.25">
      <c r="A598" s="3">
        <v>40693</v>
      </c>
      <c r="B598">
        <v>2954.51</v>
      </c>
    </row>
    <row r="599" spans="1:2" x14ac:dyDescent="0.25">
      <c r="A599" s="3">
        <v>40690</v>
      </c>
      <c r="B599">
        <v>2963.31</v>
      </c>
    </row>
    <row r="600" spans="1:2" x14ac:dyDescent="0.25">
      <c r="A600" s="3">
        <v>40689</v>
      </c>
      <c r="B600">
        <v>2978.38</v>
      </c>
    </row>
    <row r="601" spans="1:2" x14ac:dyDescent="0.25">
      <c r="A601" s="3">
        <v>40688</v>
      </c>
      <c r="B601">
        <v>2990.34</v>
      </c>
    </row>
    <row r="602" spans="1:2" x14ac:dyDescent="0.25">
      <c r="A602" s="3">
        <v>40687</v>
      </c>
      <c r="B602">
        <v>3026.22</v>
      </c>
    </row>
    <row r="603" spans="1:2" x14ac:dyDescent="0.25">
      <c r="A603" s="3">
        <v>40686</v>
      </c>
      <c r="B603">
        <v>3022.98</v>
      </c>
    </row>
    <row r="604" spans="1:2" x14ac:dyDescent="0.25">
      <c r="A604" s="3">
        <v>40683</v>
      </c>
      <c r="B604">
        <v>3121.6</v>
      </c>
    </row>
    <row r="605" spans="1:2" x14ac:dyDescent="0.25">
      <c r="A605" s="3">
        <v>40682</v>
      </c>
      <c r="B605">
        <v>3120.64</v>
      </c>
    </row>
    <row r="606" spans="1:2" x14ac:dyDescent="0.25">
      <c r="A606" s="3">
        <v>40681</v>
      </c>
      <c r="B606">
        <v>3139.38</v>
      </c>
    </row>
    <row r="607" spans="1:2" x14ac:dyDescent="0.25">
      <c r="A607" s="3">
        <v>40680</v>
      </c>
      <c r="B607">
        <v>3116.03</v>
      </c>
    </row>
    <row r="608" spans="1:2" x14ac:dyDescent="0.25">
      <c r="A608" s="3">
        <v>40679</v>
      </c>
      <c r="B608">
        <v>3100.46</v>
      </c>
    </row>
    <row r="609" spans="1:2" x14ac:dyDescent="0.25">
      <c r="A609" s="3">
        <v>40676</v>
      </c>
      <c r="B609">
        <v>3128.09</v>
      </c>
    </row>
    <row r="610" spans="1:2" x14ac:dyDescent="0.25">
      <c r="A610" s="3">
        <v>40675</v>
      </c>
      <c r="B610">
        <v>3101.6</v>
      </c>
    </row>
    <row r="611" spans="1:2" x14ac:dyDescent="0.25">
      <c r="A611" s="3">
        <v>40674</v>
      </c>
      <c r="B611">
        <v>3145.09</v>
      </c>
    </row>
    <row r="612" spans="1:2" x14ac:dyDescent="0.25">
      <c r="A612" s="3">
        <v>40673</v>
      </c>
      <c r="B612">
        <v>3153.22</v>
      </c>
    </row>
    <row r="613" spans="1:2" x14ac:dyDescent="0.25">
      <c r="A613" s="3">
        <v>40672</v>
      </c>
      <c r="B613">
        <v>3129.76</v>
      </c>
    </row>
    <row r="614" spans="1:2" x14ac:dyDescent="0.25">
      <c r="A614" s="3">
        <v>40669</v>
      </c>
      <c r="B614">
        <v>3121.4</v>
      </c>
    </row>
    <row r="615" spans="1:2" x14ac:dyDescent="0.25">
      <c r="A615" s="3">
        <v>40668</v>
      </c>
      <c r="B615">
        <v>3126.12</v>
      </c>
    </row>
    <row r="616" spans="1:2" x14ac:dyDescent="0.25">
      <c r="A616" s="3">
        <v>40667</v>
      </c>
      <c r="B616">
        <v>3129.03</v>
      </c>
    </row>
    <row r="617" spans="1:2" x14ac:dyDescent="0.25">
      <c r="A617" s="3">
        <v>40666</v>
      </c>
      <c r="B617">
        <v>3211.13</v>
      </c>
    </row>
    <row r="618" spans="1:2" x14ac:dyDescent="0.25">
      <c r="A618" s="3">
        <v>40662</v>
      </c>
      <c r="B618">
        <v>3192.72</v>
      </c>
    </row>
    <row r="619" spans="1:2" x14ac:dyDescent="0.25">
      <c r="A619" s="3">
        <v>40661</v>
      </c>
      <c r="B619">
        <v>3161.78</v>
      </c>
    </row>
    <row r="620" spans="1:2" x14ac:dyDescent="0.25">
      <c r="A620" s="3">
        <v>40660</v>
      </c>
      <c r="B620">
        <v>3209.5</v>
      </c>
    </row>
    <row r="621" spans="1:2" x14ac:dyDescent="0.25">
      <c r="A621" s="3">
        <v>40659</v>
      </c>
      <c r="B621">
        <v>3230.96</v>
      </c>
    </row>
    <row r="622" spans="1:2" x14ac:dyDescent="0.25">
      <c r="A622" s="3">
        <v>40658</v>
      </c>
      <c r="B622">
        <v>3249.57</v>
      </c>
    </row>
    <row r="623" spans="1:2" x14ac:dyDescent="0.25">
      <c r="A623" s="3">
        <v>40655</v>
      </c>
      <c r="B623">
        <v>3299.94</v>
      </c>
    </row>
    <row r="624" spans="1:2" x14ac:dyDescent="0.25">
      <c r="A624" s="3">
        <v>40654</v>
      </c>
      <c r="B624">
        <v>3317.37</v>
      </c>
    </row>
    <row r="625" spans="1:2" x14ac:dyDescent="0.25">
      <c r="A625" s="3">
        <v>40653</v>
      </c>
      <c r="B625">
        <v>3295.76</v>
      </c>
    </row>
    <row r="626" spans="1:2" x14ac:dyDescent="0.25">
      <c r="A626" s="3">
        <v>40652</v>
      </c>
      <c r="B626">
        <v>3295.81</v>
      </c>
    </row>
    <row r="627" spans="1:2" x14ac:dyDescent="0.25">
      <c r="A627" s="3">
        <v>40651</v>
      </c>
      <c r="B627">
        <v>3359.44</v>
      </c>
    </row>
    <row r="628" spans="1:2" x14ac:dyDescent="0.25">
      <c r="A628" s="3">
        <v>40648</v>
      </c>
      <c r="B628">
        <v>3358.94</v>
      </c>
    </row>
    <row r="629" spans="1:2" x14ac:dyDescent="0.25">
      <c r="A629" s="3">
        <v>40647</v>
      </c>
      <c r="B629">
        <v>3353.56</v>
      </c>
    </row>
    <row r="630" spans="1:2" x14ac:dyDescent="0.25">
      <c r="A630" s="3">
        <v>40646</v>
      </c>
      <c r="B630">
        <v>3372.03</v>
      </c>
    </row>
    <row r="631" spans="1:2" x14ac:dyDescent="0.25">
      <c r="A631" s="3">
        <v>40645</v>
      </c>
      <c r="B631">
        <v>3326.77</v>
      </c>
    </row>
    <row r="632" spans="1:2" x14ac:dyDescent="0.25">
      <c r="A632" s="3">
        <v>40644</v>
      </c>
      <c r="B632">
        <v>3333.43</v>
      </c>
    </row>
    <row r="633" spans="1:2" x14ac:dyDescent="0.25">
      <c r="A633" s="3">
        <v>40641</v>
      </c>
      <c r="B633">
        <v>3353.36</v>
      </c>
    </row>
    <row r="634" spans="1:2" x14ac:dyDescent="0.25">
      <c r="A634" s="3">
        <v>40640</v>
      </c>
      <c r="B634">
        <v>3324.42</v>
      </c>
    </row>
    <row r="635" spans="1:2" x14ac:dyDescent="0.25">
      <c r="A635" s="3">
        <v>40639</v>
      </c>
      <c r="B635">
        <v>3311.07</v>
      </c>
    </row>
    <row r="636" spans="1:2" x14ac:dyDescent="0.25">
      <c r="A636" s="3">
        <v>40634</v>
      </c>
      <c r="B636">
        <v>3272.73</v>
      </c>
    </row>
    <row r="637" spans="1:2" x14ac:dyDescent="0.25">
      <c r="A637" s="3">
        <v>40633</v>
      </c>
      <c r="B637">
        <v>3223.29</v>
      </c>
    </row>
    <row r="638" spans="1:2" x14ac:dyDescent="0.25">
      <c r="A638" s="3">
        <v>40632</v>
      </c>
      <c r="B638">
        <v>3256.08</v>
      </c>
    </row>
    <row r="639" spans="1:2" x14ac:dyDescent="0.25">
      <c r="A639" s="3">
        <v>40631</v>
      </c>
      <c r="B639">
        <v>3257.98</v>
      </c>
    </row>
    <row r="640" spans="1:2" x14ac:dyDescent="0.25">
      <c r="A640" s="3">
        <v>40630</v>
      </c>
      <c r="B640">
        <v>3290.57</v>
      </c>
    </row>
    <row r="641" spans="1:2" x14ac:dyDescent="0.25">
      <c r="A641" s="3">
        <v>40627</v>
      </c>
      <c r="B641">
        <v>3294.48</v>
      </c>
    </row>
    <row r="642" spans="1:2" x14ac:dyDescent="0.25">
      <c r="A642" s="3">
        <v>40626</v>
      </c>
      <c r="B642">
        <v>3251.36</v>
      </c>
    </row>
    <row r="643" spans="1:2" x14ac:dyDescent="0.25">
      <c r="A643" s="3">
        <v>40625</v>
      </c>
      <c r="B643">
        <v>3264.93</v>
      </c>
    </row>
    <row r="644" spans="1:2" x14ac:dyDescent="0.25">
      <c r="A644" s="3">
        <v>40624</v>
      </c>
      <c r="B644">
        <v>3222.96</v>
      </c>
    </row>
    <row r="645" spans="1:2" x14ac:dyDescent="0.25">
      <c r="A645" s="3">
        <v>40623</v>
      </c>
      <c r="B645">
        <v>3207.11</v>
      </c>
    </row>
    <row r="646" spans="1:2" x14ac:dyDescent="0.25">
      <c r="A646" s="3">
        <v>40620</v>
      </c>
      <c r="B646">
        <v>3215.69</v>
      </c>
    </row>
    <row r="647" spans="1:2" x14ac:dyDescent="0.25">
      <c r="A647" s="3">
        <v>40619</v>
      </c>
      <c r="B647">
        <v>3197.1</v>
      </c>
    </row>
    <row r="648" spans="1:2" x14ac:dyDescent="0.25">
      <c r="A648" s="3">
        <v>40618</v>
      </c>
      <c r="B648">
        <v>3248.2</v>
      </c>
    </row>
    <row r="649" spans="1:2" x14ac:dyDescent="0.25">
      <c r="A649" s="3">
        <v>40617</v>
      </c>
      <c r="B649">
        <v>3203.96</v>
      </c>
    </row>
    <row r="650" spans="1:2" x14ac:dyDescent="0.25">
      <c r="A650" s="3">
        <v>40616</v>
      </c>
      <c r="B650">
        <v>3262.92</v>
      </c>
    </row>
    <row r="651" spans="1:2" x14ac:dyDescent="0.25">
      <c r="A651" s="3">
        <v>40613</v>
      </c>
      <c r="B651">
        <v>3247.38</v>
      </c>
    </row>
    <row r="652" spans="1:2" x14ac:dyDescent="0.25">
      <c r="A652" s="3">
        <v>40612</v>
      </c>
      <c r="B652">
        <v>3280.26</v>
      </c>
    </row>
    <row r="653" spans="1:2" x14ac:dyDescent="0.25">
      <c r="A653" s="3">
        <v>40611</v>
      </c>
      <c r="B653">
        <v>3338.86</v>
      </c>
    </row>
    <row r="654" spans="1:2" x14ac:dyDescent="0.25">
      <c r="A654" s="3">
        <v>40610</v>
      </c>
      <c r="B654">
        <v>3337.46</v>
      </c>
    </row>
    <row r="655" spans="1:2" x14ac:dyDescent="0.25">
      <c r="A655" s="3">
        <v>40609</v>
      </c>
      <c r="B655">
        <v>3334.51</v>
      </c>
    </row>
    <row r="656" spans="1:2" x14ac:dyDescent="0.25">
      <c r="A656" s="3">
        <v>40606</v>
      </c>
      <c r="B656">
        <v>3270.67</v>
      </c>
    </row>
    <row r="657" spans="1:2" x14ac:dyDescent="0.25">
      <c r="A657" s="3">
        <v>40605</v>
      </c>
      <c r="B657">
        <v>3221.72</v>
      </c>
    </row>
    <row r="658" spans="1:2" x14ac:dyDescent="0.25">
      <c r="A658" s="3">
        <v>40604</v>
      </c>
      <c r="B658">
        <v>3243.3</v>
      </c>
    </row>
    <row r="659" spans="1:2" x14ac:dyDescent="0.25">
      <c r="A659" s="3">
        <v>40603</v>
      </c>
      <c r="B659">
        <v>3254.89</v>
      </c>
    </row>
    <row r="660" spans="1:2" x14ac:dyDescent="0.25">
      <c r="A660" s="3">
        <v>40602</v>
      </c>
      <c r="B660">
        <v>3239.56</v>
      </c>
    </row>
    <row r="661" spans="1:2" x14ac:dyDescent="0.25">
      <c r="A661" s="3">
        <v>40599</v>
      </c>
      <c r="B661">
        <v>3197.62</v>
      </c>
    </row>
    <row r="662" spans="1:2" x14ac:dyDescent="0.25">
      <c r="A662" s="3">
        <v>40598</v>
      </c>
      <c r="B662">
        <v>3190.94</v>
      </c>
    </row>
    <row r="663" spans="1:2" x14ac:dyDescent="0.25">
      <c r="A663" s="3">
        <v>40597</v>
      </c>
      <c r="B663">
        <v>3174.74</v>
      </c>
    </row>
    <row r="664" spans="1:2" x14ac:dyDescent="0.25">
      <c r="A664" s="3">
        <v>40596</v>
      </c>
      <c r="B664">
        <v>3163.58</v>
      </c>
    </row>
    <row r="665" spans="1:2" x14ac:dyDescent="0.25">
      <c r="A665" s="3">
        <v>40595</v>
      </c>
      <c r="B665">
        <v>3257.91</v>
      </c>
    </row>
    <row r="666" spans="1:2" x14ac:dyDescent="0.25">
      <c r="A666" s="3">
        <v>40592</v>
      </c>
      <c r="B666">
        <v>3211.88</v>
      </c>
    </row>
    <row r="667" spans="1:2" x14ac:dyDescent="0.25">
      <c r="A667" s="3">
        <v>40591</v>
      </c>
      <c r="B667">
        <v>3245.91</v>
      </c>
    </row>
    <row r="668" spans="1:2" x14ac:dyDescent="0.25">
      <c r="A668" s="3">
        <v>40590</v>
      </c>
      <c r="B668">
        <v>3248.53</v>
      </c>
    </row>
    <row r="669" spans="1:2" x14ac:dyDescent="0.25">
      <c r="A669" s="3">
        <v>40589</v>
      </c>
      <c r="B669">
        <v>3217.67</v>
      </c>
    </row>
    <row r="670" spans="1:2" x14ac:dyDescent="0.25">
      <c r="A670" s="3">
        <v>40588</v>
      </c>
      <c r="B670">
        <v>3219.14</v>
      </c>
    </row>
    <row r="671" spans="1:2" x14ac:dyDescent="0.25">
      <c r="A671" s="3">
        <v>40585</v>
      </c>
      <c r="B671">
        <v>3120.96</v>
      </c>
    </row>
    <row r="672" spans="1:2" x14ac:dyDescent="0.25">
      <c r="A672" s="3">
        <v>40584</v>
      </c>
      <c r="B672">
        <v>3104.16</v>
      </c>
    </row>
    <row r="673" spans="1:2" x14ac:dyDescent="0.25">
      <c r="A673" s="3">
        <v>40583</v>
      </c>
      <c r="B673">
        <v>3040.95</v>
      </c>
    </row>
    <row r="674" spans="1:2" x14ac:dyDescent="0.25">
      <c r="A674" s="3">
        <v>40575</v>
      </c>
      <c r="B674">
        <v>3077.28</v>
      </c>
    </row>
    <row r="675" spans="1:2" x14ac:dyDescent="0.25">
      <c r="A675" s="3">
        <v>40574</v>
      </c>
      <c r="B675">
        <v>3076.51</v>
      </c>
    </row>
    <row r="676" spans="1:2" x14ac:dyDescent="0.25">
      <c r="A676" s="3">
        <v>40571</v>
      </c>
      <c r="B676">
        <v>3036.74</v>
      </c>
    </row>
    <row r="677" spans="1:2" x14ac:dyDescent="0.25">
      <c r="A677" s="3">
        <v>40570</v>
      </c>
      <c r="B677">
        <v>3026.47</v>
      </c>
    </row>
    <row r="678" spans="1:2" x14ac:dyDescent="0.25">
      <c r="A678" s="3">
        <v>40569</v>
      </c>
      <c r="B678">
        <v>2978.43</v>
      </c>
    </row>
    <row r="679" spans="1:2" x14ac:dyDescent="0.25">
      <c r="A679" s="3">
        <v>40568</v>
      </c>
      <c r="B679">
        <v>2938.65</v>
      </c>
    </row>
    <row r="680" spans="1:2" x14ac:dyDescent="0.25">
      <c r="A680" s="3">
        <v>40567</v>
      </c>
      <c r="B680">
        <v>2954.23</v>
      </c>
    </row>
    <row r="681" spans="1:2" x14ac:dyDescent="0.25">
      <c r="A681" s="3">
        <v>40564</v>
      </c>
      <c r="B681">
        <v>2983.46</v>
      </c>
    </row>
    <row r="682" spans="1:2" x14ac:dyDescent="0.25">
      <c r="A682" s="3">
        <v>40563</v>
      </c>
      <c r="B682">
        <v>2944.71</v>
      </c>
    </row>
    <row r="683" spans="1:2" x14ac:dyDescent="0.25">
      <c r="A683" s="3">
        <v>40562</v>
      </c>
      <c r="B683">
        <v>3044.85</v>
      </c>
    </row>
    <row r="684" spans="1:2" x14ac:dyDescent="0.25">
      <c r="A684" s="3">
        <v>40561</v>
      </c>
      <c r="B684">
        <v>2977.65</v>
      </c>
    </row>
    <row r="685" spans="1:2" x14ac:dyDescent="0.25">
      <c r="A685" s="3">
        <v>40560</v>
      </c>
      <c r="B685">
        <v>2974.35</v>
      </c>
    </row>
    <row r="686" spans="1:2" x14ac:dyDescent="0.25">
      <c r="A686" s="3">
        <v>40557</v>
      </c>
      <c r="B686">
        <v>3091.86</v>
      </c>
    </row>
    <row r="687" spans="1:2" x14ac:dyDescent="0.25">
      <c r="A687" s="3">
        <v>40556</v>
      </c>
      <c r="B687">
        <v>3141.28</v>
      </c>
    </row>
    <row r="688" spans="1:2" x14ac:dyDescent="0.25">
      <c r="A688" s="3">
        <v>40555</v>
      </c>
      <c r="B688">
        <v>3142.34</v>
      </c>
    </row>
    <row r="689" spans="1:2" x14ac:dyDescent="0.25">
      <c r="A689" s="3">
        <v>40554</v>
      </c>
      <c r="B689">
        <v>3124.92</v>
      </c>
    </row>
    <row r="690" spans="1:2" x14ac:dyDescent="0.25">
      <c r="A690" s="3">
        <v>40553</v>
      </c>
      <c r="B690">
        <v>3108.19</v>
      </c>
    </row>
    <row r="691" spans="1:2" x14ac:dyDescent="0.25">
      <c r="A691" s="3">
        <v>40550</v>
      </c>
      <c r="B691">
        <v>3166.62</v>
      </c>
    </row>
    <row r="692" spans="1:2" x14ac:dyDescent="0.25">
      <c r="A692" s="3">
        <v>40549</v>
      </c>
      <c r="B692">
        <v>3159.64</v>
      </c>
    </row>
    <row r="693" spans="1:2" x14ac:dyDescent="0.25">
      <c r="A693" s="3">
        <v>40548</v>
      </c>
      <c r="B693">
        <v>3175.66</v>
      </c>
    </row>
    <row r="694" spans="1:2" x14ac:dyDescent="0.25">
      <c r="A694" s="3">
        <v>40547</v>
      </c>
      <c r="B694">
        <v>3189.68</v>
      </c>
    </row>
    <row r="695" spans="1:2" x14ac:dyDescent="0.25">
      <c r="A695" s="3">
        <v>40543</v>
      </c>
      <c r="B695">
        <v>3128.26</v>
      </c>
    </row>
    <row r="696" spans="1:2" x14ac:dyDescent="0.25">
      <c r="A696" s="3">
        <v>40542</v>
      </c>
      <c r="B696">
        <v>3064.1</v>
      </c>
    </row>
    <row r="697" spans="1:2" x14ac:dyDescent="0.25">
      <c r="A697" s="3">
        <v>40541</v>
      </c>
      <c r="B697">
        <v>3061.83</v>
      </c>
    </row>
    <row r="698" spans="1:2" x14ac:dyDescent="0.25">
      <c r="A698" s="3">
        <v>40540</v>
      </c>
      <c r="B698">
        <v>3044.93</v>
      </c>
    </row>
    <row r="699" spans="1:2" x14ac:dyDescent="0.25">
      <c r="A699" s="3">
        <v>40539</v>
      </c>
      <c r="B699">
        <v>3099.71</v>
      </c>
    </row>
    <row r="700" spans="1:2" x14ac:dyDescent="0.25">
      <c r="A700" s="3">
        <v>40536</v>
      </c>
      <c r="B700">
        <v>3162.96</v>
      </c>
    </row>
    <row r="701" spans="1:2" x14ac:dyDescent="0.25">
      <c r="A701" s="3">
        <v>40535</v>
      </c>
      <c r="B701">
        <v>3188.61</v>
      </c>
    </row>
    <row r="702" spans="1:2" x14ac:dyDescent="0.25">
      <c r="A702" s="3">
        <v>40534</v>
      </c>
      <c r="B702">
        <v>3215.45</v>
      </c>
    </row>
    <row r="703" spans="1:2" x14ac:dyDescent="0.25">
      <c r="A703" s="3">
        <v>40533</v>
      </c>
      <c r="B703">
        <v>3249.51</v>
      </c>
    </row>
    <row r="704" spans="1:2" x14ac:dyDescent="0.25">
      <c r="A704" s="3">
        <v>40532</v>
      </c>
      <c r="B704">
        <v>3178.66</v>
      </c>
    </row>
    <row r="705" spans="1:2" x14ac:dyDescent="0.25">
      <c r="A705" s="3">
        <v>40529</v>
      </c>
      <c r="B705">
        <v>3225.66</v>
      </c>
    </row>
    <row r="706" spans="1:2" x14ac:dyDescent="0.25">
      <c r="A706" s="3">
        <v>40528</v>
      </c>
      <c r="B706">
        <v>3230.67</v>
      </c>
    </row>
    <row r="707" spans="1:2" x14ac:dyDescent="0.25">
      <c r="A707" s="3">
        <v>40527</v>
      </c>
      <c r="B707">
        <v>3247.64</v>
      </c>
    </row>
    <row r="708" spans="1:2" x14ac:dyDescent="0.25">
      <c r="A708" s="3">
        <v>40526</v>
      </c>
      <c r="B708">
        <v>3269.47</v>
      </c>
    </row>
    <row r="709" spans="1:2" x14ac:dyDescent="0.25">
      <c r="A709" s="3">
        <v>40525</v>
      </c>
      <c r="B709">
        <v>3261.06</v>
      </c>
    </row>
    <row r="710" spans="1:2" x14ac:dyDescent="0.25">
      <c r="A710" s="3">
        <v>40522</v>
      </c>
      <c r="B710">
        <v>3161.98</v>
      </c>
    </row>
    <row r="711" spans="1:2" x14ac:dyDescent="0.25">
      <c r="A711" s="3">
        <v>40521</v>
      </c>
      <c r="B711">
        <v>3123.37</v>
      </c>
    </row>
    <row r="712" spans="1:2" x14ac:dyDescent="0.25">
      <c r="A712" s="3">
        <v>40520</v>
      </c>
      <c r="B712">
        <v>3171.88</v>
      </c>
    </row>
    <row r="713" spans="1:2" x14ac:dyDescent="0.25">
      <c r="A713" s="3">
        <v>40519</v>
      </c>
      <c r="B713">
        <v>3200.34</v>
      </c>
    </row>
    <row r="714" spans="1:2" x14ac:dyDescent="0.25">
      <c r="A714" s="3">
        <v>40518</v>
      </c>
      <c r="B714">
        <v>3165.57</v>
      </c>
    </row>
    <row r="715" spans="1:2" x14ac:dyDescent="0.25">
      <c r="A715" s="3">
        <v>40515</v>
      </c>
      <c r="B715">
        <v>3158.15</v>
      </c>
    </row>
    <row r="716" spans="1:2" x14ac:dyDescent="0.25">
      <c r="A716" s="3">
        <v>40514</v>
      </c>
      <c r="B716">
        <v>3155.06</v>
      </c>
    </row>
    <row r="717" spans="1:2" x14ac:dyDescent="0.25">
      <c r="A717" s="3">
        <v>40513</v>
      </c>
      <c r="B717">
        <v>3136.02</v>
      </c>
    </row>
    <row r="718" spans="1:2" x14ac:dyDescent="0.25">
      <c r="A718" s="3">
        <v>40512</v>
      </c>
      <c r="B718">
        <v>3136.99</v>
      </c>
    </row>
    <row r="719" spans="1:2" x14ac:dyDescent="0.25">
      <c r="A719" s="3">
        <v>40511</v>
      </c>
      <c r="B719">
        <v>3190.05</v>
      </c>
    </row>
    <row r="720" spans="1:2" x14ac:dyDescent="0.25">
      <c r="A720" s="3">
        <v>40508</v>
      </c>
      <c r="B720">
        <v>3194.85</v>
      </c>
    </row>
    <row r="721" spans="1:2" x14ac:dyDescent="0.25">
      <c r="A721" s="3">
        <v>40507</v>
      </c>
      <c r="B721">
        <v>3223.48</v>
      </c>
    </row>
    <row r="722" spans="1:2" x14ac:dyDescent="0.25">
      <c r="A722" s="3">
        <v>40506</v>
      </c>
      <c r="B722">
        <v>3177.04</v>
      </c>
    </row>
    <row r="723" spans="1:2" x14ac:dyDescent="0.25">
      <c r="A723" s="3">
        <v>40505</v>
      </c>
      <c r="B723">
        <v>3107.18</v>
      </c>
    </row>
    <row r="724" spans="1:2" x14ac:dyDescent="0.25">
      <c r="A724" s="3">
        <v>40504</v>
      </c>
      <c r="B724">
        <v>3171.94</v>
      </c>
    </row>
    <row r="725" spans="1:2" x14ac:dyDescent="0.25">
      <c r="A725" s="3">
        <v>40501</v>
      </c>
      <c r="B725">
        <v>3178.85</v>
      </c>
    </row>
    <row r="726" spans="1:2" x14ac:dyDescent="0.25">
      <c r="A726" s="3">
        <v>40500</v>
      </c>
      <c r="B726">
        <v>3147.96</v>
      </c>
    </row>
    <row r="727" spans="1:2" x14ac:dyDescent="0.25">
      <c r="A727" s="3">
        <v>40499</v>
      </c>
      <c r="B727">
        <v>3103.91</v>
      </c>
    </row>
    <row r="728" spans="1:2" x14ac:dyDescent="0.25">
      <c r="A728" s="3">
        <v>40498</v>
      </c>
      <c r="B728">
        <v>3169.54</v>
      </c>
    </row>
    <row r="729" spans="1:2" x14ac:dyDescent="0.25">
      <c r="A729" s="3">
        <v>40497</v>
      </c>
      <c r="B729">
        <v>3314.89</v>
      </c>
    </row>
    <row r="730" spans="1:2" x14ac:dyDescent="0.25">
      <c r="A730" s="3">
        <v>40494</v>
      </c>
      <c r="B730">
        <v>3291.83</v>
      </c>
    </row>
    <row r="731" spans="1:2" x14ac:dyDescent="0.25">
      <c r="A731" s="3">
        <v>40493</v>
      </c>
      <c r="B731">
        <v>3509.98</v>
      </c>
    </row>
    <row r="732" spans="1:2" x14ac:dyDescent="0.25">
      <c r="A732" s="3">
        <v>40492</v>
      </c>
      <c r="B732">
        <v>3499.11</v>
      </c>
    </row>
    <row r="733" spans="1:2" x14ac:dyDescent="0.25">
      <c r="A733" s="3">
        <v>40491</v>
      </c>
      <c r="B733">
        <v>3523.95</v>
      </c>
    </row>
    <row r="734" spans="1:2" x14ac:dyDescent="0.25">
      <c r="A734" s="3">
        <v>40490</v>
      </c>
      <c r="B734">
        <v>3548.57</v>
      </c>
    </row>
    <row r="735" spans="1:2" x14ac:dyDescent="0.25">
      <c r="A735" s="3">
        <v>40487</v>
      </c>
      <c r="B735">
        <v>3520.8</v>
      </c>
    </row>
    <row r="736" spans="1:2" x14ac:dyDescent="0.25">
      <c r="A736" s="3">
        <v>40486</v>
      </c>
      <c r="B736">
        <v>3480.51</v>
      </c>
    </row>
    <row r="737" spans="1:2" x14ac:dyDescent="0.25">
      <c r="A737" s="3">
        <v>40485</v>
      </c>
      <c r="B737">
        <v>3420.34</v>
      </c>
    </row>
    <row r="738" spans="1:2" x14ac:dyDescent="0.25">
      <c r="A738" s="3">
        <v>40484</v>
      </c>
      <c r="B738">
        <v>3463.13</v>
      </c>
    </row>
    <row r="739" spans="1:2" x14ac:dyDescent="0.25">
      <c r="A739" s="3">
        <v>40483</v>
      </c>
      <c r="B739">
        <v>3473</v>
      </c>
    </row>
    <row r="740" spans="1:2" x14ac:dyDescent="0.25">
      <c r="A740" s="3">
        <v>40480</v>
      </c>
      <c r="B740">
        <v>3379.98</v>
      </c>
    </row>
    <row r="741" spans="1:2" x14ac:dyDescent="0.25">
      <c r="A741" s="3">
        <v>40479</v>
      </c>
      <c r="B741">
        <v>3397.69</v>
      </c>
    </row>
    <row r="742" spans="1:2" x14ac:dyDescent="0.25">
      <c r="A742" s="3">
        <v>40478</v>
      </c>
      <c r="B742">
        <v>3403.87</v>
      </c>
    </row>
    <row r="743" spans="1:2" x14ac:dyDescent="0.25">
      <c r="A743" s="3">
        <v>40477</v>
      </c>
      <c r="B743">
        <v>3466.08</v>
      </c>
    </row>
    <row r="744" spans="1:2" x14ac:dyDescent="0.25">
      <c r="A744" s="3">
        <v>40476</v>
      </c>
      <c r="B744">
        <v>3481.08</v>
      </c>
    </row>
    <row r="745" spans="1:2" x14ac:dyDescent="0.25">
      <c r="A745" s="3">
        <v>40473</v>
      </c>
      <c r="B745">
        <v>3378.66</v>
      </c>
    </row>
    <row r="746" spans="1:2" x14ac:dyDescent="0.25">
      <c r="A746" s="3">
        <v>40472</v>
      </c>
      <c r="B746">
        <v>3374.69</v>
      </c>
    </row>
    <row r="747" spans="1:2" x14ac:dyDescent="0.25">
      <c r="A747" s="3">
        <v>40471</v>
      </c>
      <c r="B747">
        <v>3396.88</v>
      </c>
    </row>
    <row r="748" spans="1:2" x14ac:dyDescent="0.25">
      <c r="A748" s="3">
        <v>40470</v>
      </c>
      <c r="B748">
        <v>3375.67</v>
      </c>
    </row>
    <row r="749" spans="1:2" x14ac:dyDescent="0.25">
      <c r="A749" s="3">
        <v>40469</v>
      </c>
      <c r="B749">
        <v>3306.16</v>
      </c>
    </row>
    <row r="750" spans="1:2" x14ac:dyDescent="0.25">
      <c r="A750" s="3">
        <v>40466</v>
      </c>
      <c r="B750">
        <v>3327.68</v>
      </c>
    </row>
    <row r="751" spans="1:2" x14ac:dyDescent="0.25">
      <c r="A751" s="3">
        <v>40465</v>
      </c>
      <c r="B751">
        <v>3224.14</v>
      </c>
    </row>
    <row r="752" spans="1:2" x14ac:dyDescent="0.25">
      <c r="A752" s="3">
        <v>40464</v>
      </c>
      <c r="B752">
        <v>3217.58</v>
      </c>
    </row>
    <row r="753" spans="1:2" x14ac:dyDescent="0.25">
      <c r="A753" s="3">
        <v>40463</v>
      </c>
      <c r="B753">
        <v>3172.73</v>
      </c>
    </row>
    <row r="754" spans="1:2" x14ac:dyDescent="0.25">
      <c r="A754" s="3">
        <v>40462</v>
      </c>
      <c r="B754">
        <v>3132.9</v>
      </c>
    </row>
    <row r="755" spans="1:2" x14ac:dyDescent="0.25">
      <c r="A755" s="3">
        <v>40459</v>
      </c>
      <c r="B755">
        <v>3044.23</v>
      </c>
    </row>
    <row r="756" spans="1:2" x14ac:dyDescent="0.25">
      <c r="A756" s="3">
        <v>40451</v>
      </c>
      <c r="B756">
        <v>2935.57</v>
      </c>
    </row>
    <row r="757" spans="1:2" x14ac:dyDescent="0.25">
      <c r="A757" s="3">
        <v>40450</v>
      </c>
      <c r="B757">
        <v>2874.81</v>
      </c>
    </row>
    <row r="758" spans="1:2" x14ac:dyDescent="0.25">
      <c r="A758" s="3">
        <v>40449</v>
      </c>
      <c r="B758">
        <v>2880.91</v>
      </c>
    </row>
    <row r="759" spans="1:2" x14ac:dyDescent="0.25">
      <c r="A759" s="3">
        <v>40448</v>
      </c>
      <c r="B759">
        <v>2905.03</v>
      </c>
    </row>
    <row r="760" spans="1:2" x14ac:dyDescent="0.25">
      <c r="A760" s="3">
        <v>40442</v>
      </c>
      <c r="B760">
        <v>2857.48</v>
      </c>
    </row>
    <row r="761" spans="1:2" x14ac:dyDescent="0.25">
      <c r="A761" s="3">
        <v>40441</v>
      </c>
      <c r="B761">
        <v>2849.83</v>
      </c>
    </row>
    <row r="762" spans="1:2" x14ac:dyDescent="0.25">
      <c r="A762" s="3">
        <v>40438</v>
      </c>
      <c r="B762">
        <v>2861.37</v>
      </c>
    </row>
    <row r="763" spans="1:2" x14ac:dyDescent="0.25">
      <c r="A763" s="3">
        <v>40437</v>
      </c>
      <c r="B763">
        <v>2857.79</v>
      </c>
    </row>
    <row r="764" spans="1:2" x14ac:dyDescent="0.25">
      <c r="A764" s="3">
        <v>40436</v>
      </c>
      <c r="B764">
        <v>2913.19</v>
      </c>
    </row>
    <row r="765" spans="1:2" x14ac:dyDescent="0.25">
      <c r="A765" s="3">
        <v>40435</v>
      </c>
      <c r="B765">
        <v>2965.01</v>
      </c>
    </row>
    <row r="766" spans="1:2" x14ac:dyDescent="0.25">
      <c r="A766" s="3">
        <v>40434</v>
      </c>
      <c r="B766">
        <v>2962.32</v>
      </c>
    </row>
    <row r="767" spans="1:2" x14ac:dyDescent="0.25">
      <c r="A767" s="3">
        <v>40431</v>
      </c>
      <c r="B767">
        <v>2932.55</v>
      </c>
    </row>
    <row r="768" spans="1:2" x14ac:dyDescent="0.25">
      <c r="A768" s="3">
        <v>40430</v>
      </c>
      <c r="B768">
        <v>2926.46</v>
      </c>
    </row>
    <row r="769" spans="1:2" x14ac:dyDescent="0.25">
      <c r="A769" s="3">
        <v>40429</v>
      </c>
      <c r="B769">
        <v>2980.97</v>
      </c>
    </row>
    <row r="770" spans="1:2" x14ac:dyDescent="0.25">
      <c r="A770" s="3">
        <v>40428</v>
      </c>
      <c r="B770">
        <v>2983.11</v>
      </c>
    </row>
    <row r="771" spans="1:2" x14ac:dyDescent="0.25">
      <c r="A771" s="3">
        <v>40427</v>
      </c>
      <c r="B771">
        <v>2975.09</v>
      </c>
    </row>
    <row r="772" spans="1:2" x14ac:dyDescent="0.25">
      <c r="A772" s="3">
        <v>40424</v>
      </c>
      <c r="B772">
        <v>2920.21</v>
      </c>
    </row>
    <row r="773" spans="1:2" x14ac:dyDescent="0.25">
      <c r="A773" s="3">
        <v>40423</v>
      </c>
      <c r="B773">
        <v>2921.39</v>
      </c>
    </row>
    <row r="774" spans="1:2" x14ac:dyDescent="0.25">
      <c r="A774" s="3">
        <v>40422</v>
      </c>
      <c r="B774">
        <v>2884.04</v>
      </c>
    </row>
    <row r="775" spans="1:2" x14ac:dyDescent="0.25">
      <c r="A775" s="3">
        <v>40421</v>
      </c>
      <c r="B775">
        <v>2903.19</v>
      </c>
    </row>
    <row r="776" spans="1:2" x14ac:dyDescent="0.25">
      <c r="A776" s="3">
        <v>40420</v>
      </c>
      <c r="B776">
        <v>2915.01</v>
      </c>
    </row>
    <row r="777" spans="1:2" x14ac:dyDescent="0.25">
      <c r="A777" s="3">
        <v>40417</v>
      </c>
      <c r="B777">
        <v>2858.57</v>
      </c>
    </row>
    <row r="778" spans="1:2" x14ac:dyDescent="0.25">
      <c r="A778" s="3">
        <v>40416</v>
      </c>
      <c r="B778">
        <v>2850.09</v>
      </c>
    </row>
    <row r="779" spans="1:2" x14ac:dyDescent="0.25">
      <c r="A779" s="3">
        <v>40415</v>
      </c>
      <c r="B779">
        <v>2843.02</v>
      </c>
    </row>
    <row r="780" spans="1:2" x14ac:dyDescent="0.25">
      <c r="A780" s="3">
        <v>40414</v>
      </c>
      <c r="B780">
        <v>2911.83</v>
      </c>
    </row>
    <row r="781" spans="1:2" x14ac:dyDescent="0.25">
      <c r="A781" s="3">
        <v>40413</v>
      </c>
      <c r="B781">
        <v>2896.19</v>
      </c>
    </row>
    <row r="782" spans="1:2" x14ac:dyDescent="0.25">
      <c r="A782" s="3">
        <v>40410</v>
      </c>
      <c r="B782">
        <v>2898.33</v>
      </c>
    </row>
    <row r="783" spans="1:2" x14ac:dyDescent="0.25">
      <c r="A783" s="3">
        <v>40409</v>
      </c>
      <c r="B783">
        <v>2955.4</v>
      </c>
    </row>
    <row r="784" spans="1:2" x14ac:dyDescent="0.25">
      <c r="A784" s="3">
        <v>40408</v>
      </c>
      <c r="B784">
        <v>2937.36</v>
      </c>
    </row>
    <row r="785" spans="1:2" x14ac:dyDescent="0.25">
      <c r="A785" s="3">
        <v>40407</v>
      </c>
      <c r="B785">
        <v>2942.29</v>
      </c>
    </row>
    <row r="786" spans="1:2" x14ac:dyDescent="0.25">
      <c r="A786" s="3">
        <v>40406</v>
      </c>
      <c r="B786">
        <v>2922.08</v>
      </c>
    </row>
    <row r="787" spans="1:2" x14ac:dyDescent="0.25">
      <c r="A787" s="3">
        <v>40403</v>
      </c>
      <c r="B787">
        <v>2855.55</v>
      </c>
    </row>
    <row r="788" spans="1:2" x14ac:dyDescent="0.25">
      <c r="A788" s="3">
        <v>40402</v>
      </c>
      <c r="B788">
        <v>2816.39</v>
      </c>
    </row>
    <row r="789" spans="1:2" x14ac:dyDescent="0.25">
      <c r="A789" s="3">
        <v>40401</v>
      </c>
      <c r="B789">
        <v>2850.21</v>
      </c>
    </row>
    <row r="790" spans="1:2" x14ac:dyDescent="0.25">
      <c r="A790" s="3">
        <v>40400</v>
      </c>
      <c r="B790">
        <v>2832.64</v>
      </c>
    </row>
    <row r="791" spans="1:2" x14ac:dyDescent="0.25">
      <c r="A791" s="3">
        <v>40399</v>
      </c>
      <c r="B791">
        <v>2918.24</v>
      </c>
    </row>
    <row r="792" spans="1:2" x14ac:dyDescent="0.25">
      <c r="A792" s="3">
        <v>40396</v>
      </c>
      <c r="B792">
        <v>2897.66</v>
      </c>
    </row>
    <row r="793" spans="1:2" x14ac:dyDescent="0.25">
      <c r="A793" s="3">
        <v>40395</v>
      </c>
      <c r="B793">
        <v>2850.83</v>
      </c>
    </row>
    <row r="794" spans="1:2" x14ac:dyDescent="0.25">
      <c r="A794" s="3">
        <v>40394</v>
      </c>
      <c r="B794">
        <v>2876.43</v>
      </c>
    </row>
    <row r="795" spans="1:2" x14ac:dyDescent="0.25">
      <c r="A795" s="3">
        <v>40393</v>
      </c>
      <c r="B795">
        <v>2865.97</v>
      </c>
    </row>
    <row r="796" spans="1:2" x14ac:dyDescent="0.25">
      <c r="A796" s="3">
        <v>40392</v>
      </c>
      <c r="B796">
        <v>2917.28</v>
      </c>
    </row>
    <row r="797" spans="1:2" x14ac:dyDescent="0.25">
      <c r="A797" s="3">
        <v>40389</v>
      </c>
      <c r="B797">
        <v>2868.85</v>
      </c>
    </row>
    <row r="798" spans="1:2" x14ac:dyDescent="0.25">
      <c r="A798" s="3">
        <v>40388</v>
      </c>
      <c r="B798">
        <v>2877.98</v>
      </c>
    </row>
    <row r="799" spans="1:2" x14ac:dyDescent="0.25">
      <c r="A799" s="3">
        <v>40387</v>
      </c>
      <c r="B799">
        <v>2863.72</v>
      </c>
    </row>
    <row r="800" spans="1:2" x14ac:dyDescent="0.25">
      <c r="A800" s="3">
        <v>40386</v>
      </c>
      <c r="B800">
        <v>2795.72</v>
      </c>
    </row>
    <row r="801" spans="1:2" x14ac:dyDescent="0.25">
      <c r="A801" s="3">
        <v>40385</v>
      </c>
      <c r="B801">
        <v>2811.06</v>
      </c>
    </row>
    <row r="802" spans="1:2" x14ac:dyDescent="0.25">
      <c r="A802" s="3">
        <v>40382</v>
      </c>
      <c r="B802">
        <v>2793.08</v>
      </c>
    </row>
    <row r="803" spans="1:2" x14ac:dyDescent="0.25">
      <c r="A803" s="3">
        <v>40381</v>
      </c>
      <c r="B803">
        <v>2781.29</v>
      </c>
    </row>
    <row r="804" spans="1:2" x14ac:dyDescent="0.25">
      <c r="A804" s="3">
        <v>40380</v>
      </c>
      <c r="B804">
        <v>2747.34</v>
      </c>
    </row>
    <row r="805" spans="1:2" x14ac:dyDescent="0.25">
      <c r="A805" s="3">
        <v>40379</v>
      </c>
      <c r="B805">
        <v>2741.5</v>
      </c>
    </row>
    <row r="806" spans="1:2" x14ac:dyDescent="0.25">
      <c r="A806" s="3">
        <v>40378</v>
      </c>
      <c r="B806">
        <v>2682.47</v>
      </c>
    </row>
    <row r="807" spans="1:2" x14ac:dyDescent="0.25">
      <c r="A807" s="3">
        <v>40375</v>
      </c>
      <c r="B807">
        <v>2616.13</v>
      </c>
    </row>
    <row r="808" spans="1:2" x14ac:dyDescent="0.25">
      <c r="A808" s="3">
        <v>40374</v>
      </c>
      <c r="B808">
        <v>2608.52</v>
      </c>
    </row>
    <row r="809" spans="1:2" x14ac:dyDescent="0.25">
      <c r="A809" s="3">
        <v>40373</v>
      </c>
      <c r="B809">
        <v>2653.61</v>
      </c>
    </row>
    <row r="810" spans="1:2" x14ac:dyDescent="0.25">
      <c r="A810" s="3">
        <v>40372</v>
      </c>
      <c r="B810">
        <v>2634.59</v>
      </c>
    </row>
    <row r="811" spans="1:2" x14ac:dyDescent="0.25">
      <c r="A811" s="3">
        <v>40371</v>
      </c>
      <c r="B811">
        <v>2676.22</v>
      </c>
    </row>
    <row r="812" spans="1:2" x14ac:dyDescent="0.25">
      <c r="A812" s="3">
        <v>40368</v>
      </c>
      <c r="B812">
        <v>2647.1</v>
      </c>
    </row>
    <row r="813" spans="1:2" x14ac:dyDescent="0.25">
      <c r="A813" s="3">
        <v>40367</v>
      </c>
      <c r="B813">
        <v>2575.92</v>
      </c>
    </row>
    <row r="814" spans="1:2" x14ac:dyDescent="0.25">
      <c r="A814" s="3">
        <v>40366</v>
      </c>
      <c r="B814">
        <v>2580.48</v>
      </c>
    </row>
    <row r="815" spans="1:2" x14ac:dyDescent="0.25">
      <c r="A815" s="3">
        <v>40365</v>
      </c>
      <c r="B815">
        <v>2562.9</v>
      </c>
    </row>
    <row r="816" spans="1:2" x14ac:dyDescent="0.25">
      <c r="A816" s="3">
        <v>40364</v>
      </c>
      <c r="B816">
        <v>2512.65</v>
      </c>
    </row>
    <row r="817" spans="1:2" x14ac:dyDescent="0.25">
      <c r="A817" s="3">
        <v>40361</v>
      </c>
      <c r="B817">
        <v>2534.11</v>
      </c>
    </row>
    <row r="818" spans="1:2" x14ac:dyDescent="0.25">
      <c r="A818" s="3">
        <v>40360</v>
      </c>
      <c r="B818">
        <v>2526.0700000000002</v>
      </c>
    </row>
    <row r="819" spans="1:2" x14ac:dyDescent="0.25">
      <c r="A819" s="3">
        <v>40359</v>
      </c>
      <c r="B819">
        <v>2563.0700000000002</v>
      </c>
    </row>
    <row r="820" spans="1:2" x14ac:dyDescent="0.25">
      <c r="A820" s="3">
        <v>40358</v>
      </c>
      <c r="B820">
        <v>2592.02</v>
      </c>
    </row>
    <row r="821" spans="1:2" x14ac:dyDescent="0.25">
      <c r="A821" s="3">
        <v>40357</v>
      </c>
      <c r="B821">
        <v>2716.78</v>
      </c>
    </row>
    <row r="822" spans="1:2" x14ac:dyDescent="0.25">
      <c r="A822" s="3">
        <v>40354</v>
      </c>
      <c r="B822">
        <v>2736.29</v>
      </c>
    </row>
    <row r="823" spans="1:2" x14ac:dyDescent="0.25">
      <c r="A823" s="3">
        <v>40353</v>
      </c>
      <c r="B823">
        <v>2757.5</v>
      </c>
    </row>
    <row r="824" spans="1:2" x14ac:dyDescent="0.25">
      <c r="A824" s="3">
        <v>40352</v>
      </c>
      <c r="B824">
        <v>2758.5</v>
      </c>
    </row>
    <row r="825" spans="1:2" x14ac:dyDescent="0.25">
      <c r="A825" s="3">
        <v>40351</v>
      </c>
      <c r="B825">
        <v>2783.72</v>
      </c>
    </row>
    <row r="826" spans="1:2" x14ac:dyDescent="0.25">
      <c r="A826" s="3">
        <v>40350</v>
      </c>
      <c r="B826">
        <v>2780.66</v>
      </c>
    </row>
    <row r="827" spans="1:2" x14ac:dyDescent="0.25">
      <c r="A827" s="3">
        <v>40347</v>
      </c>
      <c r="B827">
        <v>2696.17</v>
      </c>
    </row>
    <row r="828" spans="1:2" x14ac:dyDescent="0.25">
      <c r="A828" s="3">
        <v>40346</v>
      </c>
      <c r="B828">
        <v>2742.73</v>
      </c>
    </row>
    <row r="829" spans="1:2" x14ac:dyDescent="0.25">
      <c r="A829" s="3">
        <v>40340</v>
      </c>
      <c r="B829">
        <v>2758.87</v>
      </c>
    </row>
    <row r="830" spans="1:2" x14ac:dyDescent="0.25">
      <c r="A830" s="3">
        <v>40339</v>
      </c>
      <c r="B830">
        <v>2750.02</v>
      </c>
    </row>
    <row r="831" spans="1:2" x14ac:dyDescent="0.25">
      <c r="A831" s="3">
        <v>40338</v>
      </c>
      <c r="B831">
        <v>2782.13</v>
      </c>
    </row>
    <row r="832" spans="1:2" x14ac:dyDescent="0.25">
      <c r="A832" s="3">
        <v>40337</v>
      </c>
      <c r="B832">
        <v>2699.34</v>
      </c>
    </row>
    <row r="833" spans="1:2" x14ac:dyDescent="0.25">
      <c r="A833" s="3">
        <v>40336</v>
      </c>
      <c r="B833">
        <v>2695.72</v>
      </c>
    </row>
    <row r="834" spans="1:2" x14ac:dyDescent="0.25">
      <c r="A834" s="3">
        <v>40333</v>
      </c>
      <c r="B834">
        <v>2744.39</v>
      </c>
    </row>
    <row r="835" spans="1:2" x14ac:dyDescent="0.25">
      <c r="A835" s="3">
        <v>40332</v>
      </c>
      <c r="B835">
        <v>2736.08</v>
      </c>
    </row>
    <row r="836" spans="1:2" x14ac:dyDescent="0.25">
      <c r="A836" s="3">
        <v>40331</v>
      </c>
      <c r="B836">
        <v>2757.53</v>
      </c>
    </row>
    <row r="837" spans="1:2" x14ac:dyDescent="0.25">
      <c r="A837" s="3">
        <v>40330</v>
      </c>
      <c r="B837">
        <v>2744.16</v>
      </c>
    </row>
    <row r="838" spans="1:2" x14ac:dyDescent="0.25">
      <c r="A838" s="3">
        <v>40329</v>
      </c>
      <c r="B838">
        <v>2773.26</v>
      </c>
    </row>
    <row r="839" spans="1:2" x14ac:dyDescent="0.25">
      <c r="A839" s="3">
        <v>40326</v>
      </c>
      <c r="B839">
        <v>2850.3</v>
      </c>
    </row>
    <row r="840" spans="1:2" x14ac:dyDescent="0.25">
      <c r="A840" s="3">
        <v>40325</v>
      </c>
      <c r="B840">
        <v>2859.98</v>
      </c>
    </row>
    <row r="841" spans="1:2" x14ac:dyDescent="0.25">
      <c r="A841" s="3">
        <v>40324</v>
      </c>
      <c r="B841">
        <v>2813.94</v>
      </c>
    </row>
    <row r="842" spans="1:2" x14ac:dyDescent="0.25">
      <c r="A842" s="3">
        <v>40323</v>
      </c>
      <c r="B842">
        <v>2813.94</v>
      </c>
    </row>
    <row r="843" spans="1:2" x14ac:dyDescent="0.25">
      <c r="A843" s="3">
        <v>40322</v>
      </c>
      <c r="B843">
        <v>2873.47</v>
      </c>
    </row>
    <row r="844" spans="1:2" x14ac:dyDescent="0.25">
      <c r="A844" s="3">
        <v>40319</v>
      </c>
      <c r="B844">
        <v>2768.79</v>
      </c>
    </row>
    <row r="845" spans="1:2" x14ac:dyDescent="0.25">
      <c r="A845" s="3">
        <v>40318</v>
      </c>
      <c r="B845">
        <v>2726.02</v>
      </c>
    </row>
    <row r="846" spans="1:2" x14ac:dyDescent="0.25">
      <c r="A846" s="3">
        <v>40317</v>
      </c>
      <c r="B846">
        <v>2762.17</v>
      </c>
    </row>
    <row r="847" spans="1:2" x14ac:dyDescent="0.25">
      <c r="A847" s="3">
        <v>40316</v>
      </c>
      <c r="B847">
        <v>2771.35</v>
      </c>
    </row>
    <row r="848" spans="1:2" x14ac:dyDescent="0.25">
      <c r="A848" s="3">
        <v>40315</v>
      </c>
      <c r="B848">
        <v>2714.71</v>
      </c>
    </row>
    <row r="849" spans="1:2" x14ac:dyDescent="0.25">
      <c r="A849" s="3">
        <v>40312</v>
      </c>
      <c r="B849">
        <v>2868.02</v>
      </c>
    </row>
    <row r="850" spans="1:2" x14ac:dyDescent="0.25">
      <c r="A850" s="3">
        <v>40311</v>
      </c>
      <c r="B850">
        <v>2886.91</v>
      </c>
    </row>
    <row r="851" spans="1:2" x14ac:dyDescent="0.25">
      <c r="A851" s="3">
        <v>40310</v>
      </c>
      <c r="B851">
        <v>2818.16</v>
      </c>
    </row>
    <row r="852" spans="1:2" x14ac:dyDescent="0.25">
      <c r="A852" s="3">
        <v>40309</v>
      </c>
      <c r="B852">
        <v>2800.82</v>
      </c>
    </row>
    <row r="853" spans="1:2" x14ac:dyDescent="0.25">
      <c r="A853" s="3">
        <v>40308</v>
      </c>
      <c r="B853">
        <v>2858.23</v>
      </c>
    </row>
    <row r="854" spans="1:2" x14ac:dyDescent="0.25">
      <c r="A854" s="3">
        <v>40305</v>
      </c>
      <c r="B854">
        <v>2836.79</v>
      </c>
    </row>
    <row r="855" spans="1:2" x14ac:dyDescent="0.25">
      <c r="A855" s="3">
        <v>40304</v>
      </c>
      <c r="B855">
        <v>2896.86</v>
      </c>
    </row>
    <row r="856" spans="1:2" x14ac:dyDescent="0.25">
      <c r="A856" s="3">
        <v>40303</v>
      </c>
      <c r="B856">
        <v>3036.39</v>
      </c>
    </row>
    <row r="857" spans="1:2" x14ac:dyDescent="0.25">
      <c r="A857" s="3">
        <v>40302</v>
      </c>
      <c r="B857">
        <v>3019.45</v>
      </c>
    </row>
    <row r="858" spans="1:2" x14ac:dyDescent="0.25">
      <c r="A858" s="3">
        <v>40298</v>
      </c>
      <c r="B858">
        <v>3067.37</v>
      </c>
    </row>
    <row r="859" spans="1:2" x14ac:dyDescent="0.25">
      <c r="A859" s="3">
        <v>40297</v>
      </c>
      <c r="B859">
        <v>3060.06</v>
      </c>
    </row>
    <row r="860" spans="1:2" x14ac:dyDescent="0.25">
      <c r="A860" s="3">
        <v>40296</v>
      </c>
      <c r="B860">
        <v>3097.35</v>
      </c>
    </row>
    <row r="861" spans="1:2" x14ac:dyDescent="0.25">
      <c r="A861" s="3">
        <v>40295</v>
      </c>
      <c r="B861">
        <v>3108.41</v>
      </c>
    </row>
    <row r="862" spans="1:2" x14ac:dyDescent="0.25">
      <c r="A862" s="3">
        <v>40294</v>
      </c>
      <c r="B862">
        <v>3172</v>
      </c>
    </row>
    <row r="863" spans="1:2" x14ac:dyDescent="0.25">
      <c r="A863" s="3">
        <v>40291</v>
      </c>
      <c r="B863">
        <v>3190</v>
      </c>
    </row>
    <row r="864" spans="1:2" x14ac:dyDescent="0.25">
      <c r="A864" s="3">
        <v>40290</v>
      </c>
      <c r="B864">
        <v>3201.54</v>
      </c>
    </row>
    <row r="865" spans="1:2" x14ac:dyDescent="0.25">
      <c r="A865" s="3">
        <v>40289</v>
      </c>
      <c r="B865">
        <v>3236.68</v>
      </c>
    </row>
    <row r="866" spans="1:2" x14ac:dyDescent="0.25">
      <c r="A866" s="3">
        <v>40288</v>
      </c>
      <c r="B866">
        <v>3173.37</v>
      </c>
    </row>
    <row r="867" spans="1:2" x14ac:dyDescent="0.25">
      <c r="A867" s="3">
        <v>40287</v>
      </c>
      <c r="B867">
        <v>3176.42</v>
      </c>
    </row>
    <row r="868" spans="1:2" x14ac:dyDescent="0.25">
      <c r="A868" s="3">
        <v>40284</v>
      </c>
      <c r="B868">
        <v>3356.33</v>
      </c>
    </row>
    <row r="869" spans="1:2" x14ac:dyDescent="0.25">
      <c r="A869" s="3">
        <v>40283</v>
      </c>
      <c r="B869">
        <v>3394.57</v>
      </c>
    </row>
    <row r="870" spans="1:2" x14ac:dyDescent="0.25">
      <c r="A870" s="3">
        <v>40282</v>
      </c>
      <c r="B870">
        <v>3403.71</v>
      </c>
    </row>
    <row r="871" spans="1:2" x14ac:dyDescent="0.25">
      <c r="A871" s="3">
        <v>40281</v>
      </c>
      <c r="B871">
        <v>3391.72</v>
      </c>
    </row>
    <row r="872" spans="1:2" x14ac:dyDescent="0.25">
      <c r="A872" s="3">
        <v>40280</v>
      </c>
      <c r="B872">
        <v>3351.48</v>
      </c>
    </row>
    <row r="873" spans="1:2" x14ac:dyDescent="0.25">
      <c r="A873" s="3">
        <v>40277</v>
      </c>
      <c r="B873">
        <v>3379.17</v>
      </c>
    </row>
    <row r="874" spans="1:2" x14ac:dyDescent="0.25">
      <c r="A874" s="3">
        <v>40276</v>
      </c>
      <c r="B874">
        <v>3346.74</v>
      </c>
    </row>
    <row r="875" spans="1:2" x14ac:dyDescent="0.25">
      <c r="A875" s="3">
        <v>40275</v>
      </c>
      <c r="B875">
        <v>3386.95</v>
      </c>
    </row>
    <row r="876" spans="1:2" x14ac:dyDescent="0.25">
      <c r="A876" s="3">
        <v>40274</v>
      </c>
      <c r="B876">
        <v>3405.14</v>
      </c>
    </row>
    <row r="877" spans="1:2" x14ac:dyDescent="0.25">
      <c r="A877" s="3">
        <v>40270</v>
      </c>
      <c r="B877">
        <v>3407.35</v>
      </c>
    </row>
    <row r="878" spans="1:2" x14ac:dyDescent="0.25">
      <c r="A878" s="3">
        <v>40269</v>
      </c>
      <c r="B878">
        <v>3391.93</v>
      </c>
    </row>
    <row r="879" spans="1:2" x14ac:dyDescent="0.25">
      <c r="A879" s="3">
        <v>40268</v>
      </c>
      <c r="B879">
        <v>3345.61</v>
      </c>
    </row>
    <row r="880" spans="1:2" x14ac:dyDescent="0.25">
      <c r="A880" s="3">
        <v>40267</v>
      </c>
      <c r="B880">
        <v>3366.71</v>
      </c>
    </row>
    <row r="881" spans="1:2" x14ac:dyDescent="0.25">
      <c r="A881" s="3">
        <v>40266</v>
      </c>
      <c r="B881">
        <v>3358.54</v>
      </c>
    </row>
    <row r="882" spans="1:2" x14ac:dyDescent="0.25">
      <c r="A882" s="3">
        <v>40263</v>
      </c>
      <c r="B882">
        <v>3275</v>
      </c>
    </row>
    <row r="883" spans="1:2" x14ac:dyDescent="0.25">
      <c r="A883" s="3">
        <v>40262</v>
      </c>
      <c r="B883">
        <v>3229.13</v>
      </c>
    </row>
    <row r="884" spans="1:2" x14ac:dyDescent="0.25">
      <c r="A884" s="3">
        <v>40261</v>
      </c>
      <c r="B884">
        <v>3276.67</v>
      </c>
    </row>
    <row r="885" spans="1:2" x14ac:dyDescent="0.25">
      <c r="A885" s="3">
        <v>40260</v>
      </c>
      <c r="B885">
        <v>3275.57</v>
      </c>
    </row>
    <row r="886" spans="1:2" x14ac:dyDescent="0.25">
      <c r="A886" s="3">
        <v>40259</v>
      </c>
      <c r="B886">
        <v>3302.63</v>
      </c>
    </row>
    <row r="887" spans="1:2" x14ac:dyDescent="0.25">
      <c r="A887" s="3">
        <v>40256</v>
      </c>
      <c r="B887">
        <v>3293.87</v>
      </c>
    </row>
    <row r="888" spans="1:2" x14ac:dyDescent="0.25">
      <c r="A888" s="3">
        <v>40255</v>
      </c>
      <c r="B888">
        <v>3267.55</v>
      </c>
    </row>
    <row r="889" spans="1:2" x14ac:dyDescent="0.25">
      <c r="A889" s="3">
        <v>40254</v>
      </c>
      <c r="B889">
        <v>3273.92</v>
      </c>
    </row>
    <row r="890" spans="1:2" x14ac:dyDescent="0.25">
      <c r="A890" s="3">
        <v>40253</v>
      </c>
      <c r="B890">
        <v>3203.97</v>
      </c>
    </row>
    <row r="891" spans="1:2" x14ac:dyDescent="0.25">
      <c r="A891" s="3">
        <v>40252</v>
      </c>
      <c r="B891">
        <v>3183.18</v>
      </c>
    </row>
    <row r="892" spans="1:2" x14ac:dyDescent="0.25">
      <c r="A892" s="3">
        <v>40249</v>
      </c>
      <c r="B892">
        <v>3233.13</v>
      </c>
    </row>
    <row r="893" spans="1:2" x14ac:dyDescent="0.25">
      <c r="A893" s="3">
        <v>40248</v>
      </c>
      <c r="B893">
        <v>3276.71</v>
      </c>
    </row>
    <row r="894" spans="1:2" x14ac:dyDescent="0.25">
      <c r="A894" s="3">
        <v>40247</v>
      </c>
      <c r="B894">
        <v>3279.69</v>
      </c>
    </row>
    <row r="895" spans="1:2" x14ac:dyDescent="0.25">
      <c r="A895" s="3">
        <v>40246</v>
      </c>
      <c r="B895">
        <v>3305.86</v>
      </c>
    </row>
    <row r="896" spans="1:2" x14ac:dyDescent="0.25">
      <c r="A896" s="3">
        <v>40245</v>
      </c>
      <c r="B896">
        <v>3286.18</v>
      </c>
    </row>
    <row r="897" spans="1:2" x14ac:dyDescent="0.25">
      <c r="A897" s="3">
        <v>40242</v>
      </c>
      <c r="B897">
        <v>3259.76</v>
      </c>
    </row>
    <row r="898" spans="1:2" x14ac:dyDescent="0.25">
      <c r="A898" s="3">
        <v>40241</v>
      </c>
      <c r="B898">
        <v>3250.57</v>
      </c>
    </row>
    <row r="899" spans="1:2" x14ac:dyDescent="0.25">
      <c r="A899" s="3">
        <v>40240</v>
      </c>
      <c r="B899">
        <v>3335.08</v>
      </c>
    </row>
    <row r="900" spans="1:2" x14ac:dyDescent="0.25">
      <c r="A900" s="3">
        <v>40239</v>
      </c>
      <c r="B900">
        <v>3311.24</v>
      </c>
    </row>
    <row r="901" spans="1:2" x14ac:dyDescent="0.25">
      <c r="A901" s="3">
        <v>40238</v>
      </c>
      <c r="B901">
        <v>3324.42</v>
      </c>
    </row>
    <row r="902" spans="1:2" x14ac:dyDescent="0.25">
      <c r="A902" s="3">
        <v>40235</v>
      </c>
      <c r="B902">
        <v>3281.67</v>
      </c>
    </row>
    <row r="903" spans="1:2" x14ac:dyDescent="0.25">
      <c r="A903" s="3">
        <v>40234</v>
      </c>
      <c r="B903">
        <v>3292.13</v>
      </c>
    </row>
    <row r="904" spans="1:2" x14ac:dyDescent="0.25">
      <c r="A904" s="3">
        <v>40233</v>
      </c>
      <c r="B904">
        <v>3244.48</v>
      </c>
    </row>
    <row r="905" spans="1:2" x14ac:dyDescent="0.25">
      <c r="A905" s="3">
        <v>40232</v>
      </c>
      <c r="B905">
        <v>3198.63</v>
      </c>
    </row>
    <row r="906" spans="1:2" x14ac:dyDescent="0.25">
      <c r="A906" s="3">
        <v>40231</v>
      </c>
      <c r="B906">
        <v>3233.35</v>
      </c>
    </row>
    <row r="907" spans="1:2" x14ac:dyDescent="0.25">
      <c r="A907" s="3">
        <v>40221</v>
      </c>
      <c r="B907">
        <v>3251.28</v>
      </c>
    </row>
    <row r="908" spans="1:2" x14ac:dyDescent="0.25">
      <c r="A908" s="3">
        <v>40220</v>
      </c>
      <c r="B908">
        <v>3220.4</v>
      </c>
    </row>
    <row r="909" spans="1:2" x14ac:dyDescent="0.25">
      <c r="A909" s="3">
        <v>40219</v>
      </c>
      <c r="B909">
        <v>3214.13</v>
      </c>
    </row>
    <row r="910" spans="1:2" x14ac:dyDescent="0.25">
      <c r="A910" s="3">
        <v>40218</v>
      </c>
      <c r="B910">
        <v>3169.19</v>
      </c>
    </row>
    <row r="911" spans="1:2" x14ac:dyDescent="0.25">
      <c r="A911" s="3">
        <v>40217</v>
      </c>
      <c r="B911">
        <v>3150.99</v>
      </c>
    </row>
    <row r="912" spans="1:2" x14ac:dyDescent="0.25">
      <c r="A912" s="3">
        <v>40214</v>
      </c>
      <c r="B912">
        <v>3153.09</v>
      </c>
    </row>
    <row r="913" spans="1:2" x14ac:dyDescent="0.25">
      <c r="A913" s="3">
        <v>40213</v>
      </c>
      <c r="B913">
        <v>3218.8</v>
      </c>
    </row>
    <row r="914" spans="1:2" x14ac:dyDescent="0.25">
      <c r="A914" s="3">
        <v>40212</v>
      </c>
      <c r="B914">
        <v>3230.72</v>
      </c>
    </row>
    <row r="915" spans="1:2" x14ac:dyDescent="0.25">
      <c r="A915" s="3">
        <v>40211</v>
      </c>
      <c r="B915">
        <v>3146.19</v>
      </c>
    </row>
    <row r="916" spans="1:2" x14ac:dyDescent="0.25">
      <c r="A916" s="3">
        <v>40210</v>
      </c>
      <c r="B916">
        <v>3152.71</v>
      </c>
    </row>
    <row r="917" spans="1:2" x14ac:dyDescent="0.25">
      <c r="A917" s="3">
        <v>40207</v>
      </c>
      <c r="B917">
        <v>3204.16</v>
      </c>
    </row>
    <row r="918" spans="1:2" x14ac:dyDescent="0.25">
      <c r="A918" s="3">
        <v>40206</v>
      </c>
      <c r="B918">
        <v>3206.57</v>
      </c>
    </row>
    <row r="919" spans="1:2" x14ac:dyDescent="0.25">
      <c r="A919" s="3">
        <v>40205</v>
      </c>
      <c r="B919">
        <v>3198.57</v>
      </c>
    </row>
    <row r="920" spans="1:2" x14ac:dyDescent="0.25">
      <c r="A920" s="3">
        <v>40204</v>
      </c>
      <c r="B920">
        <v>3242.8</v>
      </c>
    </row>
    <row r="921" spans="1:2" x14ac:dyDescent="0.25">
      <c r="A921" s="3">
        <v>40203</v>
      </c>
      <c r="B921">
        <v>3328.01</v>
      </c>
    </row>
    <row r="922" spans="1:2" x14ac:dyDescent="0.25">
      <c r="A922" s="3">
        <v>40200</v>
      </c>
      <c r="B922">
        <v>3366.2</v>
      </c>
    </row>
    <row r="923" spans="1:2" x14ac:dyDescent="0.25">
      <c r="A923" s="3">
        <v>40199</v>
      </c>
      <c r="B923">
        <v>3408.57</v>
      </c>
    </row>
    <row r="924" spans="1:2" x14ac:dyDescent="0.25">
      <c r="A924" s="3">
        <v>40198</v>
      </c>
      <c r="B924">
        <v>3394.43</v>
      </c>
    </row>
    <row r="925" spans="1:2" x14ac:dyDescent="0.25">
      <c r="A925" s="3">
        <v>40197</v>
      </c>
      <c r="B925">
        <v>3507.48</v>
      </c>
    </row>
    <row r="926" spans="1:2" x14ac:dyDescent="0.25">
      <c r="A926" s="3">
        <v>40196</v>
      </c>
      <c r="B926">
        <v>3500.68</v>
      </c>
    </row>
    <row r="927" spans="1:2" x14ac:dyDescent="0.25">
      <c r="A927" s="3">
        <v>40193</v>
      </c>
      <c r="B927">
        <v>3482.74</v>
      </c>
    </row>
    <row r="928" spans="1:2" x14ac:dyDescent="0.25">
      <c r="A928" s="3">
        <v>40192</v>
      </c>
      <c r="B928">
        <v>3469.05</v>
      </c>
    </row>
    <row r="929" spans="1:2" x14ac:dyDescent="0.25">
      <c r="A929" s="3">
        <v>40191</v>
      </c>
      <c r="B929">
        <v>3421.14</v>
      </c>
    </row>
    <row r="930" spans="1:2" x14ac:dyDescent="0.25">
      <c r="A930" s="3">
        <v>40190</v>
      </c>
      <c r="B930">
        <v>3534.92</v>
      </c>
    </row>
    <row r="931" spans="1:2" x14ac:dyDescent="0.25">
      <c r="A931" s="3">
        <v>40189</v>
      </c>
      <c r="B931">
        <v>3482.05</v>
      </c>
    </row>
    <row r="932" spans="1:2" x14ac:dyDescent="0.25">
      <c r="A932" s="3">
        <v>40186</v>
      </c>
      <c r="B932">
        <v>3480.13</v>
      </c>
    </row>
    <row r="933" spans="1:2" x14ac:dyDescent="0.25">
      <c r="A933" s="3">
        <v>40185</v>
      </c>
      <c r="B933">
        <v>3471.46</v>
      </c>
    </row>
    <row r="934" spans="1:2" x14ac:dyDescent="0.25">
      <c r="A934" s="3">
        <v>40184</v>
      </c>
      <c r="B934">
        <v>3541.73</v>
      </c>
    </row>
    <row r="935" spans="1:2" x14ac:dyDescent="0.25">
      <c r="A935" s="3">
        <v>40183</v>
      </c>
      <c r="B935">
        <v>3564.04</v>
      </c>
    </row>
    <row r="936" spans="1:2" x14ac:dyDescent="0.25">
      <c r="A936" s="3">
        <v>40182</v>
      </c>
      <c r="B936">
        <v>3535.23</v>
      </c>
    </row>
    <row r="937" spans="1:2" x14ac:dyDescent="0.25">
      <c r="A937" s="3">
        <v>40178</v>
      </c>
      <c r="B937">
        <v>3575.68</v>
      </c>
    </row>
    <row r="938" spans="1:2" x14ac:dyDescent="0.25">
      <c r="A938" s="3">
        <v>40177</v>
      </c>
      <c r="B938">
        <v>3558.86</v>
      </c>
    </row>
    <row r="939" spans="1:2" x14ac:dyDescent="0.25">
      <c r="A939" s="3">
        <v>40176</v>
      </c>
      <c r="B939">
        <v>3500.74</v>
      </c>
    </row>
    <row r="940" spans="1:2" x14ac:dyDescent="0.25">
      <c r="A940" s="3">
        <v>40175</v>
      </c>
      <c r="B940">
        <v>3478.43</v>
      </c>
    </row>
    <row r="941" spans="1:2" x14ac:dyDescent="0.25">
      <c r="A941" s="3">
        <v>40172</v>
      </c>
      <c r="B941">
        <v>3424.78</v>
      </c>
    </row>
    <row r="942" spans="1:2" x14ac:dyDescent="0.25">
      <c r="A942" s="3">
        <v>40171</v>
      </c>
      <c r="B942">
        <v>3438.82</v>
      </c>
    </row>
    <row r="943" spans="1:2" x14ac:dyDescent="0.25">
      <c r="A943" s="3">
        <v>40170</v>
      </c>
      <c r="B943">
        <v>3336.48</v>
      </c>
    </row>
    <row r="944" spans="1:2" x14ac:dyDescent="0.25">
      <c r="A944" s="3">
        <v>40169</v>
      </c>
      <c r="B944">
        <v>3305.54</v>
      </c>
    </row>
    <row r="945" spans="1:2" x14ac:dyDescent="0.25">
      <c r="A945" s="3">
        <v>40168</v>
      </c>
      <c r="B945">
        <v>3396.62</v>
      </c>
    </row>
    <row r="946" spans="1:2" x14ac:dyDescent="0.25">
      <c r="A946" s="3">
        <v>40165</v>
      </c>
      <c r="B946">
        <v>3391.74</v>
      </c>
    </row>
    <row r="947" spans="1:2" x14ac:dyDescent="0.25">
      <c r="A947" s="3">
        <v>40164</v>
      </c>
      <c r="B947">
        <v>3480.15</v>
      </c>
    </row>
    <row r="948" spans="1:2" x14ac:dyDescent="0.25">
      <c r="A948" s="3">
        <v>40163</v>
      </c>
      <c r="B948">
        <v>3560.72</v>
      </c>
    </row>
    <row r="949" spans="1:2" x14ac:dyDescent="0.25">
      <c r="A949" s="3">
        <v>40162</v>
      </c>
      <c r="B949">
        <v>3583.34</v>
      </c>
    </row>
    <row r="950" spans="1:2" x14ac:dyDescent="0.25">
      <c r="A950" s="3">
        <v>40161</v>
      </c>
      <c r="B950">
        <v>3612.75</v>
      </c>
    </row>
    <row r="951" spans="1:2" x14ac:dyDescent="0.25">
      <c r="A951" s="3">
        <v>40158</v>
      </c>
      <c r="B951">
        <v>3575.02</v>
      </c>
    </row>
    <row r="952" spans="1:2" x14ac:dyDescent="0.25">
      <c r="A952" s="3">
        <v>40157</v>
      </c>
      <c r="B952">
        <v>3577.24</v>
      </c>
    </row>
    <row r="953" spans="1:2" x14ac:dyDescent="0.25">
      <c r="A953" s="3">
        <v>40156</v>
      </c>
      <c r="B953">
        <v>3554.48</v>
      </c>
    </row>
    <row r="954" spans="1:2" x14ac:dyDescent="0.25">
      <c r="A954" s="3">
        <v>40155</v>
      </c>
      <c r="B954">
        <v>3624.02</v>
      </c>
    </row>
    <row r="955" spans="1:2" x14ac:dyDescent="0.25">
      <c r="A955" s="3">
        <v>40154</v>
      </c>
      <c r="B955">
        <v>3668.83</v>
      </c>
    </row>
    <row r="956" spans="1:2" x14ac:dyDescent="0.25">
      <c r="A956" s="3">
        <v>40151</v>
      </c>
      <c r="B956">
        <v>3643.49</v>
      </c>
    </row>
    <row r="957" spans="1:2" x14ac:dyDescent="0.25">
      <c r="A957" s="3">
        <v>40150</v>
      </c>
      <c r="B957">
        <v>3590.88</v>
      </c>
    </row>
    <row r="958" spans="1:2" x14ac:dyDescent="0.25">
      <c r="A958" s="3">
        <v>40149</v>
      </c>
      <c r="B958">
        <v>3597.33</v>
      </c>
    </row>
    <row r="959" spans="1:2" x14ac:dyDescent="0.25">
      <c r="A959" s="3">
        <v>40148</v>
      </c>
      <c r="B959">
        <v>3560.83</v>
      </c>
    </row>
    <row r="960" spans="1:2" x14ac:dyDescent="0.25">
      <c r="A960" s="3">
        <v>40147</v>
      </c>
      <c r="B960">
        <v>3511.67</v>
      </c>
    </row>
    <row r="961" spans="1:2" x14ac:dyDescent="0.25">
      <c r="A961" s="3">
        <v>40144</v>
      </c>
      <c r="B961">
        <v>3382.51</v>
      </c>
    </row>
    <row r="962" spans="1:2" x14ac:dyDescent="0.25">
      <c r="A962" s="3">
        <v>40143</v>
      </c>
      <c r="B962">
        <v>3485.77</v>
      </c>
    </row>
    <row r="963" spans="1:2" x14ac:dyDescent="0.25">
      <c r="A963" s="3">
        <v>40142</v>
      </c>
      <c r="B963">
        <v>3629.63</v>
      </c>
    </row>
    <row r="964" spans="1:2" x14ac:dyDescent="0.25">
      <c r="A964" s="3">
        <v>40141</v>
      </c>
      <c r="B964">
        <v>3548.08</v>
      </c>
    </row>
    <row r="965" spans="1:2" x14ac:dyDescent="0.25">
      <c r="A965" s="3">
        <v>40140</v>
      </c>
      <c r="B965">
        <v>3665.51</v>
      </c>
    </row>
    <row r="966" spans="1:2" x14ac:dyDescent="0.25">
      <c r="A966" s="3">
        <v>40137</v>
      </c>
      <c r="B966">
        <v>3631.01</v>
      </c>
    </row>
    <row r="967" spans="1:2" x14ac:dyDescent="0.25">
      <c r="A967" s="3">
        <v>40136</v>
      </c>
      <c r="B967">
        <v>3642.44</v>
      </c>
    </row>
    <row r="968" spans="1:2" x14ac:dyDescent="0.25">
      <c r="A968" s="3">
        <v>40135</v>
      </c>
      <c r="B968">
        <v>3630.23</v>
      </c>
    </row>
    <row r="969" spans="1:2" x14ac:dyDescent="0.25">
      <c r="A969" s="3">
        <v>40134</v>
      </c>
      <c r="B969">
        <v>3628.35</v>
      </c>
    </row>
    <row r="970" spans="1:2" x14ac:dyDescent="0.25">
      <c r="A970" s="3">
        <v>40133</v>
      </c>
      <c r="B970">
        <v>3625.8</v>
      </c>
    </row>
    <row r="971" spans="1:2" x14ac:dyDescent="0.25">
      <c r="A971" s="3">
        <v>40130</v>
      </c>
      <c r="B971">
        <v>3518.72</v>
      </c>
    </row>
    <row r="972" spans="1:2" x14ac:dyDescent="0.25">
      <c r="A972" s="3">
        <v>40129</v>
      </c>
      <c r="B972">
        <v>3499.99</v>
      </c>
    </row>
    <row r="973" spans="1:2" x14ac:dyDescent="0.25">
      <c r="A973" s="3">
        <v>40128</v>
      </c>
      <c r="B973">
        <v>3495.67</v>
      </c>
    </row>
    <row r="974" spans="1:2" x14ac:dyDescent="0.25">
      <c r="A974" s="3">
        <v>40127</v>
      </c>
      <c r="B974">
        <v>3503.78</v>
      </c>
    </row>
    <row r="975" spans="1:2" x14ac:dyDescent="0.25">
      <c r="A975" s="3">
        <v>40126</v>
      </c>
      <c r="B975">
        <v>3495.79</v>
      </c>
    </row>
    <row r="976" spans="1:2" x14ac:dyDescent="0.25">
      <c r="A976" s="3">
        <v>40123</v>
      </c>
      <c r="B976">
        <v>3483.02</v>
      </c>
    </row>
    <row r="977" spans="1:2" x14ac:dyDescent="0.25">
      <c r="A977" s="3">
        <v>40122</v>
      </c>
      <c r="B977">
        <v>3464.32</v>
      </c>
    </row>
    <row r="978" spans="1:2" x14ac:dyDescent="0.25">
      <c r="A978" s="3">
        <v>40121</v>
      </c>
      <c r="B978">
        <v>3453.89</v>
      </c>
    </row>
    <row r="979" spans="1:2" x14ac:dyDescent="0.25">
      <c r="A979" s="3">
        <v>40120</v>
      </c>
      <c r="B979">
        <v>3435.43</v>
      </c>
    </row>
    <row r="980" spans="1:2" x14ac:dyDescent="0.25">
      <c r="A980" s="3">
        <v>40119</v>
      </c>
      <c r="B980">
        <v>3392.8</v>
      </c>
    </row>
    <row r="981" spans="1:2" x14ac:dyDescent="0.25">
      <c r="A981" s="3">
        <v>40116</v>
      </c>
      <c r="B981">
        <v>3280.37</v>
      </c>
    </row>
    <row r="982" spans="1:2" x14ac:dyDescent="0.25">
      <c r="A982" s="3">
        <v>40115</v>
      </c>
      <c r="B982">
        <v>3247.05</v>
      </c>
    </row>
    <row r="983" spans="1:2" x14ac:dyDescent="0.25">
      <c r="A983" s="3">
        <v>40114</v>
      </c>
      <c r="B983">
        <v>3329.33</v>
      </c>
    </row>
    <row r="984" spans="1:2" x14ac:dyDescent="0.25">
      <c r="A984" s="3">
        <v>40113</v>
      </c>
      <c r="B984">
        <v>3314.72</v>
      </c>
    </row>
    <row r="985" spans="1:2" x14ac:dyDescent="0.25">
      <c r="A985" s="3">
        <v>40112</v>
      </c>
      <c r="B985">
        <v>3414.24</v>
      </c>
    </row>
    <row r="986" spans="1:2" x14ac:dyDescent="0.25">
      <c r="A986" s="3">
        <v>40109</v>
      </c>
      <c r="B986">
        <v>3413.25</v>
      </c>
    </row>
    <row r="987" spans="1:2" x14ac:dyDescent="0.25">
      <c r="A987" s="3">
        <v>40108</v>
      </c>
      <c r="B987">
        <v>3347.32</v>
      </c>
    </row>
    <row r="988" spans="1:2" x14ac:dyDescent="0.25">
      <c r="A988" s="3">
        <v>40107</v>
      </c>
      <c r="B988">
        <v>3369.29</v>
      </c>
    </row>
    <row r="989" spans="1:2" x14ac:dyDescent="0.25">
      <c r="A989" s="3">
        <v>40106</v>
      </c>
      <c r="B989">
        <v>3377.57</v>
      </c>
    </row>
    <row r="990" spans="1:2" x14ac:dyDescent="0.25">
      <c r="A990" s="3">
        <v>40105</v>
      </c>
      <c r="B990">
        <v>3329.16</v>
      </c>
    </row>
    <row r="991" spans="1:2" x14ac:dyDescent="0.25">
      <c r="A991" s="3">
        <v>40102</v>
      </c>
      <c r="B991">
        <v>3241.71</v>
      </c>
    </row>
    <row r="992" spans="1:2" x14ac:dyDescent="0.25">
      <c r="A992" s="3">
        <v>40101</v>
      </c>
      <c r="B992">
        <v>3239.64</v>
      </c>
    </row>
    <row r="993" spans="1:2" x14ac:dyDescent="0.25">
      <c r="A993" s="3">
        <v>40100</v>
      </c>
      <c r="B993">
        <v>3227.4</v>
      </c>
    </row>
    <row r="994" spans="1:2" x14ac:dyDescent="0.25">
      <c r="A994" s="3">
        <v>40099</v>
      </c>
      <c r="B994">
        <v>3198.52</v>
      </c>
    </row>
    <row r="995" spans="1:2" x14ac:dyDescent="0.25">
      <c r="A995" s="3">
        <v>40098</v>
      </c>
      <c r="B995">
        <v>3151.63</v>
      </c>
    </row>
    <row r="996" spans="1:2" x14ac:dyDescent="0.25">
      <c r="A996" s="3">
        <v>40095</v>
      </c>
      <c r="B996">
        <v>3163.71</v>
      </c>
    </row>
    <row r="997" spans="1:2" x14ac:dyDescent="0.25">
      <c r="A997" s="3">
        <v>40086</v>
      </c>
      <c r="B997">
        <v>3004.81</v>
      </c>
    </row>
    <row r="998" spans="1:2" x14ac:dyDescent="0.25">
      <c r="A998" s="3">
        <v>40085</v>
      </c>
      <c r="B998">
        <v>2972.29</v>
      </c>
    </row>
    <row r="999" spans="1:2" x14ac:dyDescent="0.25">
      <c r="A999" s="3">
        <v>40084</v>
      </c>
      <c r="B999">
        <v>2972.64</v>
      </c>
    </row>
    <row r="1000" spans="1:2" x14ac:dyDescent="0.25">
      <c r="A1000" s="3">
        <v>40081</v>
      </c>
      <c r="B1000">
        <v>3058.53</v>
      </c>
    </row>
    <row r="1001" spans="1:2" x14ac:dyDescent="0.25">
      <c r="A1001" s="3">
        <v>40080</v>
      </c>
      <c r="B1001">
        <v>3080.93</v>
      </c>
    </row>
    <row r="1002" spans="1:2" x14ac:dyDescent="0.25">
      <c r="A1002" s="3">
        <v>40079</v>
      </c>
      <c r="B1002">
        <v>3060.07</v>
      </c>
    </row>
    <row r="1003" spans="1:2" x14ac:dyDescent="0.25">
      <c r="A1003" s="3">
        <v>40078</v>
      </c>
      <c r="B1003">
        <v>3131.03</v>
      </c>
    </row>
    <row r="1004" spans="1:2" x14ac:dyDescent="0.25">
      <c r="A1004" s="3">
        <v>40077</v>
      </c>
      <c r="B1004">
        <v>3208.6</v>
      </c>
    </row>
    <row r="1005" spans="1:2" x14ac:dyDescent="0.25">
      <c r="A1005" s="3">
        <v>40074</v>
      </c>
      <c r="B1005">
        <v>3199.69</v>
      </c>
    </row>
    <row r="1006" spans="1:2" x14ac:dyDescent="0.25">
      <c r="A1006" s="3">
        <v>40073</v>
      </c>
      <c r="B1006">
        <v>3320.1</v>
      </c>
    </row>
    <row r="1007" spans="1:2" x14ac:dyDescent="0.25">
      <c r="A1007" s="3">
        <v>40072</v>
      </c>
      <c r="B1007">
        <v>3258.24</v>
      </c>
    </row>
    <row r="1008" spans="1:2" x14ac:dyDescent="0.25">
      <c r="A1008" s="3">
        <v>40071</v>
      </c>
      <c r="B1008">
        <v>3302.64</v>
      </c>
    </row>
    <row r="1009" spans="1:2" x14ac:dyDescent="0.25">
      <c r="A1009" s="3">
        <v>40070</v>
      </c>
      <c r="B1009">
        <v>3293.39</v>
      </c>
    </row>
    <row r="1010" spans="1:2" x14ac:dyDescent="0.25">
      <c r="A1010" s="3">
        <v>40067</v>
      </c>
      <c r="B1010">
        <v>3238.13</v>
      </c>
    </row>
    <row r="1011" spans="1:2" x14ac:dyDescent="0.25">
      <c r="A1011" s="3">
        <v>40066</v>
      </c>
      <c r="B1011">
        <v>3162.91</v>
      </c>
    </row>
    <row r="1012" spans="1:2" x14ac:dyDescent="0.25">
      <c r="A1012" s="3">
        <v>40065</v>
      </c>
      <c r="B1012">
        <v>3194.91</v>
      </c>
    </row>
    <row r="1013" spans="1:2" x14ac:dyDescent="0.25">
      <c r="A1013" s="3">
        <v>40064</v>
      </c>
      <c r="B1013">
        <v>3170.97</v>
      </c>
    </row>
    <row r="1014" spans="1:2" x14ac:dyDescent="0.25">
      <c r="A1014" s="3">
        <v>40063</v>
      </c>
      <c r="B1014">
        <v>3104.21</v>
      </c>
    </row>
    <row r="1015" spans="1:2" x14ac:dyDescent="0.25">
      <c r="A1015" s="3">
        <v>40060</v>
      </c>
      <c r="B1015">
        <v>3077.14</v>
      </c>
    </row>
    <row r="1016" spans="1:2" x14ac:dyDescent="0.25">
      <c r="A1016" s="3">
        <v>40059</v>
      </c>
      <c r="B1016">
        <v>3051.96</v>
      </c>
    </row>
    <row r="1017" spans="1:2" x14ac:dyDescent="0.25">
      <c r="A1017" s="3">
        <v>40058</v>
      </c>
      <c r="B1017">
        <v>2890.93</v>
      </c>
    </row>
    <row r="1018" spans="1:2" x14ac:dyDescent="0.25">
      <c r="A1018" s="3">
        <v>40057</v>
      </c>
      <c r="B1018">
        <v>2843.7</v>
      </c>
    </row>
    <row r="1019" spans="1:2" x14ac:dyDescent="0.25">
      <c r="A1019" s="3">
        <v>40056</v>
      </c>
      <c r="B1019">
        <v>2830.27</v>
      </c>
    </row>
    <row r="1020" spans="1:2" x14ac:dyDescent="0.25">
      <c r="A1020" s="3">
        <v>40053</v>
      </c>
      <c r="B1020">
        <v>3046.78</v>
      </c>
    </row>
    <row r="1021" spans="1:2" x14ac:dyDescent="0.25">
      <c r="A1021" s="3">
        <v>40052</v>
      </c>
      <c r="B1021">
        <v>3156.3</v>
      </c>
    </row>
    <row r="1022" spans="1:2" x14ac:dyDescent="0.25">
      <c r="A1022" s="3">
        <v>40051</v>
      </c>
      <c r="B1022">
        <v>3172.39</v>
      </c>
    </row>
    <row r="1023" spans="1:2" x14ac:dyDescent="0.25">
      <c r="A1023" s="3">
        <v>40050</v>
      </c>
      <c r="B1023">
        <v>3109.83</v>
      </c>
    </row>
    <row r="1024" spans="1:2" x14ac:dyDescent="0.25">
      <c r="A1024" s="3">
        <v>40049</v>
      </c>
      <c r="B1024">
        <v>3229.6</v>
      </c>
    </row>
    <row r="1025" spans="1:2" x14ac:dyDescent="0.25">
      <c r="A1025" s="3">
        <v>40046</v>
      </c>
      <c r="B1025">
        <v>3203.62</v>
      </c>
    </row>
    <row r="1026" spans="1:2" x14ac:dyDescent="0.25">
      <c r="A1026" s="3">
        <v>40045</v>
      </c>
      <c r="B1026">
        <v>3144.39</v>
      </c>
    </row>
    <row r="1027" spans="1:2" x14ac:dyDescent="0.25">
      <c r="A1027" s="3">
        <v>40044</v>
      </c>
      <c r="B1027">
        <v>3014.57</v>
      </c>
    </row>
    <row r="1028" spans="1:2" x14ac:dyDescent="0.25">
      <c r="A1028" s="3">
        <v>40043</v>
      </c>
      <c r="B1028">
        <v>3171.99</v>
      </c>
    </row>
    <row r="1029" spans="1:2" x14ac:dyDescent="0.25">
      <c r="A1029" s="3">
        <v>40042</v>
      </c>
      <c r="B1029">
        <v>3140.27</v>
      </c>
    </row>
    <row r="1030" spans="1:2" x14ac:dyDescent="0.25">
      <c r="A1030" s="3">
        <v>40039</v>
      </c>
      <c r="B1030">
        <v>3344.46</v>
      </c>
    </row>
    <row r="1031" spans="1:2" x14ac:dyDescent="0.25">
      <c r="A1031" s="3">
        <v>40038</v>
      </c>
      <c r="B1031">
        <v>3440.82</v>
      </c>
    </row>
    <row r="1032" spans="1:2" x14ac:dyDescent="0.25">
      <c r="A1032" s="3">
        <v>40037</v>
      </c>
      <c r="B1032">
        <v>3397.4</v>
      </c>
    </row>
    <row r="1033" spans="1:2" x14ac:dyDescent="0.25">
      <c r="A1033" s="3">
        <v>40036</v>
      </c>
      <c r="B1033">
        <v>3556.38</v>
      </c>
    </row>
    <row r="1034" spans="1:2" x14ac:dyDescent="0.25">
      <c r="A1034" s="3">
        <v>40035</v>
      </c>
      <c r="B1034">
        <v>3544.54</v>
      </c>
    </row>
    <row r="1035" spans="1:2" x14ac:dyDescent="0.25">
      <c r="A1035" s="3">
        <v>40032</v>
      </c>
      <c r="B1035">
        <v>3555.1</v>
      </c>
    </row>
    <row r="1036" spans="1:2" x14ac:dyDescent="0.25">
      <c r="A1036" s="3">
        <v>40031</v>
      </c>
      <c r="B1036">
        <v>3663.12</v>
      </c>
    </row>
    <row r="1037" spans="1:2" x14ac:dyDescent="0.25">
      <c r="A1037" s="3">
        <v>40030</v>
      </c>
      <c r="B1037">
        <v>3740.94</v>
      </c>
    </row>
    <row r="1038" spans="1:2" x14ac:dyDescent="0.25">
      <c r="A1038" s="3">
        <v>40029</v>
      </c>
      <c r="B1038">
        <v>3786.62</v>
      </c>
    </row>
    <row r="1039" spans="1:2" x14ac:dyDescent="0.25">
      <c r="A1039" s="3">
        <v>40028</v>
      </c>
      <c r="B1039">
        <v>3787.03</v>
      </c>
    </row>
    <row r="1040" spans="1:2" x14ac:dyDescent="0.25">
      <c r="A1040" s="3">
        <v>40025</v>
      </c>
      <c r="B1040">
        <v>3734.62</v>
      </c>
    </row>
    <row r="1041" spans="1:2" x14ac:dyDescent="0.25">
      <c r="A1041" s="3">
        <v>40024</v>
      </c>
      <c r="B1041">
        <v>3634.82</v>
      </c>
    </row>
    <row r="1042" spans="1:2" x14ac:dyDescent="0.25">
      <c r="A1042" s="3">
        <v>40023</v>
      </c>
      <c r="B1042">
        <v>3558.51</v>
      </c>
    </row>
    <row r="1043" spans="1:2" x14ac:dyDescent="0.25">
      <c r="A1043" s="3">
        <v>40022</v>
      </c>
      <c r="B1043">
        <v>3755.82</v>
      </c>
    </row>
    <row r="1044" spans="1:2" x14ac:dyDescent="0.25">
      <c r="A1044" s="3">
        <v>40021</v>
      </c>
      <c r="B1044">
        <v>3743.63</v>
      </c>
    </row>
    <row r="1045" spans="1:2" x14ac:dyDescent="0.25">
      <c r="A1045" s="3">
        <v>40018</v>
      </c>
      <c r="B1045">
        <v>3667.56</v>
      </c>
    </row>
    <row r="1046" spans="1:2" x14ac:dyDescent="0.25">
      <c r="A1046" s="3">
        <v>40017</v>
      </c>
      <c r="B1046">
        <v>3651.97</v>
      </c>
    </row>
    <row r="1047" spans="1:2" x14ac:dyDescent="0.25">
      <c r="A1047" s="3">
        <v>40016</v>
      </c>
      <c r="B1047">
        <v>3606.92</v>
      </c>
    </row>
    <row r="1048" spans="1:2" x14ac:dyDescent="0.25">
      <c r="A1048" s="3">
        <v>40015</v>
      </c>
      <c r="B1048">
        <v>3539.83</v>
      </c>
    </row>
    <row r="1049" spans="1:2" x14ac:dyDescent="0.25">
      <c r="A1049" s="3">
        <v>40014</v>
      </c>
      <c r="B1049">
        <v>3591.12</v>
      </c>
    </row>
    <row r="1050" spans="1:2" x14ac:dyDescent="0.25">
      <c r="A1050" s="3">
        <v>40011</v>
      </c>
      <c r="B1050">
        <v>3519.81</v>
      </c>
    </row>
    <row r="1051" spans="1:2" x14ac:dyDescent="0.25">
      <c r="A1051" s="3">
        <v>40010</v>
      </c>
      <c r="B1051">
        <v>3501.24</v>
      </c>
    </row>
    <row r="1052" spans="1:2" x14ac:dyDescent="0.25">
      <c r="A1052" s="3">
        <v>40009</v>
      </c>
      <c r="B1052">
        <v>3493.31</v>
      </c>
    </row>
    <row r="1053" spans="1:2" x14ac:dyDescent="0.25">
      <c r="A1053" s="3">
        <v>40008</v>
      </c>
      <c r="B1053">
        <v>3454.75</v>
      </c>
    </row>
    <row r="1054" spans="1:2" x14ac:dyDescent="0.25">
      <c r="A1054" s="3">
        <v>40007</v>
      </c>
      <c r="B1054">
        <v>3361.01</v>
      </c>
    </row>
    <row r="1055" spans="1:2" x14ac:dyDescent="0.25">
      <c r="A1055" s="3">
        <v>40004</v>
      </c>
      <c r="B1055">
        <v>3398.31</v>
      </c>
    </row>
    <row r="1056" spans="1:2" x14ac:dyDescent="0.25">
      <c r="A1056" s="3">
        <v>40003</v>
      </c>
      <c r="B1056">
        <v>3396.3</v>
      </c>
    </row>
    <row r="1057" spans="1:2" x14ac:dyDescent="0.25">
      <c r="A1057" s="3">
        <v>40002</v>
      </c>
      <c r="B1057">
        <v>3352.27</v>
      </c>
    </row>
    <row r="1058" spans="1:2" x14ac:dyDescent="0.25">
      <c r="A1058" s="3">
        <v>40001</v>
      </c>
      <c r="B1058">
        <v>3340.49</v>
      </c>
    </row>
    <row r="1059" spans="1:2" x14ac:dyDescent="0.25">
      <c r="A1059" s="3">
        <v>40000</v>
      </c>
      <c r="B1059">
        <v>3374.75</v>
      </c>
    </row>
    <row r="1060" spans="1:2" x14ac:dyDescent="0.25">
      <c r="A1060" s="3">
        <v>39997</v>
      </c>
      <c r="B1060">
        <v>3327.14</v>
      </c>
    </row>
    <row r="1061" spans="1:2" x14ac:dyDescent="0.25">
      <c r="A1061" s="3">
        <v>39996</v>
      </c>
      <c r="B1061">
        <v>3282.36</v>
      </c>
    </row>
    <row r="1062" spans="1:2" x14ac:dyDescent="0.25">
      <c r="A1062" s="3">
        <v>39995</v>
      </c>
      <c r="B1062">
        <v>3237.9</v>
      </c>
    </row>
    <row r="1063" spans="1:2" x14ac:dyDescent="0.25">
      <c r="A1063" s="3">
        <v>39994</v>
      </c>
      <c r="B1063">
        <v>3166.47</v>
      </c>
    </row>
    <row r="1064" spans="1:2" x14ac:dyDescent="0.25">
      <c r="A1064" s="3">
        <v>39993</v>
      </c>
      <c r="B1064">
        <v>3179.97</v>
      </c>
    </row>
    <row r="1065" spans="1:2" x14ac:dyDescent="0.25">
      <c r="A1065" s="3">
        <v>39990</v>
      </c>
      <c r="B1065">
        <v>3128.42</v>
      </c>
    </row>
    <row r="1066" spans="1:2" x14ac:dyDescent="0.25">
      <c r="A1066" s="3">
        <v>39989</v>
      </c>
      <c r="B1066">
        <v>3117.92</v>
      </c>
    </row>
    <row r="1067" spans="1:2" x14ac:dyDescent="0.25">
      <c r="A1067" s="3">
        <v>39988</v>
      </c>
      <c r="B1067">
        <v>3120.73</v>
      </c>
    </row>
    <row r="1068" spans="1:2" x14ac:dyDescent="0.25">
      <c r="A1068" s="3">
        <v>39987</v>
      </c>
      <c r="B1068">
        <v>3083.9</v>
      </c>
    </row>
    <row r="1069" spans="1:2" x14ac:dyDescent="0.25">
      <c r="A1069" s="3">
        <v>39986</v>
      </c>
      <c r="B1069">
        <v>3082.56</v>
      </c>
    </row>
    <row r="1070" spans="1:2" x14ac:dyDescent="0.25">
      <c r="A1070" s="3">
        <v>39983</v>
      </c>
      <c r="B1070">
        <v>3080</v>
      </c>
    </row>
    <row r="1071" spans="1:2" x14ac:dyDescent="0.25">
      <c r="A1071" s="3">
        <v>39982</v>
      </c>
      <c r="B1071">
        <v>3057.43</v>
      </c>
    </row>
    <row r="1072" spans="1:2" x14ac:dyDescent="0.25">
      <c r="A1072" s="3">
        <v>39981</v>
      </c>
      <c r="B1072">
        <v>3010.59</v>
      </c>
    </row>
    <row r="1073" spans="1:2" x14ac:dyDescent="0.25">
      <c r="A1073" s="3">
        <v>39980</v>
      </c>
      <c r="B1073">
        <v>2961.22</v>
      </c>
    </row>
    <row r="1074" spans="1:2" x14ac:dyDescent="0.25">
      <c r="A1074" s="3">
        <v>39979</v>
      </c>
      <c r="B1074">
        <v>2966.19</v>
      </c>
    </row>
    <row r="1075" spans="1:2" x14ac:dyDescent="0.25">
      <c r="A1075" s="3">
        <v>39976</v>
      </c>
      <c r="B1075">
        <v>2906.29</v>
      </c>
    </row>
    <row r="1076" spans="1:2" x14ac:dyDescent="0.25">
      <c r="A1076" s="3">
        <v>39975</v>
      </c>
      <c r="B1076">
        <v>2961.63</v>
      </c>
    </row>
    <row r="1077" spans="1:2" x14ac:dyDescent="0.25">
      <c r="A1077" s="3">
        <v>39974</v>
      </c>
      <c r="B1077">
        <v>2989.6</v>
      </c>
    </row>
    <row r="1078" spans="1:2" x14ac:dyDescent="0.25">
      <c r="A1078" s="3">
        <v>39973</v>
      </c>
      <c r="B1078">
        <v>2960.56</v>
      </c>
    </row>
    <row r="1079" spans="1:2" x14ac:dyDescent="0.25">
      <c r="A1079" s="3">
        <v>39972</v>
      </c>
      <c r="B1079">
        <v>2948.48</v>
      </c>
    </row>
    <row r="1080" spans="1:2" x14ac:dyDescent="0.25">
      <c r="A1080" s="3">
        <v>39969</v>
      </c>
      <c r="B1080">
        <v>2939.31</v>
      </c>
    </row>
    <row r="1081" spans="1:2" x14ac:dyDescent="0.25">
      <c r="A1081" s="3">
        <v>39968</v>
      </c>
      <c r="B1081">
        <v>2953.75</v>
      </c>
    </row>
    <row r="1082" spans="1:2" x14ac:dyDescent="0.25">
      <c r="A1082" s="3">
        <v>39967</v>
      </c>
      <c r="B1082">
        <v>2939.39</v>
      </c>
    </row>
    <row r="1083" spans="1:2" x14ac:dyDescent="0.25">
      <c r="A1083" s="3">
        <v>39966</v>
      </c>
      <c r="B1083">
        <v>2865.1</v>
      </c>
    </row>
    <row r="1084" spans="1:2" x14ac:dyDescent="0.25">
      <c r="A1084" s="3">
        <v>39965</v>
      </c>
      <c r="B1084">
        <v>2858.34</v>
      </c>
    </row>
    <row r="1085" spans="1:2" x14ac:dyDescent="0.25">
      <c r="A1085" s="3">
        <v>39960</v>
      </c>
      <c r="B1085">
        <v>2759.71</v>
      </c>
    </row>
    <row r="1086" spans="1:2" x14ac:dyDescent="0.25">
      <c r="A1086" s="3">
        <v>39959</v>
      </c>
      <c r="B1086">
        <v>2719.76</v>
      </c>
    </row>
    <row r="1087" spans="1:2" x14ac:dyDescent="0.25">
      <c r="A1087" s="3">
        <v>39958</v>
      </c>
      <c r="B1087">
        <v>2752.72</v>
      </c>
    </row>
    <row r="1088" spans="1:2" x14ac:dyDescent="0.25">
      <c r="A1088" s="3">
        <v>39955</v>
      </c>
      <c r="B1088">
        <v>2740.68</v>
      </c>
    </row>
    <row r="1089" spans="1:2" x14ac:dyDescent="0.25">
      <c r="A1089" s="3">
        <v>39954</v>
      </c>
      <c r="B1089">
        <v>2750.01</v>
      </c>
    </row>
    <row r="1090" spans="1:2" x14ac:dyDescent="0.25">
      <c r="A1090" s="3">
        <v>39953</v>
      </c>
      <c r="B1090">
        <v>2812.87</v>
      </c>
    </row>
    <row r="1091" spans="1:2" x14ac:dyDescent="0.25">
      <c r="A1091" s="3">
        <v>39952</v>
      </c>
      <c r="B1091">
        <v>2840.08</v>
      </c>
    </row>
    <row r="1092" spans="1:2" x14ac:dyDescent="0.25">
      <c r="A1092" s="3">
        <v>39951</v>
      </c>
      <c r="B1092">
        <v>2810.57</v>
      </c>
    </row>
    <row r="1093" spans="1:2" x14ac:dyDescent="0.25">
      <c r="A1093" s="3">
        <v>39948</v>
      </c>
      <c r="B1093">
        <v>2796.12</v>
      </c>
    </row>
    <row r="1094" spans="1:2" x14ac:dyDescent="0.25">
      <c r="A1094" s="3">
        <v>39947</v>
      </c>
      <c r="B1094">
        <v>2792.6</v>
      </c>
    </row>
    <row r="1095" spans="1:2" x14ac:dyDescent="0.25">
      <c r="A1095" s="3">
        <v>39946</v>
      </c>
      <c r="B1095">
        <v>2814.01</v>
      </c>
    </row>
    <row r="1096" spans="1:2" x14ac:dyDescent="0.25">
      <c r="A1096" s="3">
        <v>39945</v>
      </c>
      <c r="B1096">
        <v>2788.56</v>
      </c>
    </row>
    <row r="1097" spans="1:2" x14ac:dyDescent="0.25">
      <c r="A1097" s="3">
        <v>39944</v>
      </c>
      <c r="B1097">
        <v>2725.32</v>
      </c>
    </row>
    <row r="1098" spans="1:2" x14ac:dyDescent="0.25">
      <c r="A1098" s="3">
        <v>39941</v>
      </c>
      <c r="B1098">
        <v>2789.22</v>
      </c>
    </row>
    <row r="1099" spans="1:2" x14ac:dyDescent="0.25">
      <c r="A1099" s="3">
        <v>39940</v>
      </c>
      <c r="B1099">
        <v>2767.08</v>
      </c>
    </row>
    <row r="1100" spans="1:2" x14ac:dyDescent="0.25">
      <c r="A1100" s="3">
        <v>39939</v>
      </c>
      <c r="B1100">
        <v>2764.98</v>
      </c>
    </row>
    <row r="1101" spans="1:2" x14ac:dyDescent="0.25">
      <c r="A1101" s="3">
        <v>39938</v>
      </c>
      <c r="B1101">
        <v>2727.01</v>
      </c>
    </row>
    <row r="1102" spans="1:2" x14ac:dyDescent="0.25">
      <c r="A1102" s="3">
        <v>39937</v>
      </c>
      <c r="B1102">
        <v>2714.3</v>
      </c>
    </row>
    <row r="1103" spans="1:2" x14ac:dyDescent="0.25">
      <c r="A1103" s="3">
        <v>39933</v>
      </c>
      <c r="B1103">
        <v>2622.93</v>
      </c>
    </row>
    <row r="1104" spans="1:2" x14ac:dyDescent="0.25">
      <c r="A1104" s="3">
        <v>39932</v>
      </c>
      <c r="B1104">
        <v>2605.37</v>
      </c>
    </row>
    <row r="1105" spans="1:2" x14ac:dyDescent="0.25">
      <c r="A1105" s="3">
        <v>39931</v>
      </c>
      <c r="B1105">
        <v>2518.5300000000002</v>
      </c>
    </row>
    <row r="1106" spans="1:2" x14ac:dyDescent="0.25">
      <c r="A1106" s="3">
        <v>39930</v>
      </c>
      <c r="B1106">
        <v>2513.29</v>
      </c>
    </row>
    <row r="1107" spans="1:2" x14ac:dyDescent="0.25">
      <c r="A1107" s="3">
        <v>39927</v>
      </c>
      <c r="B1107">
        <v>2572.89</v>
      </c>
    </row>
    <row r="1108" spans="1:2" x14ac:dyDescent="0.25">
      <c r="A1108" s="3">
        <v>39926</v>
      </c>
      <c r="B1108">
        <v>2593.56</v>
      </c>
    </row>
    <row r="1109" spans="1:2" x14ac:dyDescent="0.25">
      <c r="A1109" s="3">
        <v>39925</v>
      </c>
      <c r="B1109">
        <v>2576.2800000000002</v>
      </c>
    </row>
    <row r="1110" spans="1:2" x14ac:dyDescent="0.25">
      <c r="A1110" s="3">
        <v>39924</v>
      </c>
      <c r="B1110">
        <v>2675.44</v>
      </c>
    </row>
    <row r="1111" spans="1:2" x14ac:dyDescent="0.25">
      <c r="A1111" s="3">
        <v>39923</v>
      </c>
      <c r="B1111">
        <v>2707.67</v>
      </c>
    </row>
    <row r="1112" spans="1:2" x14ac:dyDescent="0.25">
      <c r="A1112" s="3">
        <v>39920</v>
      </c>
      <c r="B1112">
        <v>2650.69</v>
      </c>
    </row>
    <row r="1113" spans="1:2" x14ac:dyDescent="0.25">
      <c r="A1113" s="3">
        <v>39919</v>
      </c>
      <c r="B1113">
        <v>2687.11</v>
      </c>
    </row>
    <row r="1114" spans="1:2" x14ac:dyDescent="0.25">
      <c r="A1114" s="3">
        <v>39918</v>
      </c>
      <c r="B1114">
        <v>2686.99</v>
      </c>
    </row>
    <row r="1115" spans="1:2" x14ac:dyDescent="0.25">
      <c r="A1115" s="3">
        <v>39917</v>
      </c>
      <c r="B1115">
        <v>2676.87</v>
      </c>
    </row>
    <row r="1116" spans="1:2" x14ac:dyDescent="0.25">
      <c r="A1116" s="3">
        <v>39916</v>
      </c>
      <c r="B1116">
        <v>2656.52</v>
      </c>
    </row>
    <row r="1117" spans="1:2" x14ac:dyDescent="0.25">
      <c r="A1117" s="3">
        <v>39913</v>
      </c>
      <c r="B1117">
        <v>2595.5300000000002</v>
      </c>
    </row>
    <row r="1118" spans="1:2" x14ac:dyDescent="0.25">
      <c r="A1118" s="3">
        <v>39912</v>
      </c>
      <c r="B1118">
        <v>2517.67</v>
      </c>
    </row>
    <row r="1119" spans="1:2" x14ac:dyDescent="0.25">
      <c r="A1119" s="3">
        <v>39911</v>
      </c>
      <c r="B1119">
        <v>2479.35</v>
      </c>
    </row>
    <row r="1120" spans="1:2" x14ac:dyDescent="0.25">
      <c r="A1120" s="3">
        <v>39910</v>
      </c>
      <c r="B1120">
        <v>2576.9499999999998</v>
      </c>
    </row>
    <row r="1121" spans="1:2" x14ac:dyDescent="0.25">
      <c r="A1121" s="3">
        <v>39906</v>
      </c>
      <c r="B1121">
        <v>2570.5</v>
      </c>
    </row>
    <row r="1122" spans="1:2" x14ac:dyDescent="0.25">
      <c r="A1122" s="3">
        <v>39905</v>
      </c>
      <c r="B1122">
        <v>2576.4</v>
      </c>
    </row>
    <row r="1123" spans="1:2" x14ac:dyDescent="0.25">
      <c r="A1123" s="3">
        <v>39904</v>
      </c>
      <c r="B1123">
        <v>2548.2199999999998</v>
      </c>
    </row>
    <row r="1124" spans="1:2" x14ac:dyDescent="0.25">
      <c r="A1124" s="3">
        <v>39903</v>
      </c>
      <c r="B1124">
        <v>2507.79</v>
      </c>
    </row>
    <row r="1125" spans="1:2" x14ac:dyDescent="0.25">
      <c r="A1125" s="3">
        <v>39902</v>
      </c>
      <c r="B1125">
        <v>2484.4899999999998</v>
      </c>
    </row>
    <row r="1126" spans="1:2" x14ac:dyDescent="0.25">
      <c r="A1126" s="3">
        <v>39899</v>
      </c>
      <c r="B1126">
        <v>2498.9299999999998</v>
      </c>
    </row>
    <row r="1127" spans="1:2" x14ac:dyDescent="0.25">
      <c r="A1127" s="3">
        <v>39898</v>
      </c>
      <c r="B1127">
        <v>2479.79</v>
      </c>
    </row>
    <row r="1128" spans="1:2" x14ac:dyDescent="0.25">
      <c r="A1128" s="3">
        <v>39897</v>
      </c>
      <c r="B1128">
        <v>2401.33</v>
      </c>
    </row>
    <row r="1129" spans="1:2" x14ac:dyDescent="0.25">
      <c r="A1129" s="3">
        <v>39896</v>
      </c>
      <c r="B1129">
        <v>2451.7800000000002</v>
      </c>
    </row>
    <row r="1130" spans="1:2" x14ac:dyDescent="0.25">
      <c r="A1130" s="3">
        <v>39895</v>
      </c>
      <c r="B1130">
        <v>2439.4</v>
      </c>
    </row>
    <row r="1131" spans="1:2" x14ac:dyDescent="0.25">
      <c r="A1131" s="3">
        <v>39892</v>
      </c>
      <c r="B1131">
        <v>2379.84</v>
      </c>
    </row>
    <row r="1132" spans="1:2" x14ac:dyDescent="0.25">
      <c r="A1132" s="3">
        <v>39891</v>
      </c>
      <c r="B1132">
        <v>2382.56</v>
      </c>
    </row>
    <row r="1133" spans="1:2" x14ac:dyDescent="0.25">
      <c r="A1133" s="3">
        <v>39890</v>
      </c>
      <c r="B1133">
        <v>2332.65</v>
      </c>
    </row>
    <row r="1134" spans="1:2" x14ac:dyDescent="0.25">
      <c r="A1134" s="3">
        <v>39889</v>
      </c>
      <c r="B1134">
        <v>2322.4</v>
      </c>
    </row>
    <row r="1135" spans="1:2" x14ac:dyDescent="0.25">
      <c r="A1135" s="3">
        <v>39888</v>
      </c>
      <c r="B1135">
        <v>2241.61</v>
      </c>
    </row>
    <row r="1136" spans="1:2" x14ac:dyDescent="0.25">
      <c r="A1136" s="3">
        <v>39885</v>
      </c>
      <c r="B1136">
        <v>2205.42</v>
      </c>
    </row>
    <row r="1137" spans="1:2" x14ac:dyDescent="0.25">
      <c r="A1137" s="3">
        <v>39884</v>
      </c>
      <c r="B1137">
        <v>2215.6999999999998</v>
      </c>
    </row>
    <row r="1138" spans="1:2" x14ac:dyDescent="0.25">
      <c r="A1138" s="3">
        <v>39883</v>
      </c>
      <c r="B1138">
        <v>2220.38</v>
      </c>
    </row>
    <row r="1139" spans="1:2" x14ac:dyDescent="0.25">
      <c r="A1139" s="3">
        <v>39882</v>
      </c>
      <c r="B1139">
        <v>2240.7800000000002</v>
      </c>
    </row>
    <row r="1140" spans="1:2" x14ac:dyDescent="0.25">
      <c r="A1140" s="3">
        <v>39881</v>
      </c>
      <c r="B1140">
        <v>2202.5300000000002</v>
      </c>
    </row>
    <row r="1141" spans="1:2" x14ac:dyDescent="0.25">
      <c r="A1141" s="3">
        <v>39878</v>
      </c>
      <c r="B1141">
        <v>2286.58</v>
      </c>
    </row>
    <row r="1142" spans="1:2" x14ac:dyDescent="0.25">
      <c r="A1142" s="3">
        <v>39877</v>
      </c>
      <c r="B1142">
        <v>2304.92</v>
      </c>
    </row>
    <row r="1143" spans="1:2" x14ac:dyDescent="0.25">
      <c r="A1143" s="3">
        <v>39876</v>
      </c>
      <c r="B1143">
        <v>2285.15</v>
      </c>
    </row>
    <row r="1144" spans="1:2" x14ac:dyDescent="0.25">
      <c r="A1144" s="3">
        <v>39875</v>
      </c>
      <c r="B1144">
        <v>2142.15</v>
      </c>
    </row>
    <row r="1145" spans="1:2" x14ac:dyDescent="0.25">
      <c r="A1145" s="3">
        <v>39874</v>
      </c>
      <c r="B1145">
        <v>2164.67</v>
      </c>
    </row>
    <row r="1146" spans="1:2" x14ac:dyDescent="0.25">
      <c r="A1146" s="3">
        <v>39871</v>
      </c>
      <c r="B1146">
        <v>2140.4899999999998</v>
      </c>
    </row>
    <row r="1147" spans="1:2" x14ac:dyDescent="0.25">
      <c r="A1147" s="3">
        <v>39870</v>
      </c>
      <c r="B1147">
        <v>2190.19</v>
      </c>
    </row>
    <row r="1148" spans="1:2" x14ac:dyDescent="0.25">
      <c r="A1148" s="3">
        <v>39869</v>
      </c>
      <c r="B1148">
        <v>2304.25</v>
      </c>
    </row>
    <row r="1149" spans="1:2" x14ac:dyDescent="0.25">
      <c r="A1149" s="3">
        <v>39868</v>
      </c>
      <c r="B1149">
        <v>2301.85</v>
      </c>
    </row>
    <row r="1150" spans="1:2" x14ac:dyDescent="0.25">
      <c r="A1150" s="3">
        <v>39867</v>
      </c>
      <c r="B1150">
        <v>2410.48</v>
      </c>
    </row>
    <row r="1151" spans="1:2" x14ac:dyDescent="0.25">
      <c r="A1151" s="3">
        <v>39864</v>
      </c>
      <c r="B1151">
        <v>2344.3200000000002</v>
      </c>
    </row>
    <row r="1152" spans="1:2" x14ac:dyDescent="0.25">
      <c r="A1152" s="3">
        <v>39863</v>
      </c>
      <c r="B1152">
        <v>2298.41</v>
      </c>
    </row>
    <row r="1153" spans="1:2" x14ac:dyDescent="0.25">
      <c r="A1153" s="3">
        <v>39862</v>
      </c>
      <c r="B1153">
        <v>2275.84</v>
      </c>
    </row>
    <row r="1154" spans="1:2" x14ac:dyDescent="0.25">
      <c r="A1154" s="3">
        <v>39861</v>
      </c>
      <c r="B1154">
        <v>2385.29</v>
      </c>
    </row>
    <row r="1155" spans="1:2" x14ac:dyDescent="0.25">
      <c r="A1155" s="3">
        <v>39860</v>
      </c>
      <c r="B1155">
        <v>2462.25</v>
      </c>
    </row>
    <row r="1156" spans="1:2" x14ac:dyDescent="0.25">
      <c r="A1156" s="3">
        <v>39857</v>
      </c>
      <c r="B1156">
        <v>2399.0700000000002</v>
      </c>
    </row>
    <row r="1157" spans="1:2" x14ac:dyDescent="0.25">
      <c r="A1157" s="3">
        <v>39856</v>
      </c>
      <c r="B1157">
        <v>2318.34</v>
      </c>
    </row>
    <row r="1158" spans="1:2" x14ac:dyDescent="0.25">
      <c r="A1158" s="3">
        <v>39855</v>
      </c>
      <c r="B1158">
        <v>2331.14</v>
      </c>
    </row>
    <row r="1159" spans="1:2" x14ac:dyDescent="0.25">
      <c r="A1159" s="3">
        <v>39854</v>
      </c>
      <c r="B1159">
        <v>2326.75</v>
      </c>
    </row>
    <row r="1160" spans="1:2" x14ac:dyDescent="0.25">
      <c r="A1160" s="3">
        <v>39853</v>
      </c>
      <c r="B1160">
        <v>2296.67</v>
      </c>
    </row>
    <row r="1161" spans="1:2" x14ac:dyDescent="0.25">
      <c r="A1161" s="3">
        <v>39850</v>
      </c>
      <c r="B1161">
        <v>2237.2800000000002</v>
      </c>
    </row>
    <row r="1162" spans="1:2" x14ac:dyDescent="0.25">
      <c r="A1162" s="3">
        <v>39849</v>
      </c>
      <c r="B1162">
        <v>2150.9699999999998</v>
      </c>
    </row>
    <row r="1163" spans="1:2" x14ac:dyDescent="0.25">
      <c r="A1163" s="3">
        <v>39848</v>
      </c>
      <c r="B1163">
        <v>2166.41</v>
      </c>
    </row>
    <row r="1164" spans="1:2" x14ac:dyDescent="0.25">
      <c r="A1164" s="3">
        <v>39847</v>
      </c>
      <c r="B1164">
        <v>2108.91</v>
      </c>
    </row>
    <row r="1165" spans="1:2" x14ac:dyDescent="0.25">
      <c r="A1165" s="3">
        <v>39846</v>
      </c>
      <c r="B1165">
        <v>2057.06</v>
      </c>
    </row>
    <row r="1166" spans="1:2" x14ac:dyDescent="0.25">
      <c r="A1166" s="3">
        <v>39836</v>
      </c>
      <c r="B1166">
        <v>2032.68</v>
      </c>
    </row>
    <row r="1167" spans="1:2" x14ac:dyDescent="0.25">
      <c r="A1167" s="3">
        <v>39835</v>
      </c>
      <c r="B1167">
        <v>2044.55</v>
      </c>
    </row>
    <row r="1168" spans="1:2" x14ac:dyDescent="0.25">
      <c r="A1168" s="3">
        <v>39834</v>
      </c>
      <c r="B1168">
        <v>2021.71</v>
      </c>
    </row>
    <row r="1169" spans="1:2" x14ac:dyDescent="0.25">
      <c r="A1169" s="3">
        <v>39833</v>
      </c>
      <c r="B1169">
        <v>2025.19</v>
      </c>
    </row>
    <row r="1170" spans="1:2" x14ac:dyDescent="0.25">
      <c r="A1170" s="3">
        <v>39832</v>
      </c>
      <c r="B1170">
        <v>2012.47</v>
      </c>
    </row>
    <row r="1171" spans="1:2" x14ac:dyDescent="0.25">
      <c r="A1171" s="3">
        <v>39829</v>
      </c>
      <c r="B1171">
        <v>1990.21</v>
      </c>
    </row>
    <row r="1172" spans="1:2" x14ac:dyDescent="0.25">
      <c r="A1172" s="3">
        <v>39828</v>
      </c>
      <c r="B1172">
        <v>1954.87</v>
      </c>
    </row>
    <row r="1173" spans="1:2" x14ac:dyDescent="0.25">
      <c r="A1173" s="3">
        <v>39827</v>
      </c>
      <c r="B1173">
        <v>1955.24</v>
      </c>
    </row>
    <row r="1174" spans="1:2" x14ac:dyDescent="0.25">
      <c r="A1174" s="3">
        <v>39826</v>
      </c>
      <c r="B1174">
        <v>1876.19</v>
      </c>
    </row>
    <row r="1175" spans="1:2" x14ac:dyDescent="0.25">
      <c r="A1175" s="3">
        <v>39825</v>
      </c>
      <c r="B1175">
        <v>1920.69</v>
      </c>
    </row>
    <row r="1176" spans="1:2" x14ac:dyDescent="0.25">
      <c r="A1176" s="3">
        <v>39822</v>
      </c>
      <c r="B1176">
        <v>1918.37</v>
      </c>
    </row>
    <row r="1177" spans="1:2" x14ac:dyDescent="0.25">
      <c r="A1177" s="3">
        <v>39821</v>
      </c>
      <c r="B1177">
        <v>1887.99</v>
      </c>
    </row>
    <row r="1178" spans="1:2" x14ac:dyDescent="0.25">
      <c r="A1178" s="3">
        <v>39820</v>
      </c>
      <c r="B1178">
        <v>1931.18</v>
      </c>
    </row>
    <row r="1179" spans="1:2" x14ac:dyDescent="0.25">
      <c r="A1179" s="3">
        <v>39819</v>
      </c>
      <c r="B1179">
        <v>1942.8</v>
      </c>
    </row>
    <row r="1180" spans="1:2" x14ac:dyDescent="0.25">
      <c r="A1180" s="3">
        <v>39818</v>
      </c>
      <c r="B1180">
        <v>1882.96</v>
      </c>
    </row>
    <row r="1181" spans="1:2" x14ac:dyDescent="0.25">
      <c r="A1181" s="3">
        <v>39813</v>
      </c>
      <c r="B1181">
        <v>1817.72</v>
      </c>
    </row>
    <row r="1182" spans="1:2" x14ac:dyDescent="0.25">
      <c r="A1182" s="3">
        <v>39812</v>
      </c>
      <c r="B1182">
        <v>1833.44</v>
      </c>
    </row>
    <row r="1183" spans="1:2" x14ac:dyDescent="0.25">
      <c r="A1183" s="3">
        <v>39811</v>
      </c>
      <c r="B1183">
        <v>1854.76</v>
      </c>
    </row>
    <row r="1184" spans="1:2" x14ac:dyDescent="0.25">
      <c r="A1184" s="3">
        <v>39808</v>
      </c>
      <c r="B1184">
        <v>1862.1</v>
      </c>
    </row>
    <row r="1185" spans="1:2" x14ac:dyDescent="0.25">
      <c r="A1185" s="3">
        <v>39807</v>
      </c>
      <c r="B1185">
        <v>1870.77</v>
      </c>
    </row>
    <row r="1186" spans="1:2" x14ac:dyDescent="0.25">
      <c r="A1186" s="3">
        <v>39806</v>
      </c>
      <c r="B1186">
        <v>1887.08</v>
      </c>
    </row>
    <row r="1187" spans="1:2" x14ac:dyDescent="0.25">
      <c r="A1187" s="3">
        <v>39805</v>
      </c>
      <c r="B1187">
        <v>1918.96</v>
      </c>
    </row>
    <row r="1188" spans="1:2" x14ac:dyDescent="0.25">
      <c r="A1188" s="3">
        <v>39804</v>
      </c>
      <c r="B1188">
        <v>2017.55</v>
      </c>
    </row>
    <row r="1189" spans="1:2" x14ac:dyDescent="0.25">
      <c r="A1189" s="3">
        <v>39801</v>
      </c>
      <c r="B1189">
        <v>2052.11</v>
      </c>
    </row>
    <row r="1190" spans="1:2" x14ac:dyDescent="0.25">
      <c r="A1190" s="3">
        <v>39800</v>
      </c>
      <c r="B1190">
        <v>2045.1</v>
      </c>
    </row>
    <row r="1191" spans="1:2" x14ac:dyDescent="0.25">
      <c r="A1191" s="3">
        <v>39799</v>
      </c>
      <c r="B1191">
        <v>2001.42</v>
      </c>
    </row>
    <row r="1192" spans="1:2" x14ac:dyDescent="0.25">
      <c r="A1192" s="3">
        <v>39798</v>
      </c>
      <c r="B1192">
        <v>1994.45</v>
      </c>
    </row>
    <row r="1193" spans="1:2" x14ac:dyDescent="0.25">
      <c r="A1193" s="3">
        <v>39797</v>
      </c>
      <c r="B1193">
        <v>1975.03</v>
      </c>
    </row>
    <row r="1194" spans="1:2" x14ac:dyDescent="0.25">
      <c r="A1194" s="3">
        <v>39794</v>
      </c>
      <c r="B1194">
        <v>1960.38</v>
      </c>
    </row>
    <row r="1195" spans="1:2" x14ac:dyDescent="0.25">
      <c r="A1195" s="3">
        <v>39793</v>
      </c>
      <c r="B1195">
        <v>2046.34</v>
      </c>
    </row>
    <row r="1196" spans="1:2" x14ac:dyDescent="0.25">
      <c r="A1196" s="3">
        <v>39792</v>
      </c>
      <c r="B1196">
        <v>2096.39</v>
      </c>
    </row>
    <row r="1197" spans="1:2" x14ac:dyDescent="0.25">
      <c r="A1197" s="3">
        <v>39791</v>
      </c>
      <c r="B1197">
        <v>2040.85</v>
      </c>
    </row>
    <row r="1198" spans="1:2" x14ac:dyDescent="0.25">
      <c r="A1198" s="3">
        <v>39790</v>
      </c>
      <c r="B1198">
        <v>2095.04</v>
      </c>
    </row>
    <row r="1199" spans="1:2" x14ac:dyDescent="0.25">
      <c r="A1199" s="3">
        <v>39787</v>
      </c>
      <c r="B1199">
        <v>2013.18</v>
      </c>
    </row>
    <row r="1200" spans="1:2" x14ac:dyDescent="0.25">
      <c r="A1200" s="3">
        <v>39786</v>
      </c>
      <c r="B1200">
        <v>1982.93</v>
      </c>
    </row>
    <row r="1201" spans="1:2" x14ac:dyDescent="0.25">
      <c r="A1201" s="3">
        <v>39785</v>
      </c>
      <c r="B1201">
        <v>1952.67</v>
      </c>
    </row>
    <row r="1202" spans="1:2" x14ac:dyDescent="0.25">
      <c r="A1202" s="3">
        <v>39784</v>
      </c>
      <c r="B1202">
        <v>1868.63</v>
      </c>
    </row>
    <row r="1203" spans="1:2" x14ac:dyDescent="0.25">
      <c r="A1203" s="3">
        <v>39783</v>
      </c>
      <c r="B1203">
        <v>1864.21</v>
      </c>
    </row>
    <row r="1204" spans="1:2" x14ac:dyDescent="0.25">
      <c r="A1204" s="3">
        <v>39780</v>
      </c>
      <c r="B1204">
        <v>1829.92</v>
      </c>
    </row>
    <row r="1205" spans="1:2" x14ac:dyDescent="0.25">
      <c r="A1205" s="3">
        <v>39779</v>
      </c>
      <c r="B1205">
        <v>1870.47</v>
      </c>
    </row>
    <row r="1206" spans="1:2" x14ac:dyDescent="0.25">
      <c r="A1206" s="3">
        <v>39778</v>
      </c>
      <c r="B1206">
        <v>1843.5</v>
      </c>
    </row>
    <row r="1207" spans="1:2" x14ac:dyDescent="0.25">
      <c r="A1207" s="3">
        <v>39777</v>
      </c>
      <c r="B1207">
        <v>1834.29</v>
      </c>
    </row>
    <row r="1208" spans="1:2" x14ac:dyDescent="0.25">
      <c r="A1208" s="3">
        <v>39776</v>
      </c>
      <c r="B1208">
        <v>1837.64</v>
      </c>
    </row>
    <row r="1209" spans="1:2" x14ac:dyDescent="0.25">
      <c r="A1209" s="3">
        <v>39773</v>
      </c>
      <c r="B1209">
        <v>1920.74</v>
      </c>
    </row>
    <row r="1210" spans="1:2" x14ac:dyDescent="0.25">
      <c r="A1210" s="3">
        <v>39772</v>
      </c>
      <c r="B1210">
        <v>1932.43</v>
      </c>
    </row>
    <row r="1211" spans="1:2" x14ac:dyDescent="0.25">
      <c r="A1211" s="3">
        <v>39771</v>
      </c>
      <c r="B1211">
        <v>1953.16</v>
      </c>
    </row>
    <row r="1212" spans="1:2" x14ac:dyDescent="0.25">
      <c r="A1212" s="3">
        <v>39770</v>
      </c>
      <c r="B1212">
        <v>1839.82</v>
      </c>
    </row>
    <row r="1213" spans="1:2" x14ac:dyDescent="0.25">
      <c r="A1213" s="3">
        <v>39769</v>
      </c>
      <c r="B1213">
        <v>1987.23</v>
      </c>
    </row>
    <row r="1214" spans="1:2" x14ac:dyDescent="0.25">
      <c r="A1214" s="3">
        <v>39766</v>
      </c>
      <c r="B1214">
        <v>1943.65</v>
      </c>
    </row>
    <row r="1215" spans="1:2" x14ac:dyDescent="0.25">
      <c r="A1215" s="3">
        <v>39765</v>
      </c>
      <c r="B1215">
        <v>1874.08</v>
      </c>
    </row>
    <row r="1216" spans="1:2" x14ac:dyDescent="0.25">
      <c r="A1216" s="3">
        <v>39764</v>
      </c>
      <c r="B1216">
        <v>1801.82</v>
      </c>
    </row>
    <row r="1217" spans="1:2" x14ac:dyDescent="0.25">
      <c r="A1217" s="3">
        <v>39763</v>
      </c>
      <c r="B1217">
        <v>1781.36</v>
      </c>
    </row>
    <row r="1218" spans="1:2" x14ac:dyDescent="0.25">
      <c r="A1218" s="3">
        <v>39762</v>
      </c>
      <c r="B1218">
        <v>1801.67</v>
      </c>
    </row>
    <row r="1219" spans="1:2" x14ac:dyDescent="0.25">
      <c r="A1219" s="3">
        <v>39759</v>
      </c>
      <c r="B1219">
        <v>1677.83</v>
      </c>
    </row>
    <row r="1220" spans="1:2" x14ac:dyDescent="0.25">
      <c r="A1220" s="3">
        <v>39758</v>
      </c>
      <c r="B1220">
        <v>1649.78</v>
      </c>
    </row>
    <row r="1221" spans="1:2" x14ac:dyDescent="0.25">
      <c r="A1221" s="3">
        <v>39757</v>
      </c>
      <c r="B1221">
        <v>1691.42</v>
      </c>
    </row>
    <row r="1222" spans="1:2" x14ac:dyDescent="0.25">
      <c r="A1222" s="3">
        <v>39756</v>
      </c>
      <c r="B1222">
        <v>1627.76</v>
      </c>
    </row>
    <row r="1223" spans="1:2" x14ac:dyDescent="0.25">
      <c r="A1223" s="3">
        <v>39755</v>
      </c>
      <c r="B1223">
        <v>1653.54</v>
      </c>
    </row>
    <row r="1224" spans="1:2" x14ac:dyDescent="0.25">
      <c r="A1224" s="3">
        <v>39752</v>
      </c>
      <c r="B1224">
        <v>1663.66</v>
      </c>
    </row>
    <row r="1225" spans="1:2" x14ac:dyDescent="0.25">
      <c r="A1225" s="3">
        <v>39751</v>
      </c>
      <c r="B1225">
        <v>1697.66</v>
      </c>
    </row>
    <row r="1226" spans="1:2" x14ac:dyDescent="0.25">
      <c r="A1226" s="3">
        <v>39750</v>
      </c>
      <c r="B1226">
        <v>1658.22</v>
      </c>
    </row>
    <row r="1227" spans="1:2" x14ac:dyDescent="0.25">
      <c r="A1227" s="3">
        <v>39749</v>
      </c>
      <c r="B1227">
        <v>1705.82</v>
      </c>
    </row>
    <row r="1228" spans="1:2" x14ac:dyDescent="0.25">
      <c r="A1228" s="3">
        <v>39748</v>
      </c>
      <c r="B1228">
        <v>1654.67</v>
      </c>
    </row>
    <row r="1229" spans="1:2" x14ac:dyDescent="0.25">
      <c r="A1229" s="3">
        <v>39745</v>
      </c>
      <c r="B1229">
        <v>1781.6</v>
      </c>
    </row>
    <row r="1230" spans="1:2" x14ac:dyDescent="0.25">
      <c r="A1230" s="3">
        <v>39744</v>
      </c>
      <c r="B1230">
        <v>1834.78</v>
      </c>
    </row>
    <row r="1231" spans="1:2" x14ac:dyDescent="0.25">
      <c r="A1231" s="3">
        <v>39743</v>
      </c>
      <c r="B1231">
        <v>1833.32</v>
      </c>
    </row>
    <row r="1232" spans="1:2" x14ac:dyDescent="0.25">
      <c r="A1232" s="3">
        <v>39742</v>
      </c>
      <c r="B1232">
        <v>1881.41</v>
      </c>
    </row>
    <row r="1233" spans="1:2" x14ac:dyDescent="0.25">
      <c r="A1233" s="3">
        <v>39741</v>
      </c>
      <c r="B1233">
        <v>1896.73</v>
      </c>
    </row>
    <row r="1234" spans="1:2" x14ac:dyDescent="0.25">
      <c r="A1234" s="3">
        <v>39738</v>
      </c>
      <c r="B1234">
        <v>1833.26</v>
      </c>
    </row>
    <row r="1235" spans="1:2" x14ac:dyDescent="0.25">
      <c r="A1235" s="3">
        <v>39737</v>
      </c>
      <c r="B1235">
        <v>1820.9</v>
      </c>
    </row>
    <row r="1236" spans="1:2" x14ac:dyDescent="0.25">
      <c r="A1236" s="3">
        <v>39736</v>
      </c>
      <c r="B1236">
        <v>1914.36</v>
      </c>
    </row>
    <row r="1237" spans="1:2" x14ac:dyDescent="0.25">
      <c r="A1237" s="3">
        <v>39735</v>
      </c>
      <c r="B1237">
        <v>1934.62</v>
      </c>
    </row>
    <row r="1238" spans="1:2" x14ac:dyDescent="0.25">
      <c r="A1238" s="3">
        <v>39734</v>
      </c>
      <c r="B1238">
        <v>1985.49</v>
      </c>
    </row>
    <row r="1239" spans="1:2" x14ac:dyDescent="0.25">
      <c r="A1239" s="3">
        <v>39731</v>
      </c>
      <c r="B1239">
        <v>1906.96</v>
      </c>
    </row>
    <row r="1240" spans="1:2" x14ac:dyDescent="0.25">
      <c r="A1240" s="3">
        <v>39730</v>
      </c>
      <c r="B1240">
        <v>1995.3</v>
      </c>
    </row>
    <row r="1241" spans="1:2" x14ac:dyDescent="0.25">
      <c r="A1241" s="3">
        <v>39729</v>
      </c>
      <c r="B1241">
        <v>2022.88</v>
      </c>
    </row>
    <row r="1242" spans="1:2" x14ac:dyDescent="0.25">
      <c r="A1242" s="3">
        <v>39728</v>
      </c>
      <c r="B1242">
        <v>2102.4499999999998</v>
      </c>
    </row>
    <row r="1243" spans="1:2" x14ac:dyDescent="0.25">
      <c r="A1243" s="3">
        <v>39727</v>
      </c>
      <c r="B1243">
        <v>2128.6999999999998</v>
      </c>
    </row>
    <row r="1244" spans="1:2" x14ac:dyDescent="0.25">
      <c r="A1244" s="3">
        <v>39717</v>
      </c>
      <c r="B1244">
        <v>2243.66</v>
      </c>
    </row>
    <row r="1245" spans="1:2" x14ac:dyDescent="0.25">
      <c r="A1245" s="3">
        <v>39716</v>
      </c>
      <c r="B1245">
        <v>2223.5300000000002</v>
      </c>
    </row>
    <row r="1246" spans="1:2" x14ac:dyDescent="0.25">
      <c r="A1246" s="3">
        <v>39715</v>
      </c>
      <c r="B1246">
        <v>2138.85</v>
      </c>
    </row>
    <row r="1247" spans="1:2" x14ac:dyDescent="0.25">
      <c r="A1247" s="3">
        <v>39714</v>
      </c>
      <c r="B1247">
        <v>2123.48</v>
      </c>
    </row>
    <row r="1248" spans="1:2" x14ac:dyDescent="0.25">
      <c r="A1248" s="3">
        <v>39713</v>
      </c>
      <c r="B1248">
        <v>2207.61</v>
      </c>
    </row>
    <row r="1249" spans="1:2" x14ac:dyDescent="0.25">
      <c r="A1249" s="3">
        <v>39710</v>
      </c>
      <c r="B1249">
        <v>2073.11</v>
      </c>
    </row>
    <row r="1250" spans="1:2" x14ac:dyDescent="0.25">
      <c r="A1250" s="3">
        <v>39709</v>
      </c>
      <c r="B1250">
        <v>1895.99</v>
      </c>
    </row>
    <row r="1251" spans="1:2" x14ac:dyDescent="0.25">
      <c r="A1251" s="3">
        <v>39708</v>
      </c>
      <c r="B1251">
        <v>1929.14</v>
      </c>
    </row>
    <row r="1252" spans="1:2" x14ac:dyDescent="0.25">
      <c r="A1252" s="3">
        <v>39707</v>
      </c>
      <c r="B1252">
        <v>2000.65</v>
      </c>
    </row>
    <row r="1253" spans="1:2" x14ac:dyDescent="0.25">
      <c r="A1253" s="3">
        <v>39703</v>
      </c>
      <c r="B1253">
        <v>2077.85</v>
      </c>
    </row>
    <row r="1254" spans="1:2" x14ac:dyDescent="0.25">
      <c r="A1254" s="3">
        <v>39702</v>
      </c>
      <c r="B1254">
        <v>2072.13</v>
      </c>
    </row>
    <row r="1255" spans="1:2" x14ac:dyDescent="0.25">
      <c r="A1255" s="3">
        <v>39701</v>
      </c>
      <c r="B1255">
        <v>2143.1799999999998</v>
      </c>
    </row>
    <row r="1256" spans="1:2" x14ac:dyDescent="0.25">
      <c r="A1256" s="3">
        <v>39700</v>
      </c>
      <c r="B1256">
        <v>2139.15</v>
      </c>
    </row>
    <row r="1257" spans="1:2" x14ac:dyDescent="0.25">
      <c r="A1257" s="3">
        <v>39699</v>
      </c>
      <c r="B1257">
        <v>2126.52</v>
      </c>
    </row>
    <row r="1258" spans="1:2" x14ac:dyDescent="0.25">
      <c r="A1258" s="3">
        <v>39696</v>
      </c>
      <c r="B1258">
        <v>2183.4299999999998</v>
      </c>
    </row>
    <row r="1259" spans="1:2" x14ac:dyDescent="0.25">
      <c r="A1259" s="3">
        <v>39695</v>
      </c>
      <c r="B1259">
        <v>2251.15</v>
      </c>
    </row>
    <row r="1260" spans="1:2" x14ac:dyDescent="0.25">
      <c r="A1260" s="3">
        <v>39694</v>
      </c>
      <c r="B1260">
        <v>2245.96</v>
      </c>
    </row>
    <row r="1261" spans="1:2" x14ac:dyDescent="0.25">
      <c r="A1261" s="3">
        <v>39693</v>
      </c>
      <c r="B1261">
        <v>2285.41</v>
      </c>
    </row>
    <row r="1262" spans="1:2" x14ac:dyDescent="0.25">
      <c r="A1262" s="3">
        <v>39692</v>
      </c>
      <c r="B1262">
        <v>2309.17</v>
      </c>
    </row>
    <row r="1263" spans="1:2" x14ac:dyDescent="0.25">
      <c r="A1263" s="3">
        <v>39689</v>
      </c>
      <c r="B1263">
        <v>2391.64</v>
      </c>
    </row>
    <row r="1264" spans="1:2" x14ac:dyDescent="0.25">
      <c r="A1264" s="3">
        <v>39688</v>
      </c>
      <c r="B1264">
        <v>2335.87</v>
      </c>
    </row>
    <row r="1265" spans="1:2" x14ac:dyDescent="0.25">
      <c r="A1265" s="3">
        <v>39687</v>
      </c>
      <c r="B1265">
        <v>2325.29</v>
      </c>
    </row>
    <row r="1266" spans="1:2" x14ac:dyDescent="0.25">
      <c r="A1266" s="3">
        <v>39686</v>
      </c>
      <c r="B1266">
        <v>2331.5300000000002</v>
      </c>
    </row>
    <row r="1267" spans="1:2" x14ac:dyDescent="0.25">
      <c r="A1267" s="3">
        <v>39685</v>
      </c>
      <c r="B1267">
        <v>2400.5500000000002</v>
      </c>
    </row>
    <row r="1268" spans="1:2" x14ac:dyDescent="0.25">
      <c r="A1268" s="3">
        <v>39682</v>
      </c>
      <c r="B1268">
        <v>2404.9299999999998</v>
      </c>
    </row>
    <row r="1269" spans="1:2" x14ac:dyDescent="0.25">
      <c r="A1269" s="3">
        <v>39681</v>
      </c>
      <c r="B1269">
        <v>2443.98</v>
      </c>
    </row>
    <row r="1270" spans="1:2" x14ac:dyDescent="0.25">
      <c r="A1270" s="3">
        <v>39680</v>
      </c>
      <c r="B1270">
        <v>2532.94</v>
      </c>
    </row>
    <row r="1271" spans="1:2" x14ac:dyDescent="0.25">
      <c r="A1271" s="3">
        <v>39679</v>
      </c>
      <c r="B1271">
        <v>2348.4699999999998</v>
      </c>
    </row>
    <row r="1272" spans="1:2" x14ac:dyDescent="0.25">
      <c r="A1272" s="3">
        <v>39678</v>
      </c>
      <c r="B1272">
        <v>2313.4</v>
      </c>
    </row>
    <row r="1273" spans="1:2" x14ac:dyDescent="0.25">
      <c r="A1273" s="3">
        <v>39675</v>
      </c>
      <c r="B1273">
        <v>2447.62</v>
      </c>
    </row>
    <row r="1274" spans="1:2" x14ac:dyDescent="0.25">
      <c r="A1274" s="3">
        <v>39674</v>
      </c>
      <c r="B1274">
        <v>2443.5100000000002</v>
      </c>
    </row>
    <row r="1275" spans="1:2" x14ac:dyDescent="0.25">
      <c r="A1275" s="3">
        <v>39673</v>
      </c>
      <c r="B1275">
        <v>2444.67</v>
      </c>
    </row>
    <row r="1276" spans="1:2" x14ac:dyDescent="0.25">
      <c r="A1276" s="3">
        <v>39672</v>
      </c>
      <c r="B1276">
        <v>2444.16</v>
      </c>
    </row>
    <row r="1277" spans="1:2" x14ac:dyDescent="0.25">
      <c r="A1277" s="3">
        <v>39671</v>
      </c>
      <c r="B1277">
        <v>2456.81</v>
      </c>
    </row>
    <row r="1278" spans="1:2" x14ac:dyDescent="0.25">
      <c r="A1278" s="3">
        <v>39668</v>
      </c>
      <c r="B1278">
        <v>2591.46</v>
      </c>
    </row>
    <row r="1279" spans="1:2" x14ac:dyDescent="0.25">
      <c r="A1279" s="3">
        <v>39667</v>
      </c>
      <c r="B1279">
        <v>2720.44</v>
      </c>
    </row>
    <row r="1280" spans="1:2" x14ac:dyDescent="0.25">
      <c r="A1280" s="3">
        <v>39666</v>
      </c>
      <c r="B1280">
        <v>2721.69</v>
      </c>
    </row>
    <row r="1281" spans="1:2" x14ac:dyDescent="0.25">
      <c r="A1281" s="3">
        <v>39665</v>
      </c>
      <c r="B1281">
        <v>2703.08</v>
      </c>
    </row>
    <row r="1282" spans="1:2" x14ac:dyDescent="0.25">
      <c r="A1282" s="3">
        <v>39664</v>
      </c>
      <c r="B1282">
        <v>2773.15</v>
      </c>
    </row>
    <row r="1283" spans="1:2" x14ac:dyDescent="0.25">
      <c r="A1283" s="3">
        <v>39661</v>
      </c>
      <c r="B1283">
        <v>2840.79</v>
      </c>
    </row>
    <row r="1284" spans="1:2" x14ac:dyDescent="0.25">
      <c r="A1284" s="3">
        <v>39660</v>
      </c>
      <c r="B1284">
        <v>2805.21</v>
      </c>
    </row>
    <row r="1285" spans="1:2" x14ac:dyDescent="0.25">
      <c r="A1285" s="3">
        <v>39659</v>
      </c>
      <c r="B1285">
        <v>2884.38</v>
      </c>
    </row>
    <row r="1286" spans="1:2" x14ac:dyDescent="0.25">
      <c r="A1286" s="3">
        <v>39658</v>
      </c>
      <c r="B1286">
        <v>2905.63</v>
      </c>
    </row>
    <row r="1287" spans="1:2" x14ac:dyDescent="0.25">
      <c r="A1287" s="3">
        <v>39657</v>
      </c>
      <c r="B1287">
        <v>2960.85</v>
      </c>
    </row>
    <row r="1288" spans="1:2" x14ac:dyDescent="0.25">
      <c r="A1288" s="3">
        <v>39654</v>
      </c>
      <c r="B1288">
        <v>2939.2</v>
      </c>
    </row>
    <row r="1289" spans="1:2" x14ac:dyDescent="0.25">
      <c r="A1289" s="3">
        <v>39653</v>
      </c>
      <c r="B1289">
        <v>2977.36</v>
      </c>
    </row>
    <row r="1290" spans="1:2" x14ac:dyDescent="0.25">
      <c r="A1290" s="3">
        <v>39652</v>
      </c>
      <c r="B1290">
        <v>2883.32</v>
      </c>
    </row>
    <row r="1291" spans="1:2" x14ac:dyDescent="0.25">
      <c r="A1291" s="3">
        <v>39651</v>
      </c>
      <c r="B1291">
        <v>2904.74</v>
      </c>
    </row>
    <row r="1292" spans="1:2" x14ac:dyDescent="0.25">
      <c r="A1292" s="3">
        <v>39650</v>
      </c>
      <c r="B1292">
        <v>2911.05</v>
      </c>
    </row>
    <row r="1293" spans="1:2" x14ac:dyDescent="0.25">
      <c r="A1293" s="3">
        <v>39647</v>
      </c>
      <c r="B1293">
        <v>2815.46</v>
      </c>
    </row>
    <row r="1294" spans="1:2" x14ac:dyDescent="0.25">
      <c r="A1294" s="3">
        <v>39646</v>
      </c>
      <c r="B1294">
        <v>2718.07</v>
      </c>
    </row>
    <row r="1295" spans="1:2" x14ac:dyDescent="0.25">
      <c r="A1295" s="3">
        <v>39645</v>
      </c>
      <c r="B1295">
        <v>2745.6</v>
      </c>
    </row>
    <row r="1296" spans="1:2" x14ac:dyDescent="0.25">
      <c r="A1296" s="3">
        <v>39644</v>
      </c>
      <c r="B1296">
        <v>2852.98</v>
      </c>
    </row>
    <row r="1297" spans="1:2" x14ac:dyDescent="0.25">
      <c r="A1297" s="3">
        <v>39643</v>
      </c>
      <c r="B1297">
        <v>2975.87</v>
      </c>
    </row>
    <row r="1298" spans="1:2" x14ac:dyDescent="0.25">
      <c r="A1298" s="3">
        <v>39640</v>
      </c>
      <c r="B1298">
        <v>2953.5</v>
      </c>
    </row>
    <row r="1299" spans="1:2" x14ac:dyDescent="0.25">
      <c r="A1299" s="3">
        <v>39639</v>
      </c>
      <c r="B1299">
        <v>2973.73</v>
      </c>
    </row>
    <row r="1300" spans="1:2" x14ac:dyDescent="0.25">
      <c r="A1300" s="3">
        <v>39638</v>
      </c>
      <c r="B1300">
        <v>3015.13</v>
      </c>
    </row>
    <row r="1301" spans="1:2" x14ac:dyDescent="0.25">
      <c r="A1301" s="3">
        <v>39637</v>
      </c>
      <c r="B1301">
        <v>2901.84</v>
      </c>
    </row>
    <row r="1302" spans="1:2" x14ac:dyDescent="0.25">
      <c r="A1302" s="3">
        <v>39636</v>
      </c>
      <c r="B1302">
        <v>2882.76</v>
      </c>
    </row>
    <row r="1303" spans="1:2" x14ac:dyDescent="0.25">
      <c r="A1303" s="3">
        <v>39633</v>
      </c>
      <c r="B1303">
        <v>2741.85</v>
      </c>
    </row>
    <row r="1304" spans="1:2" x14ac:dyDescent="0.25">
      <c r="A1304" s="3">
        <v>39632</v>
      </c>
      <c r="B1304">
        <v>2760.61</v>
      </c>
    </row>
    <row r="1305" spans="1:2" x14ac:dyDescent="0.25">
      <c r="A1305" s="3">
        <v>39631</v>
      </c>
      <c r="B1305">
        <v>2699.6</v>
      </c>
    </row>
    <row r="1306" spans="1:2" x14ac:dyDescent="0.25">
      <c r="A1306" s="3">
        <v>39630</v>
      </c>
      <c r="B1306">
        <v>2698.35</v>
      </c>
    </row>
    <row r="1307" spans="1:2" x14ac:dyDescent="0.25">
      <c r="A1307" s="3">
        <v>39629</v>
      </c>
      <c r="B1307">
        <v>2791.82</v>
      </c>
    </row>
    <row r="1308" spans="1:2" x14ac:dyDescent="0.25">
      <c r="A1308" s="3">
        <v>39626</v>
      </c>
      <c r="B1308">
        <v>2816.02</v>
      </c>
    </row>
    <row r="1309" spans="1:2" x14ac:dyDescent="0.25">
      <c r="A1309" s="3">
        <v>39625</v>
      </c>
      <c r="B1309">
        <v>2980.91</v>
      </c>
    </row>
    <row r="1310" spans="1:2" x14ac:dyDescent="0.25">
      <c r="A1310" s="3">
        <v>39624</v>
      </c>
      <c r="B1310">
        <v>2969.54</v>
      </c>
    </row>
    <row r="1311" spans="1:2" x14ac:dyDescent="0.25">
      <c r="A1311" s="3">
        <v>39623</v>
      </c>
      <c r="B1311">
        <v>2851.92</v>
      </c>
    </row>
    <row r="1312" spans="1:2" x14ac:dyDescent="0.25">
      <c r="A1312" s="3">
        <v>39622</v>
      </c>
      <c r="B1312">
        <v>2789.94</v>
      </c>
    </row>
    <row r="1313" spans="1:2" x14ac:dyDescent="0.25">
      <c r="A1313" s="3">
        <v>39619</v>
      </c>
      <c r="B1313">
        <v>2849.67</v>
      </c>
    </row>
    <row r="1314" spans="1:2" x14ac:dyDescent="0.25">
      <c r="A1314" s="3">
        <v>39618</v>
      </c>
      <c r="B1314">
        <v>2773.08</v>
      </c>
    </row>
    <row r="1315" spans="1:2" x14ac:dyDescent="0.25">
      <c r="A1315" s="3">
        <v>39617</v>
      </c>
      <c r="B1315">
        <v>2991.27</v>
      </c>
    </row>
    <row r="1316" spans="1:2" x14ac:dyDescent="0.25">
      <c r="A1316" s="3">
        <v>39616</v>
      </c>
      <c r="B1316">
        <v>2842.68</v>
      </c>
    </row>
    <row r="1317" spans="1:2" x14ac:dyDescent="0.25">
      <c r="A1317" s="3">
        <v>39615</v>
      </c>
      <c r="B1317">
        <v>2952.24</v>
      </c>
    </row>
    <row r="1318" spans="1:2" x14ac:dyDescent="0.25">
      <c r="A1318" s="3">
        <v>39612</v>
      </c>
      <c r="B1318">
        <v>2979.12</v>
      </c>
    </row>
    <row r="1319" spans="1:2" x14ac:dyDescent="0.25">
      <c r="A1319" s="3">
        <v>39611</v>
      </c>
      <c r="B1319">
        <v>3084.63</v>
      </c>
    </row>
    <row r="1320" spans="1:2" x14ac:dyDescent="0.25">
      <c r="A1320" s="3">
        <v>39610</v>
      </c>
      <c r="B1320">
        <v>3140.3</v>
      </c>
    </row>
    <row r="1321" spans="1:2" x14ac:dyDescent="0.25">
      <c r="A1321" s="3">
        <v>39609</v>
      </c>
      <c r="B1321">
        <v>3206.56</v>
      </c>
    </row>
    <row r="1322" spans="1:2" x14ac:dyDescent="0.25">
      <c r="A1322" s="3">
        <v>39605</v>
      </c>
      <c r="B1322">
        <v>3489.5</v>
      </c>
    </row>
    <row r="1323" spans="1:2" x14ac:dyDescent="0.25">
      <c r="A1323" s="3">
        <v>39604</v>
      </c>
      <c r="B1323">
        <v>3512.14</v>
      </c>
    </row>
    <row r="1324" spans="1:2" x14ac:dyDescent="0.25">
      <c r="A1324" s="3">
        <v>39603</v>
      </c>
      <c r="B1324">
        <v>3546.92</v>
      </c>
    </row>
    <row r="1325" spans="1:2" x14ac:dyDescent="0.25">
      <c r="A1325" s="3">
        <v>39602</v>
      </c>
      <c r="B1325">
        <v>3614.11</v>
      </c>
    </row>
    <row r="1326" spans="1:2" x14ac:dyDescent="0.25">
      <c r="A1326" s="3">
        <v>39601</v>
      </c>
      <c r="B1326">
        <v>3625.83</v>
      </c>
    </row>
    <row r="1327" spans="1:2" x14ac:dyDescent="0.25">
      <c r="A1327" s="3">
        <v>39598</v>
      </c>
      <c r="B1327">
        <v>3611.33</v>
      </c>
    </row>
    <row r="1328" spans="1:2" x14ac:dyDescent="0.25">
      <c r="A1328" s="3">
        <v>39597</v>
      </c>
      <c r="B1328">
        <v>3580.87</v>
      </c>
    </row>
    <row r="1329" spans="1:2" x14ac:dyDescent="0.25">
      <c r="A1329" s="3">
        <v>39596</v>
      </c>
      <c r="B1329">
        <v>3676.23</v>
      </c>
    </row>
    <row r="1330" spans="1:2" x14ac:dyDescent="0.25">
      <c r="A1330" s="3">
        <v>39595</v>
      </c>
      <c r="B1330">
        <v>3576.2</v>
      </c>
    </row>
    <row r="1331" spans="1:2" x14ac:dyDescent="0.25">
      <c r="A1331" s="3">
        <v>39594</v>
      </c>
      <c r="B1331">
        <v>3559.22</v>
      </c>
    </row>
    <row r="1332" spans="1:2" x14ac:dyDescent="0.25">
      <c r="A1332" s="3">
        <v>39591</v>
      </c>
      <c r="B1332">
        <v>3675.15</v>
      </c>
    </row>
    <row r="1333" spans="1:2" x14ac:dyDescent="0.25">
      <c r="A1333" s="3">
        <v>39590</v>
      </c>
      <c r="B1333">
        <v>3711.44</v>
      </c>
    </row>
    <row r="1334" spans="1:2" x14ac:dyDescent="0.25">
      <c r="A1334" s="3">
        <v>39589</v>
      </c>
      <c r="B1334">
        <v>3783.05</v>
      </c>
    </row>
    <row r="1335" spans="1:2" x14ac:dyDescent="0.25">
      <c r="A1335" s="3">
        <v>39588</v>
      </c>
      <c r="B1335">
        <v>3710.82</v>
      </c>
    </row>
    <row r="1336" spans="1:2" x14ac:dyDescent="0.25">
      <c r="A1336" s="3">
        <v>39587</v>
      </c>
      <c r="B1336">
        <v>3914.07</v>
      </c>
    </row>
    <row r="1337" spans="1:2" x14ac:dyDescent="0.25">
      <c r="A1337" s="3">
        <v>39584</v>
      </c>
      <c r="B1337">
        <v>3936.12</v>
      </c>
    </row>
    <row r="1338" spans="1:2" x14ac:dyDescent="0.25">
      <c r="A1338" s="3">
        <v>39583</v>
      </c>
      <c r="B1338">
        <v>3948.09</v>
      </c>
    </row>
    <row r="1339" spans="1:2" x14ac:dyDescent="0.25">
      <c r="A1339" s="3">
        <v>39582</v>
      </c>
      <c r="B1339">
        <v>3975.78</v>
      </c>
    </row>
    <row r="1340" spans="1:2" x14ac:dyDescent="0.25">
      <c r="A1340" s="3">
        <v>39581</v>
      </c>
      <c r="B1340">
        <v>3851.69</v>
      </c>
    </row>
    <row r="1341" spans="1:2" x14ac:dyDescent="0.25">
      <c r="A1341" s="3">
        <v>39580</v>
      </c>
      <c r="B1341">
        <v>3904.92</v>
      </c>
    </row>
    <row r="1342" spans="1:2" x14ac:dyDescent="0.25">
      <c r="A1342" s="3">
        <v>39577</v>
      </c>
      <c r="B1342">
        <v>3878.92</v>
      </c>
    </row>
    <row r="1343" spans="1:2" x14ac:dyDescent="0.25">
      <c r="A1343" s="3">
        <v>39576</v>
      </c>
      <c r="B1343">
        <v>3925.04</v>
      </c>
    </row>
    <row r="1344" spans="1:2" x14ac:dyDescent="0.25">
      <c r="A1344" s="3">
        <v>39575</v>
      </c>
      <c r="B1344">
        <v>3821.32</v>
      </c>
    </row>
    <row r="1345" spans="1:2" x14ac:dyDescent="0.25">
      <c r="A1345" s="3">
        <v>39574</v>
      </c>
      <c r="B1345">
        <v>4010.89</v>
      </c>
    </row>
    <row r="1346" spans="1:2" x14ac:dyDescent="0.25">
      <c r="A1346" s="3">
        <v>39573</v>
      </c>
      <c r="B1346">
        <v>4055.78</v>
      </c>
    </row>
    <row r="1347" spans="1:2" x14ac:dyDescent="0.25">
      <c r="A1347" s="3">
        <v>39568</v>
      </c>
      <c r="B1347">
        <v>3959.12</v>
      </c>
    </row>
    <row r="1348" spans="1:2" x14ac:dyDescent="0.25">
      <c r="A1348" s="3">
        <v>39567</v>
      </c>
      <c r="B1348">
        <v>3776.94</v>
      </c>
    </row>
    <row r="1349" spans="1:2" x14ac:dyDescent="0.25">
      <c r="A1349" s="3">
        <v>39566</v>
      </c>
      <c r="B1349">
        <v>3729.15</v>
      </c>
    </row>
    <row r="1350" spans="1:2" x14ac:dyDescent="0.25">
      <c r="A1350" s="3">
        <v>39563</v>
      </c>
      <c r="B1350">
        <v>3803.07</v>
      </c>
    </row>
    <row r="1351" spans="1:2" x14ac:dyDescent="0.25">
      <c r="A1351" s="3">
        <v>39562</v>
      </c>
      <c r="B1351">
        <v>3774.5</v>
      </c>
    </row>
    <row r="1352" spans="1:2" x14ac:dyDescent="0.25">
      <c r="A1352" s="3">
        <v>39561</v>
      </c>
      <c r="B1352">
        <v>3453.73</v>
      </c>
    </row>
    <row r="1353" spans="1:2" x14ac:dyDescent="0.25">
      <c r="A1353" s="3">
        <v>39560</v>
      </c>
      <c r="B1353">
        <v>3296.28</v>
      </c>
    </row>
    <row r="1354" spans="1:2" x14ac:dyDescent="0.25">
      <c r="A1354" s="3">
        <v>39559</v>
      </c>
      <c r="B1354">
        <v>3267.55</v>
      </c>
    </row>
    <row r="1355" spans="1:2" x14ac:dyDescent="0.25">
      <c r="A1355" s="3">
        <v>39556</v>
      </c>
      <c r="B1355">
        <v>3272.5</v>
      </c>
    </row>
    <row r="1356" spans="1:2" x14ac:dyDescent="0.25">
      <c r="A1356" s="3">
        <v>39555</v>
      </c>
      <c r="B1356">
        <v>3386.63</v>
      </c>
    </row>
    <row r="1357" spans="1:2" x14ac:dyDescent="0.25">
      <c r="A1357" s="3">
        <v>39554</v>
      </c>
      <c r="B1357">
        <v>3494.02</v>
      </c>
    </row>
    <row r="1358" spans="1:2" x14ac:dyDescent="0.25">
      <c r="A1358" s="3">
        <v>39553</v>
      </c>
      <c r="B1358">
        <v>3583.3</v>
      </c>
    </row>
    <row r="1359" spans="1:2" x14ac:dyDescent="0.25">
      <c r="A1359" s="3">
        <v>39552</v>
      </c>
      <c r="B1359">
        <v>3536.33</v>
      </c>
    </row>
    <row r="1360" spans="1:2" x14ac:dyDescent="0.25">
      <c r="A1360" s="3">
        <v>39549</v>
      </c>
      <c r="B1360">
        <v>3783.73</v>
      </c>
    </row>
    <row r="1361" spans="1:2" x14ac:dyDescent="0.25">
      <c r="A1361" s="3">
        <v>39548</v>
      </c>
      <c r="B1361">
        <v>3754.72</v>
      </c>
    </row>
    <row r="1362" spans="1:2" x14ac:dyDescent="0.25">
      <c r="A1362" s="3">
        <v>39547</v>
      </c>
      <c r="B1362">
        <v>3688.13</v>
      </c>
    </row>
    <row r="1363" spans="1:2" x14ac:dyDescent="0.25">
      <c r="A1363" s="3">
        <v>39546</v>
      </c>
      <c r="B1363">
        <v>3891.06</v>
      </c>
    </row>
    <row r="1364" spans="1:2" x14ac:dyDescent="0.25">
      <c r="A1364" s="3">
        <v>39545</v>
      </c>
      <c r="B1364">
        <v>3845.82</v>
      </c>
    </row>
    <row r="1365" spans="1:2" x14ac:dyDescent="0.25">
      <c r="A1365" s="3">
        <v>39541</v>
      </c>
      <c r="B1365">
        <v>3650.7</v>
      </c>
    </row>
    <row r="1366" spans="1:2" x14ac:dyDescent="0.25">
      <c r="A1366" s="3">
        <v>39540</v>
      </c>
      <c r="B1366">
        <v>3547.98</v>
      </c>
    </row>
    <row r="1367" spans="1:2" x14ac:dyDescent="0.25">
      <c r="A1367" s="3">
        <v>39539</v>
      </c>
      <c r="B1367">
        <v>3582.86</v>
      </c>
    </row>
    <row r="1368" spans="1:2" x14ac:dyDescent="0.25">
      <c r="A1368" s="3">
        <v>39538</v>
      </c>
      <c r="B1368">
        <v>3790.53</v>
      </c>
    </row>
    <row r="1369" spans="1:2" x14ac:dyDescent="0.25">
      <c r="A1369" s="3">
        <v>39535</v>
      </c>
      <c r="B1369">
        <v>3918.16</v>
      </c>
    </row>
    <row r="1370" spans="1:2" x14ac:dyDescent="0.25">
      <c r="A1370" s="3">
        <v>39534</v>
      </c>
      <c r="B1370">
        <v>3748.92</v>
      </c>
    </row>
    <row r="1371" spans="1:2" x14ac:dyDescent="0.25">
      <c r="A1371" s="3">
        <v>39533</v>
      </c>
      <c r="B1371">
        <v>3914.37</v>
      </c>
    </row>
    <row r="1372" spans="1:2" x14ac:dyDescent="0.25">
      <c r="A1372" s="3">
        <v>39532</v>
      </c>
      <c r="B1372">
        <v>3905.77</v>
      </c>
    </row>
    <row r="1373" spans="1:2" x14ac:dyDescent="0.25">
      <c r="A1373" s="3">
        <v>39531</v>
      </c>
      <c r="B1373">
        <v>3857.09</v>
      </c>
    </row>
    <row r="1374" spans="1:2" x14ac:dyDescent="0.25">
      <c r="A1374" s="3">
        <v>39528</v>
      </c>
      <c r="B1374">
        <v>4037.83</v>
      </c>
    </row>
    <row r="1375" spans="1:2" x14ac:dyDescent="0.25">
      <c r="A1375" s="3">
        <v>39527</v>
      </c>
      <c r="B1375">
        <v>4001.83</v>
      </c>
    </row>
    <row r="1376" spans="1:2" x14ac:dyDescent="0.25">
      <c r="A1376" s="3">
        <v>39526</v>
      </c>
      <c r="B1376">
        <v>3888.86</v>
      </c>
    </row>
    <row r="1377" spans="1:2" x14ac:dyDescent="0.25">
      <c r="A1377" s="3">
        <v>39525</v>
      </c>
      <c r="B1377">
        <v>3763.95</v>
      </c>
    </row>
    <row r="1378" spans="1:2" x14ac:dyDescent="0.25">
      <c r="A1378" s="3">
        <v>39524</v>
      </c>
      <c r="B1378">
        <v>3965.28</v>
      </c>
    </row>
    <row r="1379" spans="1:2" x14ac:dyDescent="0.25">
      <c r="A1379" s="3">
        <v>39521</v>
      </c>
      <c r="B1379">
        <v>4157.87</v>
      </c>
    </row>
    <row r="1380" spans="1:2" x14ac:dyDescent="0.25">
      <c r="A1380" s="3">
        <v>39520</v>
      </c>
      <c r="B1380">
        <v>4198.96</v>
      </c>
    </row>
    <row r="1381" spans="1:2" x14ac:dyDescent="0.25">
      <c r="A1381" s="3">
        <v>39519</v>
      </c>
      <c r="B1381">
        <v>4309.6499999999996</v>
      </c>
    </row>
    <row r="1382" spans="1:2" x14ac:dyDescent="0.25">
      <c r="A1382" s="3">
        <v>39518</v>
      </c>
      <c r="B1382">
        <v>4441.18</v>
      </c>
    </row>
    <row r="1383" spans="1:2" x14ac:dyDescent="0.25">
      <c r="A1383" s="3">
        <v>39517</v>
      </c>
      <c r="B1383">
        <v>4431.59</v>
      </c>
    </row>
    <row r="1384" spans="1:2" x14ac:dyDescent="0.25">
      <c r="A1384" s="3">
        <v>39514</v>
      </c>
      <c r="B1384">
        <v>4621.6899999999996</v>
      </c>
    </row>
    <row r="1385" spans="1:2" x14ac:dyDescent="0.25">
      <c r="A1385" s="3">
        <v>39513</v>
      </c>
      <c r="B1385">
        <v>4685.03</v>
      </c>
    </row>
    <row r="1386" spans="1:2" x14ac:dyDescent="0.25">
      <c r="A1386" s="3">
        <v>39512</v>
      </c>
      <c r="B1386">
        <v>4628.72</v>
      </c>
    </row>
    <row r="1387" spans="1:2" x14ac:dyDescent="0.25">
      <c r="A1387" s="3">
        <v>39511</v>
      </c>
      <c r="B1387">
        <v>4671.1499999999996</v>
      </c>
    </row>
    <row r="1388" spans="1:2" x14ac:dyDescent="0.25">
      <c r="A1388" s="3">
        <v>39510</v>
      </c>
      <c r="B1388">
        <v>4790.74</v>
      </c>
    </row>
    <row r="1389" spans="1:2" x14ac:dyDescent="0.25">
      <c r="A1389" s="3">
        <v>39507</v>
      </c>
      <c r="B1389">
        <v>4674.55</v>
      </c>
    </row>
    <row r="1390" spans="1:2" x14ac:dyDescent="0.25">
      <c r="A1390" s="3">
        <v>39506</v>
      </c>
      <c r="B1390">
        <v>4622.0600000000004</v>
      </c>
    </row>
    <row r="1391" spans="1:2" x14ac:dyDescent="0.25">
      <c r="A1391" s="3">
        <v>39505</v>
      </c>
      <c r="B1391">
        <v>4639.7700000000004</v>
      </c>
    </row>
    <row r="1392" spans="1:2" x14ac:dyDescent="0.25">
      <c r="A1392" s="3">
        <v>39504</v>
      </c>
      <c r="B1392">
        <v>4515.53</v>
      </c>
    </row>
    <row r="1393" spans="1:2" x14ac:dyDescent="0.25">
      <c r="A1393" s="3">
        <v>39503</v>
      </c>
      <c r="B1393">
        <v>4519.78</v>
      </c>
    </row>
    <row r="1394" spans="1:2" x14ac:dyDescent="0.25">
      <c r="A1394" s="3">
        <v>39500</v>
      </c>
      <c r="B1394">
        <v>4702.24</v>
      </c>
    </row>
    <row r="1395" spans="1:2" x14ac:dyDescent="0.25">
      <c r="A1395" s="3">
        <v>39499</v>
      </c>
      <c r="B1395">
        <v>4876.03</v>
      </c>
    </row>
    <row r="1396" spans="1:2" x14ac:dyDescent="0.25">
      <c r="A1396" s="3">
        <v>39498</v>
      </c>
      <c r="B1396">
        <v>4908.72</v>
      </c>
    </row>
    <row r="1397" spans="1:2" x14ac:dyDescent="0.25">
      <c r="A1397" s="3">
        <v>39497</v>
      </c>
      <c r="B1397">
        <v>5020.75</v>
      </c>
    </row>
    <row r="1398" spans="1:2" x14ac:dyDescent="0.25">
      <c r="A1398" s="3">
        <v>39496</v>
      </c>
      <c r="B1398">
        <v>4910.99</v>
      </c>
    </row>
    <row r="1399" spans="1:2" x14ac:dyDescent="0.25">
      <c r="A1399" s="3">
        <v>39493</v>
      </c>
      <c r="B1399">
        <v>4813.3100000000004</v>
      </c>
    </row>
    <row r="1400" spans="1:2" x14ac:dyDescent="0.25">
      <c r="A1400" s="3">
        <v>39492</v>
      </c>
      <c r="B1400">
        <v>4880.25</v>
      </c>
    </row>
    <row r="1401" spans="1:2" x14ac:dyDescent="0.25">
      <c r="A1401" s="3">
        <v>39491</v>
      </c>
      <c r="B1401">
        <v>4816.08</v>
      </c>
    </row>
    <row r="1402" spans="1:2" x14ac:dyDescent="0.25">
      <c r="A1402" s="3">
        <v>39483</v>
      </c>
      <c r="B1402">
        <v>4921.83</v>
      </c>
    </row>
    <row r="1403" spans="1:2" x14ac:dyDescent="0.25">
      <c r="A1403" s="3">
        <v>39482</v>
      </c>
      <c r="B1403">
        <v>4950.12</v>
      </c>
    </row>
    <row r="1404" spans="1:2" x14ac:dyDescent="0.25">
      <c r="A1404" s="3">
        <v>39479</v>
      </c>
      <c r="B1404">
        <v>4571.95</v>
      </c>
    </row>
    <row r="1405" spans="1:2" x14ac:dyDescent="0.25">
      <c r="A1405" s="3">
        <v>39478</v>
      </c>
      <c r="B1405">
        <v>4620.3999999999996</v>
      </c>
    </row>
    <row r="1406" spans="1:2" x14ac:dyDescent="0.25">
      <c r="A1406" s="3">
        <v>39477</v>
      </c>
      <c r="B1406">
        <v>4710.6499999999996</v>
      </c>
    </row>
    <row r="1407" spans="1:2" x14ac:dyDescent="0.25">
      <c r="A1407" s="3">
        <v>39476</v>
      </c>
      <c r="B1407">
        <v>4762.08</v>
      </c>
    </row>
    <row r="1408" spans="1:2" x14ac:dyDescent="0.25">
      <c r="A1408" s="3">
        <v>39475</v>
      </c>
      <c r="B1408">
        <v>4731.88</v>
      </c>
    </row>
    <row r="1409" spans="1:2" x14ac:dyDescent="0.25">
      <c r="A1409" s="3">
        <v>39472</v>
      </c>
      <c r="B1409">
        <v>5077.43</v>
      </c>
    </row>
    <row r="1410" spans="1:2" x14ac:dyDescent="0.25">
      <c r="A1410" s="3">
        <v>39471</v>
      </c>
      <c r="B1410">
        <v>5027.21</v>
      </c>
    </row>
    <row r="1411" spans="1:2" x14ac:dyDescent="0.25">
      <c r="A1411" s="3">
        <v>39470</v>
      </c>
      <c r="B1411">
        <v>4975.1099999999997</v>
      </c>
    </row>
    <row r="1412" spans="1:2" x14ac:dyDescent="0.25">
      <c r="A1412" s="3">
        <v>39469</v>
      </c>
      <c r="B1412">
        <v>4753.87</v>
      </c>
    </row>
    <row r="1413" spans="1:2" x14ac:dyDescent="0.25">
      <c r="A1413" s="3">
        <v>39468</v>
      </c>
      <c r="B1413">
        <v>5145.7299999999996</v>
      </c>
    </row>
    <row r="1414" spans="1:2" x14ac:dyDescent="0.25">
      <c r="A1414" s="3">
        <v>39465</v>
      </c>
      <c r="B1414">
        <v>5414.47</v>
      </c>
    </row>
    <row r="1415" spans="1:2" x14ac:dyDescent="0.25">
      <c r="A1415" s="3">
        <v>39464</v>
      </c>
      <c r="B1415">
        <v>5365.62</v>
      </c>
    </row>
    <row r="1416" spans="1:2" x14ac:dyDescent="0.25">
      <c r="A1416" s="3">
        <v>39463</v>
      </c>
      <c r="B1416">
        <v>5505.72</v>
      </c>
    </row>
    <row r="1417" spans="1:2" x14ac:dyDescent="0.25">
      <c r="A1417" s="3">
        <v>39462</v>
      </c>
      <c r="B1417">
        <v>5696.45</v>
      </c>
    </row>
    <row r="1418" spans="1:2" x14ac:dyDescent="0.25">
      <c r="A1418" s="3">
        <v>39461</v>
      </c>
      <c r="B1418">
        <v>5731.76</v>
      </c>
    </row>
    <row r="1419" spans="1:2" x14ac:dyDescent="0.25">
      <c r="A1419" s="3">
        <v>39458</v>
      </c>
      <c r="B1419">
        <v>5699.15</v>
      </c>
    </row>
    <row r="1420" spans="1:2" x14ac:dyDescent="0.25">
      <c r="A1420" s="3">
        <v>39457</v>
      </c>
      <c r="B1420">
        <v>5672.15</v>
      </c>
    </row>
    <row r="1421" spans="1:2" x14ac:dyDescent="0.25">
      <c r="A1421" s="3">
        <v>39456</v>
      </c>
      <c r="B1421">
        <v>5613.76</v>
      </c>
    </row>
    <row r="1422" spans="1:2" x14ac:dyDescent="0.25">
      <c r="A1422" s="3">
        <v>39455</v>
      </c>
      <c r="B1422">
        <v>5528.05</v>
      </c>
    </row>
    <row r="1423" spans="1:2" x14ac:dyDescent="0.25">
      <c r="A1423" s="3">
        <v>39454</v>
      </c>
      <c r="B1423">
        <v>5556.59</v>
      </c>
    </row>
    <row r="1424" spans="1:2" x14ac:dyDescent="0.25">
      <c r="A1424" s="3">
        <v>39451</v>
      </c>
      <c r="B1424">
        <v>5483.65</v>
      </c>
    </row>
    <row r="1425" spans="1:2" x14ac:dyDescent="0.25">
      <c r="A1425" s="3">
        <v>39450</v>
      </c>
      <c r="B1425">
        <v>5422.03</v>
      </c>
    </row>
    <row r="1426" spans="1:2" x14ac:dyDescent="0.25">
      <c r="A1426" s="3">
        <v>39449</v>
      </c>
      <c r="B1426">
        <v>5385.1</v>
      </c>
    </row>
    <row r="1427" spans="1:2" x14ac:dyDescent="0.25">
      <c r="A1427" s="3">
        <v>39444</v>
      </c>
      <c r="B1427">
        <v>5338.28</v>
      </c>
    </row>
    <row r="1428" spans="1:2" x14ac:dyDescent="0.25">
      <c r="A1428" s="3">
        <v>39443</v>
      </c>
      <c r="B1428">
        <v>5367.53</v>
      </c>
    </row>
    <row r="1429" spans="1:2" x14ac:dyDescent="0.25">
      <c r="A1429" s="3">
        <v>39442</v>
      </c>
      <c r="B1429">
        <v>5265.03</v>
      </c>
    </row>
    <row r="1430" spans="1:2" x14ac:dyDescent="0.25">
      <c r="A1430" s="3">
        <v>39441</v>
      </c>
      <c r="B1430">
        <v>5216.8100000000004</v>
      </c>
    </row>
    <row r="1431" spans="1:2" x14ac:dyDescent="0.25">
      <c r="A1431" s="3">
        <v>39440</v>
      </c>
      <c r="B1431">
        <v>5207.13</v>
      </c>
    </row>
    <row r="1432" spans="1:2" x14ac:dyDescent="0.25">
      <c r="A1432" s="3">
        <v>39437</v>
      </c>
      <c r="B1432">
        <v>5101.8500000000004</v>
      </c>
    </row>
    <row r="1433" spans="1:2" x14ac:dyDescent="0.25">
      <c r="A1433" s="3">
        <v>39436</v>
      </c>
      <c r="B1433">
        <v>5037.2</v>
      </c>
    </row>
    <row r="1434" spans="1:2" x14ac:dyDescent="0.25">
      <c r="A1434" s="3">
        <v>39435</v>
      </c>
      <c r="B1434">
        <v>4946.29</v>
      </c>
    </row>
    <row r="1435" spans="1:2" x14ac:dyDescent="0.25">
      <c r="A1435" s="3">
        <v>39434</v>
      </c>
      <c r="B1435">
        <v>4829.91</v>
      </c>
    </row>
    <row r="1436" spans="1:2" x14ac:dyDescent="0.25">
      <c r="A1436" s="3">
        <v>39433</v>
      </c>
      <c r="B1436">
        <v>4857.29</v>
      </c>
    </row>
    <row r="1437" spans="1:2" x14ac:dyDescent="0.25">
      <c r="A1437" s="3">
        <v>39430</v>
      </c>
      <c r="B1437">
        <v>4977.6499999999996</v>
      </c>
    </row>
    <row r="1438" spans="1:2" x14ac:dyDescent="0.25">
      <c r="A1438" s="3">
        <v>39429</v>
      </c>
      <c r="B1438">
        <v>4884.3</v>
      </c>
    </row>
    <row r="1439" spans="1:2" x14ac:dyDescent="0.25">
      <c r="A1439" s="3">
        <v>39428</v>
      </c>
      <c r="B1439">
        <v>5077.3900000000003</v>
      </c>
    </row>
    <row r="1440" spans="1:2" x14ac:dyDescent="0.25">
      <c r="A1440" s="3">
        <v>39427</v>
      </c>
      <c r="B1440">
        <v>5140</v>
      </c>
    </row>
    <row r="1441" spans="1:2" x14ac:dyDescent="0.25">
      <c r="A1441" s="3">
        <v>39426</v>
      </c>
      <c r="B1441">
        <v>5133.5600000000004</v>
      </c>
    </row>
    <row r="1442" spans="1:2" x14ac:dyDescent="0.25">
      <c r="A1442" s="3">
        <v>39423</v>
      </c>
      <c r="B1442">
        <v>5041.3500000000004</v>
      </c>
    </row>
    <row r="1443" spans="1:2" x14ac:dyDescent="0.25">
      <c r="A1443" s="3">
        <v>39422</v>
      </c>
      <c r="B1443">
        <v>4971.0600000000004</v>
      </c>
    </row>
    <row r="1444" spans="1:2" x14ac:dyDescent="0.25">
      <c r="A1444" s="3">
        <v>39421</v>
      </c>
      <c r="B1444">
        <v>4965.95</v>
      </c>
    </row>
    <row r="1445" spans="1:2" x14ac:dyDescent="0.25">
      <c r="A1445" s="3">
        <v>39420</v>
      </c>
      <c r="B1445">
        <v>4829.21</v>
      </c>
    </row>
    <row r="1446" spans="1:2" x14ac:dyDescent="0.25">
      <c r="A1446" s="3">
        <v>39419</v>
      </c>
      <c r="B1446">
        <v>4772.67</v>
      </c>
    </row>
    <row r="1447" spans="1:2" x14ac:dyDescent="0.25">
      <c r="A1447" s="3">
        <v>39416</v>
      </c>
      <c r="B1447">
        <v>4737.41</v>
      </c>
    </row>
    <row r="1448" spans="1:2" x14ac:dyDescent="0.25">
      <c r="A1448" s="3">
        <v>39415</v>
      </c>
      <c r="B1448">
        <v>4842.07</v>
      </c>
    </row>
    <row r="1449" spans="1:2" x14ac:dyDescent="0.25">
      <c r="A1449" s="3">
        <v>39414</v>
      </c>
      <c r="B1449">
        <v>4648.75</v>
      </c>
    </row>
    <row r="1450" spans="1:2" x14ac:dyDescent="0.25">
      <c r="A1450" s="3">
        <v>39413</v>
      </c>
      <c r="B1450">
        <v>4711.1499999999996</v>
      </c>
    </row>
    <row r="1451" spans="1:2" x14ac:dyDescent="0.25">
      <c r="A1451" s="3">
        <v>39412</v>
      </c>
      <c r="B1451">
        <v>4800.08</v>
      </c>
    </row>
    <row r="1452" spans="1:2" x14ac:dyDescent="0.25">
      <c r="A1452" s="3">
        <v>39409</v>
      </c>
      <c r="B1452">
        <v>4856.16</v>
      </c>
    </row>
    <row r="1453" spans="1:2" x14ac:dyDescent="0.25">
      <c r="A1453" s="3">
        <v>39408</v>
      </c>
      <c r="B1453">
        <v>4772.62</v>
      </c>
    </row>
    <row r="1454" spans="1:2" x14ac:dyDescent="0.25">
      <c r="A1454" s="3">
        <v>39407</v>
      </c>
      <c r="B1454">
        <v>4997.62</v>
      </c>
    </row>
    <row r="1455" spans="1:2" x14ac:dyDescent="0.25">
      <c r="A1455" s="3">
        <v>39406</v>
      </c>
      <c r="B1455">
        <v>5069.38</v>
      </c>
    </row>
    <row r="1456" spans="1:2" x14ac:dyDescent="0.25">
      <c r="A1456" s="3">
        <v>39405</v>
      </c>
      <c r="B1456">
        <v>4994.42</v>
      </c>
    </row>
    <row r="1457" spans="1:2" x14ac:dyDescent="0.25">
      <c r="A1457" s="3">
        <v>39402</v>
      </c>
      <c r="B1457">
        <v>5007.66</v>
      </c>
    </row>
    <row r="1458" spans="1:2" x14ac:dyDescent="0.25">
      <c r="A1458" s="3">
        <v>39401</v>
      </c>
      <c r="B1458">
        <v>5081.1099999999997</v>
      </c>
    </row>
    <row r="1459" spans="1:2" x14ac:dyDescent="0.25">
      <c r="A1459" s="3">
        <v>39400</v>
      </c>
      <c r="B1459">
        <v>5145.8900000000003</v>
      </c>
    </row>
    <row r="1460" spans="1:2" x14ac:dyDescent="0.25">
      <c r="A1460" s="3">
        <v>39399</v>
      </c>
      <c r="B1460">
        <v>4939.24</v>
      </c>
    </row>
    <row r="1461" spans="1:2" x14ac:dyDescent="0.25">
      <c r="A1461" s="3">
        <v>39398</v>
      </c>
      <c r="B1461">
        <v>4978.25</v>
      </c>
    </row>
    <row r="1462" spans="1:2" x14ac:dyDescent="0.25">
      <c r="A1462" s="3">
        <v>39395</v>
      </c>
      <c r="B1462">
        <v>5040.5200000000004</v>
      </c>
    </row>
    <row r="1463" spans="1:2" x14ac:dyDescent="0.25">
      <c r="A1463" s="3">
        <v>39394</v>
      </c>
      <c r="B1463">
        <v>5093.67</v>
      </c>
    </row>
    <row r="1464" spans="1:2" x14ac:dyDescent="0.25">
      <c r="A1464" s="3">
        <v>39393</v>
      </c>
      <c r="B1464">
        <v>5350.63</v>
      </c>
    </row>
    <row r="1465" spans="1:2" x14ac:dyDescent="0.25">
      <c r="A1465" s="3">
        <v>39392</v>
      </c>
      <c r="B1465">
        <v>5317.55</v>
      </c>
    </row>
    <row r="1466" spans="1:2" x14ac:dyDescent="0.25">
      <c r="A1466" s="3">
        <v>39391</v>
      </c>
      <c r="B1466">
        <v>5360.31</v>
      </c>
    </row>
    <row r="1467" spans="1:2" x14ac:dyDescent="0.25">
      <c r="A1467" s="3">
        <v>39388</v>
      </c>
      <c r="B1467">
        <v>5472.93</v>
      </c>
    </row>
    <row r="1468" spans="1:2" x14ac:dyDescent="0.25">
      <c r="A1468" s="3">
        <v>39387</v>
      </c>
      <c r="B1468">
        <v>5605.23</v>
      </c>
    </row>
    <row r="1469" spans="1:2" x14ac:dyDescent="0.25">
      <c r="A1469" s="3">
        <v>39386</v>
      </c>
      <c r="B1469">
        <v>5688.54</v>
      </c>
    </row>
    <row r="1470" spans="1:2" x14ac:dyDescent="0.25">
      <c r="A1470" s="3">
        <v>39385</v>
      </c>
      <c r="B1470">
        <v>5596.07</v>
      </c>
    </row>
    <row r="1471" spans="1:2" x14ac:dyDescent="0.25">
      <c r="A1471" s="3">
        <v>39384</v>
      </c>
      <c r="B1471">
        <v>5508.36</v>
      </c>
    </row>
    <row r="1472" spans="1:2" x14ac:dyDescent="0.25">
      <c r="A1472" s="3">
        <v>39381</v>
      </c>
      <c r="B1472">
        <v>5394.81</v>
      </c>
    </row>
    <row r="1473" spans="1:2" x14ac:dyDescent="0.25">
      <c r="A1473" s="3">
        <v>39380</v>
      </c>
      <c r="B1473">
        <v>5333.79</v>
      </c>
    </row>
    <row r="1474" spans="1:2" x14ac:dyDescent="0.25">
      <c r="A1474" s="3">
        <v>39379</v>
      </c>
      <c r="B1474">
        <v>5588.01</v>
      </c>
    </row>
    <row r="1475" spans="1:2" x14ac:dyDescent="0.25">
      <c r="A1475" s="3">
        <v>39378</v>
      </c>
      <c r="B1475">
        <v>5540.09</v>
      </c>
    </row>
    <row r="1476" spans="1:2" x14ac:dyDescent="0.25">
      <c r="A1476" s="3">
        <v>39377</v>
      </c>
      <c r="B1476">
        <v>5472.68</v>
      </c>
    </row>
    <row r="1477" spans="1:2" x14ac:dyDescent="0.25">
      <c r="A1477" s="3">
        <v>39374</v>
      </c>
      <c r="B1477">
        <v>5614.06</v>
      </c>
    </row>
    <row r="1478" spans="1:2" x14ac:dyDescent="0.25">
      <c r="A1478" s="3">
        <v>39373</v>
      </c>
      <c r="B1478">
        <v>5615.75</v>
      </c>
    </row>
    <row r="1479" spans="1:2" x14ac:dyDescent="0.25">
      <c r="A1479" s="3">
        <v>39372</v>
      </c>
      <c r="B1479">
        <v>5824.12</v>
      </c>
    </row>
    <row r="1480" spans="1:2" x14ac:dyDescent="0.25">
      <c r="A1480" s="3">
        <v>39371</v>
      </c>
      <c r="B1480">
        <v>5877.2</v>
      </c>
    </row>
    <row r="1481" spans="1:2" x14ac:dyDescent="0.25">
      <c r="A1481" s="3">
        <v>39370</v>
      </c>
      <c r="B1481">
        <v>5821.45</v>
      </c>
    </row>
    <row r="1482" spans="1:2" x14ac:dyDescent="0.25">
      <c r="A1482" s="3">
        <v>39367</v>
      </c>
      <c r="B1482">
        <v>5737.22</v>
      </c>
    </row>
    <row r="1483" spans="1:2" x14ac:dyDescent="0.25">
      <c r="A1483" s="3">
        <v>39366</v>
      </c>
      <c r="B1483">
        <v>5760.08</v>
      </c>
    </row>
    <row r="1484" spans="1:2" x14ac:dyDescent="0.25">
      <c r="A1484" s="3">
        <v>39365</v>
      </c>
      <c r="B1484">
        <v>5685.76</v>
      </c>
    </row>
    <row r="1485" spans="1:2" x14ac:dyDescent="0.25">
      <c r="A1485" s="3">
        <v>39364</v>
      </c>
      <c r="B1485">
        <v>5675.93</v>
      </c>
    </row>
    <row r="1486" spans="1:2" x14ac:dyDescent="0.25">
      <c r="A1486" s="3">
        <v>39363</v>
      </c>
      <c r="B1486">
        <v>5653.14</v>
      </c>
    </row>
    <row r="1487" spans="1:2" x14ac:dyDescent="0.25">
      <c r="A1487" s="3">
        <v>39353</v>
      </c>
      <c r="B1487">
        <v>5580.81</v>
      </c>
    </row>
    <row r="1488" spans="1:2" x14ac:dyDescent="0.25">
      <c r="A1488" s="3">
        <v>39352</v>
      </c>
      <c r="B1488">
        <v>5427.66</v>
      </c>
    </row>
    <row r="1489" spans="1:2" x14ac:dyDescent="0.25">
      <c r="A1489" s="3">
        <v>39351</v>
      </c>
      <c r="B1489">
        <v>5361.02</v>
      </c>
    </row>
    <row r="1490" spans="1:2" x14ac:dyDescent="0.25">
      <c r="A1490" s="3">
        <v>39350</v>
      </c>
      <c r="B1490">
        <v>5454.62</v>
      </c>
    </row>
    <row r="1491" spans="1:2" x14ac:dyDescent="0.25">
      <c r="A1491" s="3">
        <v>39349</v>
      </c>
      <c r="B1491">
        <v>5513.9</v>
      </c>
    </row>
    <row r="1492" spans="1:2" x14ac:dyDescent="0.25">
      <c r="A1492" s="3">
        <v>39346</v>
      </c>
      <c r="B1492">
        <v>5468.1</v>
      </c>
    </row>
    <row r="1493" spans="1:2" x14ac:dyDescent="0.25">
      <c r="A1493" s="3">
        <v>39345</v>
      </c>
      <c r="B1493">
        <v>5494.92</v>
      </c>
    </row>
    <row r="1494" spans="1:2" x14ac:dyDescent="0.25">
      <c r="A1494" s="3">
        <v>39344</v>
      </c>
      <c r="B1494">
        <v>5419.27</v>
      </c>
    </row>
    <row r="1495" spans="1:2" x14ac:dyDescent="0.25">
      <c r="A1495" s="3">
        <v>39343</v>
      </c>
      <c r="B1495">
        <v>5476.84</v>
      </c>
    </row>
    <row r="1496" spans="1:2" x14ac:dyDescent="0.25">
      <c r="A1496" s="3">
        <v>39342</v>
      </c>
      <c r="B1496">
        <v>5498.91</v>
      </c>
    </row>
    <row r="1497" spans="1:2" x14ac:dyDescent="0.25">
      <c r="A1497" s="3">
        <v>39339</v>
      </c>
      <c r="B1497">
        <v>5397.28</v>
      </c>
    </row>
    <row r="1498" spans="1:2" x14ac:dyDescent="0.25">
      <c r="A1498" s="3">
        <v>39338</v>
      </c>
      <c r="B1498">
        <v>5349.97</v>
      </c>
    </row>
    <row r="1499" spans="1:2" x14ac:dyDescent="0.25">
      <c r="A1499" s="3">
        <v>39337</v>
      </c>
      <c r="B1499">
        <v>5202.8599999999997</v>
      </c>
    </row>
    <row r="1500" spans="1:2" x14ac:dyDescent="0.25">
      <c r="A1500" s="3">
        <v>39336</v>
      </c>
      <c r="B1500">
        <v>5124.09</v>
      </c>
    </row>
    <row r="1501" spans="1:2" x14ac:dyDescent="0.25">
      <c r="A1501" s="3">
        <v>39335</v>
      </c>
      <c r="B1501">
        <v>5377.22</v>
      </c>
    </row>
    <row r="1502" spans="1:2" x14ac:dyDescent="0.25">
      <c r="A1502" s="3">
        <v>39332</v>
      </c>
      <c r="B1502">
        <v>5294.8</v>
      </c>
    </row>
    <row r="1503" spans="1:2" x14ac:dyDescent="0.25">
      <c r="A1503" s="3">
        <v>39331</v>
      </c>
      <c r="B1503">
        <v>5412.04</v>
      </c>
    </row>
    <row r="1504" spans="1:2" x14ac:dyDescent="0.25">
      <c r="A1504" s="3">
        <v>39330</v>
      </c>
      <c r="B1504">
        <v>5363.25</v>
      </c>
    </row>
    <row r="1505" spans="1:2" x14ac:dyDescent="0.25">
      <c r="A1505" s="3">
        <v>39329</v>
      </c>
      <c r="B1505">
        <v>5360.33</v>
      </c>
    </row>
    <row r="1506" spans="1:2" x14ac:dyDescent="0.25">
      <c r="A1506" s="3">
        <v>39328</v>
      </c>
      <c r="B1506">
        <v>5419.17</v>
      </c>
    </row>
    <row r="1507" spans="1:2" x14ac:dyDescent="0.25">
      <c r="A1507" s="3">
        <v>39325</v>
      </c>
      <c r="B1507">
        <v>5296.81</v>
      </c>
    </row>
    <row r="1508" spans="1:2" x14ac:dyDescent="0.25">
      <c r="A1508" s="3">
        <v>39324</v>
      </c>
      <c r="B1508">
        <v>5241.2299999999996</v>
      </c>
    </row>
    <row r="1509" spans="1:2" x14ac:dyDescent="0.25">
      <c r="A1509" s="3">
        <v>39323</v>
      </c>
      <c r="B1509">
        <v>5171.82</v>
      </c>
    </row>
    <row r="1510" spans="1:2" x14ac:dyDescent="0.25">
      <c r="A1510" s="3">
        <v>39322</v>
      </c>
      <c r="B1510">
        <v>5251.77</v>
      </c>
    </row>
    <row r="1511" spans="1:2" x14ac:dyDescent="0.25">
      <c r="A1511" s="3">
        <v>39321</v>
      </c>
      <c r="B1511">
        <v>5243.15</v>
      </c>
    </row>
    <row r="1512" spans="1:2" x14ac:dyDescent="0.25">
      <c r="A1512" s="3">
        <v>39318</v>
      </c>
      <c r="B1512">
        <v>5217.58</v>
      </c>
    </row>
    <row r="1513" spans="1:2" x14ac:dyDescent="0.25">
      <c r="A1513" s="3">
        <v>39317</v>
      </c>
      <c r="B1513">
        <v>5135.93</v>
      </c>
    </row>
    <row r="1514" spans="1:2" x14ac:dyDescent="0.25">
      <c r="A1514" s="3">
        <v>39316</v>
      </c>
      <c r="B1514">
        <v>5051.6899999999996</v>
      </c>
    </row>
    <row r="1515" spans="1:2" x14ac:dyDescent="0.25">
      <c r="A1515" s="3">
        <v>39315</v>
      </c>
      <c r="B1515">
        <v>4972.71</v>
      </c>
    </row>
    <row r="1516" spans="1:2" x14ac:dyDescent="0.25">
      <c r="A1516" s="3">
        <v>39314</v>
      </c>
      <c r="B1516">
        <v>4885.43</v>
      </c>
    </row>
    <row r="1517" spans="1:2" x14ac:dyDescent="0.25">
      <c r="A1517" s="3">
        <v>39311</v>
      </c>
      <c r="B1517">
        <v>4626.58</v>
      </c>
    </row>
    <row r="1518" spans="1:2" x14ac:dyDescent="0.25">
      <c r="A1518" s="3">
        <v>39310</v>
      </c>
      <c r="B1518">
        <v>4721.9399999999996</v>
      </c>
    </row>
    <row r="1519" spans="1:2" x14ac:dyDescent="0.25">
      <c r="A1519" s="3">
        <v>39309</v>
      </c>
      <c r="B1519">
        <v>4798.75</v>
      </c>
    </row>
    <row r="1520" spans="1:2" x14ac:dyDescent="0.25">
      <c r="A1520" s="3">
        <v>39308</v>
      </c>
      <c r="B1520">
        <v>4795.57</v>
      </c>
    </row>
    <row r="1521" spans="1:2" x14ac:dyDescent="0.25">
      <c r="A1521" s="3">
        <v>39307</v>
      </c>
      <c r="B1521">
        <v>4721.1899999999996</v>
      </c>
    </row>
    <row r="1522" spans="1:2" x14ac:dyDescent="0.25">
      <c r="A1522" s="3">
        <v>39304</v>
      </c>
      <c r="B1522">
        <v>4726.68</v>
      </c>
    </row>
    <row r="1523" spans="1:2" x14ac:dyDescent="0.25">
      <c r="A1523" s="3">
        <v>39303</v>
      </c>
      <c r="B1523">
        <v>4777.29</v>
      </c>
    </row>
    <row r="1524" spans="1:2" x14ac:dyDescent="0.25">
      <c r="A1524" s="3">
        <v>39302</v>
      </c>
      <c r="B1524">
        <v>4668.09</v>
      </c>
    </row>
    <row r="1525" spans="1:2" x14ac:dyDescent="0.25">
      <c r="A1525" s="3">
        <v>39301</v>
      </c>
      <c r="B1525">
        <v>4724.55</v>
      </c>
    </row>
    <row r="1526" spans="1:2" x14ac:dyDescent="0.25">
      <c r="A1526" s="3">
        <v>39300</v>
      </c>
      <c r="B1526">
        <v>4703.9799999999996</v>
      </c>
    </row>
    <row r="1527" spans="1:2" x14ac:dyDescent="0.25">
      <c r="A1527" s="3">
        <v>39297</v>
      </c>
      <c r="B1527">
        <v>4598.38</v>
      </c>
    </row>
    <row r="1528" spans="1:2" x14ac:dyDescent="0.25">
      <c r="A1528" s="3">
        <v>39296</v>
      </c>
      <c r="B1528">
        <v>4436.1899999999996</v>
      </c>
    </row>
    <row r="1529" spans="1:2" x14ac:dyDescent="0.25">
      <c r="A1529" s="3">
        <v>39295</v>
      </c>
      <c r="B1529">
        <v>4290.4799999999996</v>
      </c>
    </row>
    <row r="1530" spans="1:2" x14ac:dyDescent="0.25">
      <c r="A1530" s="3">
        <v>39294</v>
      </c>
      <c r="B1530">
        <v>4460.5600000000004</v>
      </c>
    </row>
    <row r="1531" spans="1:2" x14ac:dyDescent="0.25">
      <c r="A1531" s="3">
        <v>39293</v>
      </c>
      <c r="B1531">
        <v>4410.3</v>
      </c>
    </row>
    <row r="1532" spans="1:2" x14ac:dyDescent="0.25">
      <c r="A1532" s="3">
        <v>39290</v>
      </c>
      <c r="B1532">
        <v>4307.1400000000003</v>
      </c>
    </row>
    <row r="1533" spans="1:2" x14ac:dyDescent="0.25">
      <c r="A1533" s="3">
        <v>39289</v>
      </c>
      <c r="B1533">
        <v>4303.1899999999996</v>
      </c>
    </row>
    <row r="1534" spans="1:2" x14ac:dyDescent="0.25">
      <c r="A1534" s="3">
        <v>39288</v>
      </c>
      <c r="B1534">
        <v>4255.46</v>
      </c>
    </row>
    <row r="1535" spans="1:2" x14ac:dyDescent="0.25">
      <c r="A1535" s="3">
        <v>39287</v>
      </c>
      <c r="B1535">
        <v>4161.3500000000004</v>
      </c>
    </row>
    <row r="1536" spans="1:2" x14ac:dyDescent="0.25">
      <c r="A1536" s="3">
        <v>39286</v>
      </c>
      <c r="B1536">
        <v>4156.72</v>
      </c>
    </row>
    <row r="1537" spans="1:2" x14ac:dyDescent="0.25">
      <c r="A1537" s="3">
        <v>39283</v>
      </c>
      <c r="B1537">
        <v>3971.88</v>
      </c>
    </row>
    <row r="1538" spans="1:2" x14ac:dyDescent="0.25">
      <c r="A1538" s="3">
        <v>39282</v>
      </c>
      <c r="B1538">
        <v>3807</v>
      </c>
    </row>
    <row r="1539" spans="1:2" x14ac:dyDescent="0.25">
      <c r="A1539" s="3">
        <v>39281</v>
      </c>
      <c r="B1539">
        <v>3807.57</v>
      </c>
    </row>
    <row r="1540" spans="1:2" x14ac:dyDescent="0.25">
      <c r="A1540" s="3">
        <v>39280</v>
      </c>
      <c r="B1540">
        <v>3789.65</v>
      </c>
    </row>
    <row r="1541" spans="1:2" x14ac:dyDescent="0.25">
      <c r="A1541" s="3">
        <v>39279</v>
      </c>
      <c r="B1541">
        <v>3697.97</v>
      </c>
    </row>
    <row r="1542" spans="1:2" x14ac:dyDescent="0.25">
      <c r="A1542" s="3">
        <v>39276</v>
      </c>
      <c r="B1542">
        <v>3820.12</v>
      </c>
    </row>
    <row r="1543" spans="1:2" x14ac:dyDescent="0.25">
      <c r="A1543" s="3">
        <v>39275</v>
      </c>
      <c r="B1543">
        <v>3816.92</v>
      </c>
    </row>
    <row r="1544" spans="1:2" x14ac:dyDescent="0.25">
      <c r="A1544" s="3">
        <v>39274</v>
      </c>
      <c r="B1544">
        <v>3789.87</v>
      </c>
    </row>
    <row r="1545" spans="1:2" x14ac:dyDescent="0.25">
      <c r="A1545" s="3">
        <v>39273</v>
      </c>
      <c r="B1545">
        <v>3775.62</v>
      </c>
    </row>
    <row r="1546" spans="1:2" x14ac:dyDescent="0.25">
      <c r="A1546" s="3">
        <v>39272</v>
      </c>
      <c r="B1546">
        <v>3821.3</v>
      </c>
    </row>
    <row r="1547" spans="1:2" x14ac:dyDescent="0.25">
      <c r="A1547" s="3">
        <v>39269</v>
      </c>
      <c r="B1547">
        <v>3710.28</v>
      </c>
    </row>
    <row r="1548" spans="1:2" x14ac:dyDescent="0.25">
      <c r="A1548" s="3">
        <v>39268</v>
      </c>
      <c r="B1548">
        <v>3537.44</v>
      </c>
    </row>
    <row r="1549" spans="1:2" x14ac:dyDescent="0.25">
      <c r="A1549" s="3">
        <v>39267</v>
      </c>
      <c r="B1549">
        <v>3743.58</v>
      </c>
    </row>
    <row r="1550" spans="1:2" x14ac:dyDescent="0.25">
      <c r="A1550" s="3">
        <v>39266</v>
      </c>
      <c r="B1550">
        <v>3832.23</v>
      </c>
    </row>
    <row r="1551" spans="1:2" x14ac:dyDescent="0.25">
      <c r="A1551" s="3">
        <v>39265</v>
      </c>
      <c r="B1551">
        <v>3757.66</v>
      </c>
    </row>
    <row r="1552" spans="1:2" x14ac:dyDescent="0.25">
      <c r="A1552" s="3">
        <v>39262</v>
      </c>
      <c r="B1552">
        <v>3764.08</v>
      </c>
    </row>
    <row r="1553" spans="1:2" x14ac:dyDescent="0.25">
      <c r="A1553" s="3">
        <v>39261</v>
      </c>
      <c r="B1553">
        <v>3858.52</v>
      </c>
    </row>
    <row r="1554" spans="1:2" x14ac:dyDescent="0.25">
      <c r="A1554" s="3">
        <v>39260</v>
      </c>
      <c r="B1554">
        <v>4040.48</v>
      </c>
    </row>
    <row r="1555" spans="1:2" x14ac:dyDescent="0.25">
      <c r="A1555" s="3">
        <v>39259</v>
      </c>
      <c r="B1555">
        <v>3928.21</v>
      </c>
    </row>
    <row r="1556" spans="1:2" x14ac:dyDescent="0.25">
      <c r="A1556" s="3">
        <v>39258</v>
      </c>
      <c r="B1556">
        <v>3877.59</v>
      </c>
    </row>
    <row r="1557" spans="1:2" x14ac:dyDescent="0.25">
      <c r="A1557" s="3">
        <v>39255</v>
      </c>
      <c r="B1557">
        <v>4051.43</v>
      </c>
    </row>
    <row r="1558" spans="1:2" x14ac:dyDescent="0.25">
      <c r="A1558" s="3">
        <v>39254</v>
      </c>
      <c r="B1558">
        <v>4197.28</v>
      </c>
    </row>
    <row r="1559" spans="1:2" x14ac:dyDescent="0.25">
      <c r="A1559" s="3">
        <v>39253</v>
      </c>
      <c r="B1559">
        <v>4157.6000000000004</v>
      </c>
    </row>
    <row r="1560" spans="1:2" x14ac:dyDescent="0.25">
      <c r="A1560" s="3">
        <v>39252</v>
      </c>
      <c r="B1560">
        <v>4253</v>
      </c>
    </row>
    <row r="1561" spans="1:2" x14ac:dyDescent="0.25">
      <c r="A1561" s="3">
        <v>39251</v>
      </c>
      <c r="B1561">
        <v>4227.57</v>
      </c>
    </row>
    <row r="1562" spans="1:2" x14ac:dyDescent="0.25">
      <c r="A1562" s="3">
        <v>39248</v>
      </c>
      <c r="B1562">
        <v>4099.38</v>
      </c>
    </row>
    <row r="1563" spans="1:2" x14ac:dyDescent="0.25">
      <c r="A1563" s="3">
        <v>39247</v>
      </c>
      <c r="B1563">
        <v>4075.82</v>
      </c>
    </row>
    <row r="1564" spans="1:2" x14ac:dyDescent="0.25">
      <c r="A1564" s="3">
        <v>39246</v>
      </c>
      <c r="B1564">
        <v>4118.2700000000004</v>
      </c>
    </row>
    <row r="1565" spans="1:2" x14ac:dyDescent="0.25">
      <c r="A1565" s="3">
        <v>39245</v>
      </c>
      <c r="B1565">
        <v>4036.11</v>
      </c>
    </row>
    <row r="1566" spans="1:2" x14ac:dyDescent="0.25">
      <c r="A1566" s="3">
        <v>39244</v>
      </c>
      <c r="B1566">
        <v>3931.86</v>
      </c>
    </row>
    <row r="1567" spans="1:2" x14ac:dyDescent="0.25">
      <c r="A1567" s="3">
        <v>39241</v>
      </c>
      <c r="B1567">
        <v>3837.87</v>
      </c>
    </row>
    <row r="1568" spans="1:2" x14ac:dyDescent="0.25">
      <c r="A1568" s="3">
        <v>39240</v>
      </c>
      <c r="B1568">
        <v>3802.3</v>
      </c>
    </row>
    <row r="1569" spans="1:2" x14ac:dyDescent="0.25">
      <c r="A1569" s="3">
        <v>39239</v>
      </c>
      <c r="B1569">
        <v>3677.58</v>
      </c>
    </row>
    <row r="1570" spans="1:2" x14ac:dyDescent="0.25">
      <c r="A1570" s="3">
        <v>39238</v>
      </c>
      <c r="B1570">
        <v>3634.63</v>
      </c>
    </row>
    <row r="1571" spans="1:2" x14ac:dyDescent="0.25">
      <c r="A1571" s="3">
        <v>39237</v>
      </c>
      <c r="B1571">
        <v>3511.43</v>
      </c>
    </row>
    <row r="1572" spans="1:2" x14ac:dyDescent="0.25">
      <c r="A1572" s="3">
        <v>39234</v>
      </c>
      <c r="B1572">
        <v>3803.95</v>
      </c>
    </row>
    <row r="1573" spans="1:2" x14ac:dyDescent="0.25">
      <c r="A1573" s="3">
        <v>39233</v>
      </c>
      <c r="B1573">
        <v>3927.95</v>
      </c>
    </row>
    <row r="1574" spans="1:2" x14ac:dyDescent="0.25">
      <c r="A1574" s="3">
        <v>39232</v>
      </c>
      <c r="B1574">
        <v>3886.46</v>
      </c>
    </row>
    <row r="1575" spans="1:2" x14ac:dyDescent="0.25">
      <c r="A1575" s="3">
        <v>39231</v>
      </c>
      <c r="B1575">
        <v>4168.29</v>
      </c>
    </row>
    <row r="1576" spans="1:2" x14ac:dyDescent="0.25">
      <c r="A1576" s="3">
        <v>39230</v>
      </c>
      <c r="B1576">
        <v>4072.58</v>
      </c>
    </row>
    <row r="1577" spans="1:2" x14ac:dyDescent="0.25">
      <c r="A1577" s="3">
        <v>39227</v>
      </c>
      <c r="B1577">
        <v>3985.25</v>
      </c>
    </row>
    <row r="1578" spans="1:2" x14ac:dyDescent="0.25">
      <c r="A1578" s="3">
        <v>39226</v>
      </c>
      <c r="B1578">
        <v>3919.75</v>
      </c>
    </row>
    <row r="1579" spans="1:2" x14ac:dyDescent="0.25">
      <c r="A1579" s="3">
        <v>39225</v>
      </c>
      <c r="B1579">
        <v>3938.95</v>
      </c>
    </row>
    <row r="1580" spans="1:2" x14ac:dyDescent="0.25">
      <c r="A1580" s="3">
        <v>39224</v>
      </c>
      <c r="B1580">
        <v>3870.49</v>
      </c>
    </row>
    <row r="1581" spans="1:2" x14ac:dyDescent="0.25">
      <c r="A1581" s="3">
        <v>39223</v>
      </c>
      <c r="B1581">
        <v>3831.44</v>
      </c>
    </row>
    <row r="1582" spans="1:2" x14ac:dyDescent="0.25">
      <c r="A1582" s="3">
        <v>39220</v>
      </c>
      <c r="B1582">
        <v>3776.63</v>
      </c>
    </row>
    <row r="1583" spans="1:2" x14ac:dyDescent="0.25">
      <c r="A1583" s="3">
        <v>39219</v>
      </c>
      <c r="B1583">
        <v>3778.61</v>
      </c>
    </row>
    <row r="1584" spans="1:2" x14ac:dyDescent="0.25">
      <c r="A1584" s="3">
        <v>39218</v>
      </c>
      <c r="B1584">
        <v>3700.29</v>
      </c>
    </row>
    <row r="1585" spans="1:2" x14ac:dyDescent="0.25">
      <c r="A1585" s="3">
        <v>39217</v>
      </c>
      <c r="B1585">
        <v>3604.64</v>
      </c>
    </row>
    <row r="1586" spans="1:2" x14ac:dyDescent="0.25">
      <c r="A1586" s="3">
        <v>39216</v>
      </c>
      <c r="B1586">
        <v>3734.42</v>
      </c>
    </row>
    <row r="1587" spans="1:2" x14ac:dyDescent="0.25">
      <c r="A1587" s="3">
        <v>39213</v>
      </c>
      <c r="B1587">
        <v>3702.61</v>
      </c>
    </row>
    <row r="1588" spans="1:2" x14ac:dyDescent="0.25">
      <c r="A1588" s="3">
        <v>39212</v>
      </c>
      <c r="B1588">
        <v>3724.51</v>
      </c>
    </row>
    <row r="1589" spans="1:2" x14ac:dyDescent="0.25">
      <c r="A1589" s="3">
        <v>39211</v>
      </c>
      <c r="B1589">
        <v>3701.28</v>
      </c>
    </row>
    <row r="1590" spans="1:2" x14ac:dyDescent="0.25">
      <c r="A1590" s="3">
        <v>39210</v>
      </c>
      <c r="B1590">
        <v>3686.03</v>
      </c>
    </row>
    <row r="1591" spans="1:2" x14ac:dyDescent="0.25">
      <c r="A1591" s="3">
        <v>39202</v>
      </c>
      <c r="B1591">
        <v>3558.71</v>
      </c>
    </row>
    <row r="1592" spans="1:2" x14ac:dyDescent="0.25">
      <c r="A1592" s="3">
        <v>39199</v>
      </c>
      <c r="B1592">
        <v>3470.52</v>
      </c>
    </row>
    <row r="1593" spans="1:2" x14ac:dyDescent="0.25">
      <c r="A1593" s="3">
        <v>39198</v>
      </c>
      <c r="B1593">
        <v>3493.58</v>
      </c>
    </row>
    <row r="1594" spans="1:2" x14ac:dyDescent="0.25">
      <c r="A1594" s="3">
        <v>39197</v>
      </c>
      <c r="B1594">
        <v>3448.28</v>
      </c>
    </row>
    <row r="1595" spans="1:2" x14ac:dyDescent="0.25">
      <c r="A1595" s="3">
        <v>39196</v>
      </c>
      <c r="B1595">
        <v>3445.2</v>
      </c>
    </row>
    <row r="1596" spans="1:2" x14ac:dyDescent="0.25">
      <c r="A1596" s="3">
        <v>39195</v>
      </c>
      <c r="B1596">
        <v>3431.32</v>
      </c>
    </row>
    <row r="1597" spans="1:2" x14ac:dyDescent="0.25">
      <c r="A1597" s="3">
        <v>39192</v>
      </c>
      <c r="B1597">
        <v>3289.28</v>
      </c>
    </row>
    <row r="1598" spans="1:2" x14ac:dyDescent="0.25">
      <c r="A1598" s="3">
        <v>39191</v>
      </c>
      <c r="B1598">
        <v>3150.3</v>
      </c>
    </row>
    <row r="1599" spans="1:2" x14ac:dyDescent="0.25">
      <c r="A1599" s="3">
        <v>39190</v>
      </c>
      <c r="B1599">
        <v>3304.5</v>
      </c>
    </row>
    <row r="1600" spans="1:2" x14ac:dyDescent="0.25">
      <c r="A1600" s="3">
        <v>39189</v>
      </c>
      <c r="B1600">
        <v>3283.6</v>
      </c>
    </row>
    <row r="1601" spans="1:2" x14ac:dyDescent="0.25">
      <c r="A1601" s="3">
        <v>39188</v>
      </c>
      <c r="B1601">
        <v>3256</v>
      </c>
    </row>
    <row r="1602" spans="1:2" x14ac:dyDescent="0.25">
      <c r="A1602" s="3">
        <v>39185</v>
      </c>
      <c r="B1602">
        <v>3169.23</v>
      </c>
    </row>
    <row r="1603" spans="1:2" x14ac:dyDescent="0.25">
      <c r="A1603" s="3">
        <v>39184</v>
      </c>
      <c r="B1603">
        <v>3176.44</v>
      </c>
    </row>
    <row r="1604" spans="1:2" x14ac:dyDescent="0.25">
      <c r="A1604" s="3">
        <v>39183</v>
      </c>
      <c r="B1604">
        <v>3121.32</v>
      </c>
    </row>
    <row r="1605" spans="1:2" x14ac:dyDescent="0.25">
      <c r="A1605" s="3">
        <v>39182</v>
      </c>
      <c r="B1605">
        <v>3081.57</v>
      </c>
    </row>
    <row r="1606" spans="1:2" x14ac:dyDescent="0.25">
      <c r="A1606" s="3">
        <v>39181</v>
      </c>
      <c r="B1606">
        <v>3038.17</v>
      </c>
    </row>
    <row r="1607" spans="1:2" x14ac:dyDescent="0.25">
      <c r="A1607" s="3">
        <v>39178</v>
      </c>
      <c r="B1607">
        <v>2972.01</v>
      </c>
    </row>
    <row r="1608" spans="1:2" x14ac:dyDescent="0.25">
      <c r="A1608" s="3">
        <v>39177</v>
      </c>
      <c r="B1608">
        <v>2945.05</v>
      </c>
    </row>
    <row r="1609" spans="1:2" x14ac:dyDescent="0.25">
      <c r="A1609" s="3">
        <v>39176</v>
      </c>
      <c r="B1609">
        <v>2911.82</v>
      </c>
    </row>
    <row r="1610" spans="1:2" x14ac:dyDescent="0.25">
      <c r="A1610" s="3">
        <v>39175</v>
      </c>
      <c r="B1610">
        <v>2888.12</v>
      </c>
    </row>
    <row r="1611" spans="1:2" x14ac:dyDescent="0.25">
      <c r="A1611" s="3">
        <v>39174</v>
      </c>
      <c r="B1611">
        <v>2850.11</v>
      </c>
    </row>
    <row r="1612" spans="1:2" x14ac:dyDescent="0.25">
      <c r="A1612" s="3">
        <v>39171</v>
      </c>
      <c r="B1612">
        <v>2781.78</v>
      </c>
    </row>
    <row r="1613" spans="1:2" x14ac:dyDescent="0.25">
      <c r="A1613" s="3">
        <v>39170</v>
      </c>
      <c r="B1613">
        <v>2783.31</v>
      </c>
    </row>
    <row r="1614" spans="1:2" x14ac:dyDescent="0.25">
      <c r="A1614" s="3">
        <v>39169</v>
      </c>
      <c r="B1614">
        <v>2797.65</v>
      </c>
    </row>
    <row r="1615" spans="1:2" x14ac:dyDescent="0.25">
      <c r="A1615" s="3">
        <v>39168</v>
      </c>
      <c r="B1615">
        <v>2784.02</v>
      </c>
    </row>
    <row r="1616" spans="1:2" x14ac:dyDescent="0.25">
      <c r="A1616" s="3">
        <v>39167</v>
      </c>
      <c r="B1616">
        <v>2764.03</v>
      </c>
    </row>
    <row r="1617" spans="1:2" x14ac:dyDescent="0.25">
      <c r="A1617" s="3">
        <v>39164</v>
      </c>
      <c r="B1617">
        <v>2716.27</v>
      </c>
    </row>
    <row r="1618" spans="1:2" x14ac:dyDescent="0.25">
      <c r="A1618" s="3">
        <v>39163</v>
      </c>
      <c r="B1618">
        <v>2711.32</v>
      </c>
    </row>
    <row r="1619" spans="1:2" x14ac:dyDescent="0.25">
      <c r="A1619" s="3">
        <v>39162</v>
      </c>
      <c r="B1619">
        <v>2702.6</v>
      </c>
    </row>
    <row r="1620" spans="1:2" x14ac:dyDescent="0.25">
      <c r="A1620" s="3">
        <v>39161</v>
      </c>
      <c r="B1620">
        <v>2672.77</v>
      </c>
    </row>
    <row r="1621" spans="1:2" x14ac:dyDescent="0.25">
      <c r="A1621" s="3">
        <v>39160</v>
      </c>
      <c r="B1621">
        <v>2659.41</v>
      </c>
    </row>
    <row r="1622" spans="1:2" x14ac:dyDescent="0.25">
      <c r="A1622" s="3">
        <v>39157</v>
      </c>
      <c r="B1622">
        <v>2604.23</v>
      </c>
    </row>
    <row r="1623" spans="1:2" x14ac:dyDescent="0.25">
      <c r="A1623" s="3">
        <v>39156</v>
      </c>
      <c r="B1623">
        <v>2645.55</v>
      </c>
    </row>
    <row r="1624" spans="1:2" x14ac:dyDescent="0.25">
      <c r="A1624" s="3">
        <v>39155</v>
      </c>
      <c r="B1624">
        <v>2597.36</v>
      </c>
    </row>
    <row r="1625" spans="1:2" x14ac:dyDescent="0.25">
      <c r="A1625" s="3">
        <v>39154</v>
      </c>
      <c r="B1625">
        <v>2640.17</v>
      </c>
    </row>
    <row r="1626" spans="1:2" x14ac:dyDescent="0.25">
      <c r="A1626" s="3">
        <v>39153</v>
      </c>
      <c r="B1626">
        <v>2616.17</v>
      </c>
    </row>
    <row r="1627" spans="1:2" x14ac:dyDescent="0.25">
      <c r="A1627" s="3">
        <v>39150</v>
      </c>
      <c r="B1627">
        <v>2611.39</v>
      </c>
    </row>
    <row r="1628" spans="1:2" x14ac:dyDescent="0.25">
      <c r="A1628" s="3">
        <v>39149</v>
      </c>
      <c r="B1628">
        <v>2627.63</v>
      </c>
    </row>
    <row r="1629" spans="1:2" x14ac:dyDescent="0.25">
      <c r="A1629" s="3">
        <v>39148</v>
      </c>
      <c r="B1629">
        <v>2589.44</v>
      </c>
    </row>
    <row r="1630" spans="1:2" x14ac:dyDescent="0.25">
      <c r="A1630" s="3">
        <v>39147</v>
      </c>
      <c r="B1630">
        <v>2520.29</v>
      </c>
    </row>
    <row r="1631" spans="1:2" x14ac:dyDescent="0.25">
      <c r="A1631" s="3">
        <v>39146</v>
      </c>
      <c r="B1631">
        <v>2475.61</v>
      </c>
    </row>
    <row r="1632" spans="1:2" x14ac:dyDescent="0.25">
      <c r="A1632" s="3">
        <v>39143</v>
      </c>
      <c r="B1632">
        <v>2508.73</v>
      </c>
    </row>
    <row r="1633" spans="1:2" x14ac:dyDescent="0.25">
      <c r="A1633" s="3">
        <v>39142</v>
      </c>
      <c r="B1633">
        <v>2473.54</v>
      </c>
    </row>
    <row r="1634" spans="1:2" x14ac:dyDescent="0.25">
      <c r="A1634" s="3">
        <v>39141</v>
      </c>
      <c r="B1634">
        <v>2544.5700000000002</v>
      </c>
    </row>
    <row r="1635" spans="1:2" x14ac:dyDescent="0.25">
      <c r="A1635" s="3">
        <v>39140</v>
      </c>
      <c r="B1635">
        <v>2457.4899999999998</v>
      </c>
    </row>
    <row r="1636" spans="1:2" x14ac:dyDescent="0.25">
      <c r="A1636" s="3">
        <v>39139</v>
      </c>
      <c r="B1636">
        <v>2707.68</v>
      </c>
    </row>
    <row r="1637" spans="1:2" x14ac:dyDescent="0.25">
      <c r="A1637" s="3">
        <v>39129</v>
      </c>
      <c r="B1637">
        <v>2676.74</v>
      </c>
    </row>
    <row r="1638" spans="1:2" x14ac:dyDescent="0.25">
      <c r="A1638" s="3">
        <v>39128</v>
      </c>
      <c r="B1638">
        <v>2668.63</v>
      </c>
    </row>
    <row r="1639" spans="1:2" x14ac:dyDescent="0.25">
      <c r="A1639" s="3">
        <v>39127</v>
      </c>
      <c r="B1639">
        <v>2588.35</v>
      </c>
    </row>
    <row r="1640" spans="1:2" x14ac:dyDescent="0.25">
      <c r="A1640" s="3">
        <v>39126</v>
      </c>
      <c r="B1640">
        <v>2522.63</v>
      </c>
    </row>
    <row r="1641" spans="1:2" x14ac:dyDescent="0.25">
      <c r="A1641" s="3">
        <v>39125</v>
      </c>
      <c r="B1641">
        <v>2485.39</v>
      </c>
    </row>
    <row r="1642" spans="1:2" x14ac:dyDescent="0.25">
      <c r="A1642" s="3">
        <v>39122</v>
      </c>
      <c r="B1642">
        <v>2397.25</v>
      </c>
    </row>
    <row r="1643" spans="1:2" x14ac:dyDescent="0.25">
      <c r="A1643" s="3">
        <v>39121</v>
      </c>
      <c r="B1643">
        <v>2410.6</v>
      </c>
    </row>
    <row r="1644" spans="1:2" x14ac:dyDescent="0.25">
      <c r="A1644" s="3">
        <v>39120</v>
      </c>
      <c r="B1644">
        <v>2369.79</v>
      </c>
    </row>
    <row r="1645" spans="1:2" x14ac:dyDescent="0.25">
      <c r="A1645" s="3">
        <v>39119</v>
      </c>
      <c r="B1645">
        <v>2316.04</v>
      </c>
    </row>
    <row r="1646" spans="1:2" x14ac:dyDescent="0.25">
      <c r="A1646" s="3">
        <v>39118</v>
      </c>
      <c r="B1646">
        <v>2271.8000000000002</v>
      </c>
    </row>
    <row r="1647" spans="1:2" x14ac:dyDescent="0.25">
      <c r="A1647" s="3">
        <v>39115</v>
      </c>
      <c r="B1647">
        <v>2298</v>
      </c>
    </row>
    <row r="1648" spans="1:2" x14ac:dyDescent="0.25">
      <c r="A1648" s="3">
        <v>39114</v>
      </c>
      <c r="B1648">
        <v>2395.17</v>
      </c>
    </row>
    <row r="1649" spans="1:2" x14ac:dyDescent="0.25">
      <c r="A1649" s="3">
        <v>39113</v>
      </c>
      <c r="B1649">
        <v>2385.34</v>
      </c>
    </row>
    <row r="1650" spans="1:2" x14ac:dyDescent="0.25">
      <c r="A1650" s="3">
        <v>39112</v>
      </c>
      <c r="B1650">
        <v>2551.88</v>
      </c>
    </row>
    <row r="1651" spans="1:2" x14ac:dyDescent="0.25">
      <c r="A1651" s="3">
        <v>39111</v>
      </c>
      <c r="B1651">
        <v>2576.92</v>
      </c>
    </row>
    <row r="1652" spans="1:2" x14ac:dyDescent="0.25">
      <c r="A1652" s="3">
        <v>39108</v>
      </c>
      <c r="B1652">
        <v>2512.92</v>
      </c>
    </row>
    <row r="1653" spans="1:2" x14ac:dyDescent="0.25">
      <c r="A1653" s="3">
        <v>39107</v>
      </c>
      <c r="B1653">
        <v>2452.83</v>
      </c>
    </row>
    <row r="1654" spans="1:2" x14ac:dyDescent="0.25">
      <c r="A1654" s="3">
        <v>39106</v>
      </c>
      <c r="B1654">
        <v>2536.4299999999998</v>
      </c>
    </row>
    <row r="1655" spans="1:2" x14ac:dyDescent="0.25">
      <c r="A1655" s="3">
        <v>39105</v>
      </c>
      <c r="B1655">
        <v>2508.13</v>
      </c>
    </row>
    <row r="1656" spans="1:2" x14ac:dyDescent="0.25">
      <c r="A1656" s="3">
        <v>39104</v>
      </c>
      <c r="B1656">
        <v>2491.31</v>
      </c>
    </row>
    <row r="1657" spans="1:2" x14ac:dyDescent="0.25">
      <c r="A1657" s="3">
        <v>39101</v>
      </c>
      <c r="B1657">
        <v>2396.09</v>
      </c>
    </row>
    <row r="1658" spans="1:2" x14ac:dyDescent="0.25">
      <c r="A1658" s="3">
        <v>39100</v>
      </c>
      <c r="B1658">
        <v>2317.09</v>
      </c>
    </row>
    <row r="1659" spans="1:2" x14ac:dyDescent="0.25">
      <c r="A1659" s="3">
        <v>39099</v>
      </c>
      <c r="B1659">
        <v>2308.92</v>
      </c>
    </row>
    <row r="1660" spans="1:2" x14ac:dyDescent="0.25">
      <c r="A1660" s="3">
        <v>39098</v>
      </c>
      <c r="B1660">
        <v>2353.87</v>
      </c>
    </row>
    <row r="1661" spans="1:2" x14ac:dyDescent="0.25">
      <c r="A1661" s="3">
        <v>39097</v>
      </c>
      <c r="B1661">
        <v>2287.34</v>
      </c>
    </row>
    <row r="1662" spans="1:2" x14ac:dyDescent="0.25">
      <c r="A1662" s="3">
        <v>39094</v>
      </c>
      <c r="B1662">
        <v>2173.75</v>
      </c>
    </row>
    <row r="1663" spans="1:2" x14ac:dyDescent="0.25">
      <c r="A1663" s="3">
        <v>39093</v>
      </c>
      <c r="B1663">
        <v>2231.62</v>
      </c>
    </row>
    <row r="1664" spans="1:2" x14ac:dyDescent="0.25">
      <c r="A1664" s="3">
        <v>39092</v>
      </c>
      <c r="B1664">
        <v>2255.9699999999998</v>
      </c>
    </row>
    <row r="1665" spans="1:2" x14ac:dyDescent="0.25">
      <c r="A1665" s="3">
        <v>39091</v>
      </c>
      <c r="B1665">
        <v>2200.09</v>
      </c>
    </row>
    <row r="1666" spans="1:2" x14ac:dyDescent="0.25">
      <c r="A1666" s="3">
        <v>39090</v>
      </c>
      <c r="B1666">
        <v>2131.56</v>
      </c>
    </row>
    <row r="1667" spans="1:2" x14ac:dyDescent="0.25">
      <c r="A1667" s="3">
        <v>39087</v>
      </c>
      <c r="B1667">
        <v>2072.87</v>
      </c>
    </row>
    <row r="1668" spans="1:2" x14ac:dyDescent="0.25">
      <c r="A1668" s="3">
        <v>39086</v>
      </c>
      <c r="B1668">
        <v>2067.09</v>
      </c>
    </row>
    <row r="1669" spans="1:2" x14ac:dyDescent="0.25">
      <c r="A1669" s="3">
        <v>39080</v>
      </c>
      <c r="B1669">
        <v>2041.05</v>
      </c>
    </row>
    <row r="1670" spans="1:2" x14ac:dyDescent="0.25">
      <c r="A1670" s="3">
        <v>39079</v>
      </c>
      <c r="B1670">
        <v>1979.93</v>
      </c>
    </row>
    <row r="1671" spans="1:2" x14ac:dyDescent="0.25">
      <c r="A1671" s="3">
        <v>39078</v>
      </c>
      <c r="B1671">
        <v>1982.88</v>
      </c>
    </row>
    <row r="1672" spans="1:2" x14ac:dyDescent="0.25">
      <c r="A1672" s="3">
        <v>39077</v>
      </c>
      <c r="B1672">
        <v>1938.24</v>
      </c>
    </row>
    <row r="1673" spans="1:2" x14ac:dyDescent="0.25">
      <c r="A1673" s="3">
        <v>39076</v>
      </c>
      <c r="B1673">
        <v>1939.1</v>
      </c>
    </row>
    <row r="1674" spans="1:2" x14ac:dyDescent="0.25">
      <c r="A1674" s="3">
        <v>39073</v>
      </c>
      <c r="B1674">
        <v>1895.64</v>
      </c>
    </row>
    <row r="1675" spans="1:2" x14ac:dyDescent="0.25">
      <c r="A1675" s="3">
        <v>39072</v>
      </c>
      <c r="B1675">
        <v>1908.99</v>
      </c>
    </row>
    <row r="1676" spans="1:2" x14ac:dyDescent="0.25">
      <c r="A1676" s="3">
        <v>39071</v>
      </c>
      <c r="B1676">
        <v>1936.55</v>
      </c>
    </row>
    <row r="1677" spans="1:2" x14ac:dyDescent="0.25">
      <c r="A1677" s="3">
        <v>39070</v>
      </c>
      <c r="B1677">
        <v>1921.43</v>
      </c>
    </row>
    <row r="1678" spans="1:2" x14ac:dyDescent="0.25">
      <c r="A1678" s="3">
        <v>39069</v>
      </c>
      <c r="B1678">
        <v>1916.11</v>
      </c>
    </row>
    <row r="1679" spans="1:2" x14ac:dyDescent="0.25">
      <c r="A1679" s="3">
        <v>39066</v>
      </c>
      <c r="B1679">
        <v>1867.64</v>
      </c>
    </row>
    <row r="1680" spans="1:2" x14ac:dyDescent="0.25">
      <c r="A1680" s="3">
        <v>39065</v>
      </c>
      <c r="B1680">
        <v>1836.14</v>
      </c>
    </row>
    <row r="1681" spans="1:2" x14ac:dyDescent="0.25">
      <c r="A1681" s="3">
        <v>39064</v>
      </c>
      <c r="B1681">
        <v>1803.86</v>
      </c>
    </row>
    <row r="1682" spans="1:2" x14ac:dyDescent="0.25">
      <c r="A1682" s="3">
        <v>39063</v>
      </c>
      <c r="B1682">
        <v>1802.79</v>
      </c>
    </row>
    <row r="1683" spans="1:2" x14ac:dyDescent="0.25">
      <c r="A1683" s="3">
        <v>39062</v>
      </c>
      <c r="B1683">
        <v>1789.92</v>
      </c>
    </row>
    <row r="1684" spans="1:2" x14ac:dyDescent="0.25">
      <c r="A1684" s="3">
        <v>39059</v>
      </c>
      <c r="B1684">
        <v>1711.58</v>
      </c>
    </row>
    <row r="1685" spans="1:2" x14ac:dyDescent="0.25">
      <c r="A1685" s="3">
        <v>39058</v>
      </c>
      <c r="B1685">
        <v>1775.71</v>
      </c>
    </row>
    <row r="1686" spans="1:2" x14ac:dyDescent="0.25">
      <c r="A1686" s="3">
        <v>39057</v>
      </c>
      <c r="B1686">
        <v>1779.41</v>
      </c>
    </row>
    <row r="1687" spans="1:2" x14ac:dyDescent="0.25">
      <c r="A1687" s="3">
        <v>39056</v>
      </c>
      <c r="B1687">
        <v>1794.23</v>
      </c>
    </row>
    <row r="1688" spans="1:2" x14ac:dyDescent="0.25">
      <c r="A1688" s="3">
        <v>39055</v>
      </c>
      <c r="B1688">
        <v>1780.74</v>
      </c>
    </row>
    <row r="1689" spans="1:2" x14ac:dyDescent="0.25">
      <c r="A1689" s="3">
        <v>39052</v>
      </c>
      <c r="B1689">
        <v>1729.22</v>
      </c>
    </row>
    <row r="1690" spans="1:2" x14ac:dyDescent="0.25">
      <c r="A1690" s="3">
        <v>39051</v>
      </c>
      <c r="B1690">
        <v>1714.36</v>
      </c>
    </row>
    <row r="1691" spans="1:2" x14ac:dyDescent="0.25">
      <c r="A1691" s="3">
        <v>39050</v>
      </c>
      <c r="B1691">
        <v>1667.14</v>
      </c>
    </row>
    <row r="1692" spans="1:2" x14ac:dyDescent="0.25">
      <c r="A1692" s="3">
        <v>39049</v>
      </c>
      <c r="B1692">
        <v>1644.01</v>
      </c>
    </row>
    <row r="1693" spans="1:2" x14ac:dyDescent="0.25">
      <c r="A1693" s="3">
        <v>39048</v>
      </c>
      <c r="B1693">
        <v>1651.8</v>
      </c>
    </row>
    <row r="1694" spans="1:2" x14ac:dyDescent="0.25">
      <c r="A1694" s="3">
        <v>39045</v>
      </c>
      <c r="B1694">
        <v>1636.58</v>
      </c>
    </row>
    <row r="1695" spans="1:2" x14ac:dyDescent="0.25">
      <c r="A1695" s="3">
        <v>39044</v>
      </c>
      <c r="B1695">
        <v>1634.91</v>
      </c>
    </row>
    <row r="1696" spans="1:2" x14ac:dyDescent="0.25">
      <c r="A1696" s="3">
        <v>39043</v>
      </c>
      <c r="B1696">
        <v>1624.03</v>
      </c>
    </row>
    <row r="1697" spans="1:2" x14ac:dyDescent="0.25">
      <c r="A1697" s="3">
        <v>39042</v>
      </c>
      <c r="B1697">
        <v>1612.25</v>
      </c>
    </row>
    <row r="1698" spans="1:2" x14ac:dyDescent="0.25">
      <c r="A1698" s="3">
        <v>39041</v>
      </c>
      <c r="B1698">
        <v>1593.16</v>
      </c>
    </row>
    <row r="1699" spans="1:2" x14ac:dyDescent="0.25">
      <c r="A1699" s="3">
        <v>39038</v>
      </c>
      <c r="B1699">
        <v>1562.08</v>
      </c>
    </row>
    <row r="1700" spans="1:2" x14ac:dyDescent="0.25">
      <c r="A1700" s="3">
        <v>39037</v>
      </c>
      <c r="B1700">
        <v>1533.29</v>
      </c>
    </row>
    <row r="1701" spans="1:2" x14ac:dyDescent="0.25">
      <c r="A1701" s="3">
        <v>39036</v>
      </c>
      <c r="B1701">
        <v>1534.76</v>
      </c>
    </row>
    <row r="1702" spans="1:2" x14ac:dyDescent="0.25">
      <c r="A1702" s="3">
        <v>39035</v>
      </c>
      <c r="B1702">
        <v>1493.78</v>
      </c>
    </row>
    <row r="1703" spans="1:2" x14ac:dyDescent="0.25">
      <c r="A1703" s="3">
        <v>39034</v>
      </c>
      <c r="B1703">
        <v>1475.77</v>
      </c>
    </row>
    <row r="1704" spans="1:2" x14ac:dyDescent="0.25">
      <c r="A1704" s="3">
        <v>39031</v>
      </c>
      <c r="B1704">
        <v>1504.06</v>
      </c>
    </row>
    <row r="1705" spans="1:2" x14ac:dyDescent="0.25">
      <c r="A1705" s="3">
        <v>39030</v>
      </c>
      <c r="B1705">
        <v>1524.71</v>
      </c>
    </row>
    <row r="1706" spans="1:2" x14ac:dyDescent="0.25">
      <c r="A1706" s="3">
        <v>39029</v>
      </c>
      <c r="B1706">
        <v>1498.17</v>
      </c>
    </row>
    <row r="1707" spans="1:2" x14ac:dyDescent="0.25">
      <c r="A1707" s="3">
        <v>39028</v>
      </c>
      <c r="B1707">
        <v>1516.1</v>
      </c>
    </row>
    <row r="1708" spans="1:2" x14ac:dyDescent="0.25">
      <c r="A1708" s="3">
        <v>39027</v>
      </c>
      <c r="B1708">
        <v>1507.89</v>
      </c>
    </row>
    <row r="1709" spans="1:2" x14ac:dyDescent="0.25">
      <c r="A1709" s="3">
        <v>39024</v>
      </c>
      <c r="B1709">
        <v>1488.29</v>
      </c>
    </row>
    <row r="1710" spans="1:2" x14ac:dyDescent="0.25">
      <c r="A1710" s="3">
        <v>39023</v>
      </c>
      <c r="B1710">
        <v>1479.65</v>
      </c>
    </row>
    <row r="1711" spans="1:2" x14ac:dyDescent="0.25">
      <c r="A1711" s="3">
        <v>39022</v>
      </c>
      <c r="B1711">
        <v>1479.4</v>
      </c>
    </row>
    <row r="1712" spans="1:2" x14ac:dyDescent="0.25">
      <c r="A1712" s="3">
        <v>39021</v>
      </c>
      <c r="B1712">
        <v>1464.47</v>
      </c>
    </row>
    <row r="1713" spans="1:2" x14ac:dyDescent="0.25">
      <c r="A1713" s="3">
        <v>39020</v>
      </c>
      <c r="B1713">
        <v>1446.23</v>
      </c>
    </row>
    <row r="1714" spans="1:2" x14ac:dyDescent="0.25">
      <c r="A1714" s="3">
        <v>39017</v>
      </c>
      <c r="B1714">
        <v>1439.05</v>
      </c>
    </row>
    <row r="1715" spans="1:2" x14ac:dyDescent="0.25">
      <c r="A1715" s="3">
        <v>39016</v>
      </c>
      <c r="B1715">
        <v>1456.09</v>
      </c>
    </row>
    <row r="1716" spans="1:2" x14ac:dyDescent="0.25">
      <c r="A1716" s="3">
        <v>39015</v>
      </c>
      <c r="B1716">
        <v>1446.81</v>
      </c>
    </row>
    <row r="1717" spans="1:2" x14ac:dyDescent="0.25">
      <c r="A1717" s="3">
        <v>39014</v>
      </c>
      <c r="B1717">
        <v>1440.05</v>
      </c>
    </row>
    <row r="1718" spans="1:2" x14ac:dyDescent="0.25">
      <c r="A1718" s="3">
        <v>39013</v>
      </c>
      <c r="B1718">
        <v>1408.71</v>
      </c>
    </row>
    <row r="1719" spans="1:2" x14ac:dyDescent="0.25">
      <c r="A1719" s="3">
        <v>39010</v>
      </c>
      <c r="B1719">
        <v>1440.18</v>
      </c>
    </row>
    <row r="1720" spans="1:2" x14ac:dyDescent="0.25">
      <c r="A1720" s="3">
        <v>39009</v>
      </c>
      <c r="B1720">
        <v>1439.37</v>
      </c>
    </row>
    <row r="1721" spans="1:2" x14ac:dyDescent="0.25">
      <c r="A1721" s="3">
        <v>39008</v>
      </c>
      <c r="B1721">
        <v>1437.59</v>
      </c>
    </row>
    <row r="1722" spans="1:2" x14ac:dyDescent="0.25">
      <c r="A1722" s="3">
        <v>39007</v>
      </c>
      <c r="B1722">
        <v>1414.43</v>
      </c>
    </row>
    <row r="1723" spans="1:2" x14ac:dyDescent="0.25">
      <c r="A1723" s="3">
        <v>39006</v>
      </c>
      <c r="B1723">
        <v>1418.51</v>
      </c>
    </row>
    <row r="1724" spans="1:2" x14ac:dyDescent="0.25">
      <c r="A1724" s="3">
        <v>39003</v>
      </c>
      <c r="B1724">
        <v>1430.88</v>
      </c>
    </row>
    <row r="1725" spans="1:2" x14ac:dyDescent="0.25">
      <c r="A1725" s="3">
        <v>39002</v>
      </c>
      <c r="B1725">
        <v>1426.5</v>
      </c>
    </row>
    <row r="1726" spans="1:2" x14ac:dyDescent="0.25">
      <c r="A1726" s="3">
        <v>39001</v>
      </c>
      <c r="B1726">
        <v>1435.9</v>
      </c>
    </row>
    <row r="1727" spans="1:2" x14ac:dyDescent="0.25">
      <c r="A1727" s="3">
        <v>39000</v>
      </c>
      <c r="B1727">
        <v>1437.24</v>
      </c>
    </row>
    <row r="1728" spans="1:2" x14ac:dyDescent="0.25">
      <c r="A1728" s="3">
        <v>38999</v>
      </c>
      <c r="B1728">
        <v>1436.06</v>
      </c>
    </row>
    <row r="1729" spans="1:2" x14ac:dyDescent="0.25">
      <c r="A1729" s="3">
        <v>38989</v>
      </c>
      <c r="B1729">
        <v>1403.26</v>
      </c>
    </row>
    <row r="1730" spans="1:2" x14ac:dyDescent="0.25">
      <c r="A1730" s="3">
        <v>38988</v>
      </c>
      <c r="B1730">
        <v>1387</v>
      </c>
    </row>
    <row r="1731" spans="1:2" x14ac:dyDescent="0.25">
      <c r="A1731" s="3">
        <v>38987</v>
      </c>
      <c r="B1731">
        <v>1371.11</v>
      </c>
    </row>
    <row r="1732" spans="1:2" x14ac:dyDescent="0.25">
      <c r="A1732" s="3">
        <v>38986</v>
      </c>
      <c r="B1732">
        <v>1357.64</v>
      </c>
    </row>
    <row r="1733" spans="1:2" x14ac:dyDescent="0.25">
      <c r="A1733" s="3">
        <v>38985</v>
      </c>
      <c r="B1733">
        <v>1372.39</v>
      </c>
    </row>
    <row r="1734" spans="1:2" x14ac:dyDescent="0.25">
      <c r="A1734" s="3">
        <v>38982</v>
      </c>
      <c r="B1734">
        <v>1374.85</v>
      </c>
    </row>
    <row r="1735" spans="1:2" x14ac:dyDescent="0.25">
      <c r="A1735" s="3">
        <v>38981</v>
      </c>
      <c r="B1735">
        <v>1387.37</v>
      </c>
    </row>
    <row r="1736" spans="1:2" x14ac:dyDescent="0.25">
      <c r="A1736" s="3">
        <v>38980</v>
      </c>
      <c r="B1736">
        <v>1378.45</v>
      </c>
    </row>
    <row r="1737" spans="1:2" x14ac:dyDescent="0.25">
      <c r="A1737" s="3">
        <v>38979</v>
      </c>
      <c r="B1737">
        <v>1378.3</v>
      </c>
    </row>
    <row r="1738" spans="1:2" x14ac:dyDescent="0.25">
      <c r="A1738" s="3">
        <v>38978</v>
      </c>
      <c r="B1738">
        <v>1375.56</v>
      </c>
    </row>
    <row r="1739" spans="1:2" x14ac:dyDescent="0.25">
      <c r="A1739" s="3">
        <v>38975</v>
      </c>
      <c r="B1739">
        <v>1362.31</v>
      </c>
    </row>
    <row r="1740" spans="1:2" x14ac:dyDescent="0.25">
      <c r="A1740" s="3">
        <v>38974</v>
      </c>
      <c r="B1740">
        <v>1338.27</v>
      </c>
    </row>
    <row r="1741" spans="1:2" x14ac:dyDescent="0.25">
      <c r="A1741" s="3">
        <v>38973</v>
      </c>
      <c r="B1741">
        <v>1338.38</v>
      </c>
    </row>
    <row r="1742" spans="1:2" x14ac:dyDescent="0.25">
      <c r="A1742" s="3">
        <v>38972</v>
      </c>
      <c r="B1742">
        <v>1347.63</v>
      </c>
    </row>
    <row r="1743" spans="1:2" x14ac:dyDescent="0.25">
      <c r="A1743" s="3">
        <v>38971</v>
      </c>
      <c r="B1743">
        <v>1338.75</v>
      </c>
    </row>
    <row r="1744" spans="1:2" x14ac:dyDescent="0.25">
      <c r="A1744" s="3">
        <v>38968</v>
      </c>
      <c r="B1744">
        <v>1332.15</v>
      </c>
    </row>
    <row r="1745" spans="1:2" x14ac:dyDescent="0.25">
      <c r="A1745" s="3">
        <v>38967</v>
      </c>
      <c r="B1745">
        <v>1328.37</v>
      </c>
    </row>
    <row r="1746" spans="1:2" x14ac:dyDescent="0.25">
      <c r="A1746" s="3">
        <v>38966</v>
      </c>
      <c r="B1746">
        <v>1346.36</v>
      </c>
    </row>
    <row r="1747" spans="1:2" x14ac:dyDescent="0.25">
      <c r="A1747" s="3">
        <v>38965</v>
      </c>
      <c r="B1747">
        <v>1340.68</v>
      </c>
    </row>
    <row r="1748" spans="1:2" x14ac:dyDescent="0.25">
      <c r="A1748" s="3">
        <v>38964</v>
      </c>
      <c r="B1748">
        <v>1337.24</v>
      </c>
    </row>
    <row r="1749" spans="1:2" x14ac:dyDescent="0.25">
      <c r="A1749" s="3">
        <v>38961</v>
      </c>
      <c r="B1749">
        <v>1318.09</v>
      </c>
    </row>
    <row r="1750" spans="1:2" x14ac:dyDescent="0.25">
      <c r="A1750" s="3">
        <v>38960</v>
      </c>
      <c r="B1750">
        <v>1338.68</v>
      </c>
    </row>
    <row r="1751" spans="1:2" x14ac:dyDescent="0.25">
      <c r="A1751" s="3">
        <v>38959</v>
      </c>
      <c r="B1751">
        <v>1334.67</v>
      </c>
    </row>
    <row r="1752" spans="1:2" x14ac:dyDescent="0.25">
      <c r="A1752" s="3">
        <v>38958</v>
      </c>
      <c r="B1752">
        <v>1330.15</v>
      </c>
    </row>
    <row r="1753" spans="1:2" x14ac:dyDescent="0.25">
      <c r="A1753" s="3">
        <v>38957</v>
      </c>
      <c r="B1753">
        <v>1325.89</v>
      </c>
    </row>
    <row r="1754" spans="1:2" x14ac:dyDescent="0.25">
      <c r="A1754" s="3">
        <v>38954</v>
      </c>
      <c r="B1754">
        <v>1295.43</v>
      </c>
    </row>
    <row r="1755" spans="1:2" x14ac:dyDescent="0.25">
      <c r="A1755" s="3">
        <v>38953</v>
      </c>
      <c r="B1755">
        <v>1292.4000000000001</v>
      </c>
    </row>
    <row r="1756" spans="1:2" x14ac:dyDescent="0.25">
      <c r="A1756" s="3">
        <v>38952</v>
      </c>
      <c r="B1756">
        <v>1285.68</v>
      </c>
    </row>
    <row r="1757" spans="1:2" x14ac:dyDescent="0.25">
      <c r="A1757" s="3">
        <v>38951</v>
      </c>
      <c r="B1757">
        <v>1285.26</v>
      </c>
    </row>
    <row r="1758" spans="1:2" x14ac:dyDescent="0.25">
      <c r="A1758" s="3">
        <v>38950</v>
      </c>
      <c r="B1758">
        <v>1270.56</v>
      </c>
    </row>
    <row r="1759" spans="1:2" x14ac:dyDescent="0.25">
      <c r="A1759" s="3">
        <v>38947</v>
      </c>
      <c r="B1759">
        <v>1267.8599999999999</v>
      </c>
    </row>
    <row r="1760" spans="1:2" x14ac:dyDescent="0.25">
      <c r="A1760" s="3">
        <v>38946</v>
      </c>
      <c r="B1760">
        <v>1271.6199999999999</v>
      </c>
    </row>
    <row r="1761" spans="1:2" x14ac:dyDescent="0.25">
      <c r="A1761" s="3">
        <v>38945</v>
      </c>
      <c r="B1761">
        <v>1283.56</v>
      </c>
    </row>
    <row r="1762" spans="1:2" x14ac:dyDescent="0.25">
      <c r="A1762" s="3">
        <v>38944</v>
      </c>
      <c r="B1762">
        <v>1265.8599999999999</v>
      </c>
    </row>
    <row r="1763" spans="1:2" x14ac:dyDescent="0.25">
      <c r="A1763" s="3">
        <v>38943</v>
      </c>
      <c r="B1763">
        <v>1245.72</v>
      </c>
    </row>
    <row r="1764" spans="1:2" x14ac:dyDescent="0.25">
      <c r="A1764" s="3">
        <v>38940</v>
      </c>
      <c r="B1764">
        <v>1275.6500000000001</v>
      </c>
    </row>
    <row r="1765" spans="1:2" x14ac:dyDescent="0.25">
      <c r="A1765" s="3">
        <v>38939</v>
      </c>
      <c r="B1765">
        <v>1271.47</v>
      </c>
    </row>
    <row r="1766" spans="1:2" x14ac:dyDescent="0.25">
      <c r="A1766" s="3">
        <v>38938</v>
      </c>
      <c r="B1766">
        <v>1251.29</v>
      </c>
    </row>
    <row r="1767" spans="1:2" x14ac:dyDescent="0.25">
      <c r="A1767" s="3">
        <v>38937</v>
      </c>
      <c r="B1767">
        <v>1252.3800000000001</v>
      </c>
    </row>
    <row r="1768" spans="1:2" x14ac:dyDescent="0.25">
      <c r="A1768" s="3">
        <v>38936</v>
      </c>
      <c r="B1768">
        <v>1224.0999999999999</v>
      </c>
    </row>
    <row r="1769" spans="1:2" x14ac:dyDescent="0.25">
      <c r="A1769" s="3">
        <v>38933</v>
      </c>
      <c r="B1769">
        <v>1241.9000000000001</v>
      </c>
    </row>
    <row r="1770" spans="1:2" x14ac:dyDescent="0.25">
      <c r="A1770" s="3">
        <v>38932</v>
      </c>
      <c r="B1770">
        <v>1271.74</v>
      </c>
    </row>
    <row r="1771" spans="1:2" x14ac:dyDescent="0.25">
      <c r="A1771" s="3">
        <v>38931</v>
      </c>
      <c r="B1771">
        <v>1275.08</v>
      </c>
    </row>
    <row r="1772" spans="1:2" x14ac:dyDescent="0.25">
      <c r="A1772" s="3">
        <v>38930</v>
      </c>
      <c r="B1772">
        <v>1282.05</v>
      </c>
    </row>
    <row r="1773" spans="1:2" x14ac:dyDescent="0.25">
      <c r="A1773" s="3">
        <v>38929</v>
      </c>
      <c r="B1773">
        <v>1294.31</v>
      </c>
    </row>
    <row r="1774" spans="1:2" x14ac:dyDescent="0.25">
      <c r="A1774" s="3">
        <v>38926</v>
      </c>
      <c r="B1774">
        <v>1341.39</v>
      </c>
    </row>
    <row r="1775" spans="1:2" x14ac:dyDescent="0.25">
      <c r="A1775" s="3">
        <v>38925</v>
      </c>
      <c r="B1775">
        <v>1355.54</v>
      </c>
    </row>
    <row r="1776" spans="1:2" x14ac:dyDescent="0.25">
      <c r="A1776" s="3">
        <v>38924</v>
      </c>
      <c r="B1776">
        <v>1371.29</v>
      </c>
    </row>
    <row r="1777" spans="1:2" x14ac:dyDescent="0.25">
      <c r="A1777" s="3">
        <v>38923</v>
      </c>
      <c r="B1777">
        <v>1374.17</v>
      </c>
    </row>
    <row r="1778" spans="1:2" x14ac:dyDescent="0.25">
      <c r="A1778" s="3">
        <v>38922</v>
      </c>
      <c r="B1778">
        <v>1358.12</v>
      </c>
    </row>
    <row r="1779" spans="1:2" x14ac:dyDescent="0.25">
      <c r="A1779" s="3">
        <v>38919</v>
      </c>
      <c r="B1779">
        <v>1356.03</v>
      </c>
    </row>
    <row r="1780" spans="1:2" x14ac:dyDescent="0.25">
      <c r="A1780" s="3">
        <v>38918</v>
      </c>
      <c r="B1780">
        <v>1345.18</v>
      </c>
    </row>
    <row r="1781" spans="1:2" x14ac:dyDescent="0.25">
      <c r="A1781" s="3">
        <v>38917</v>
      </c>
      <c r="B1781">
        <v>1336.64</v>
      </c>
    </row>
    <row r="1782" spans="1:2" x14ac:dyDescent="0.25">
      <c r="A1782" s="3">
        <v>38916</v>
      </c>
      <c r="B1782">
        <v>1373.41</v>
      </c>
    </row>
    <row r="1783" spans="1:2" x14ac:dyDescent="0.25">
      <c r="A1783" s="3">
        <v>38915</v>
      </c>
      <c r="B1783">
        <v>1372.25</v>
      </c>
    </row>
    <row r="1784" spans="1:2" x14ac:dyDescent="0.25">
      <c r="A1784" s="3">
        <v>38912</v>
      </c>
      <c r="B1784">
        <v>1357.12</v>
      </c>
    </row>
    <row r="1785" spans="1:2" x14ac:dyDescent="0.25">
      <c r="A1785" s="3">
        <v>38911</v>
      </c>
      <c r="B1785">
        <v>1346.08</v>
      </c>
    </row>
    <row r="1786" spans="1:2" x14ac:dyDescent="0.25">
      <c r="A1786" s="3">
        <v>38910</v>
      </c>
      <c r="B1786">
        <v>1419.18</v>
      </c>
    </row>
    <row r="1787" spans="1:2" x14ac:dyDescent="0.25">
      <c r="A1787" s="3">
        <v>38909</v>
      </c>
      <c r="B1787">
        <v>1418.56</v>
      </c>
    </row>
    <row r="1788" spans="1:2" x14ac:dyDescent="0.25">
      <c r="A1788" s="3">
        <v>38908</v>
      </c>
      <c r="B1788">
        <v>1412.12</v>
      </c>
    </row>
    <row r="1789" spans="1:2" x14ac:dyDescent="0.25">
      <c r="A1789" s="3">
        <v>38905</v>
      </c>
      <c r="B1789">
        <v>1410.42</v>
      </c>
    </row>
    <row r="1790" spans="1:2" x14ac:dyDescent="0.25">
      <c r="A1790" s="3">
        <v>38904</v>
      </c>
      <c r="B1790">
        <v>1418.67</v>
      </c>
    </row>
    <row r="1791" spans="1:2" x14ac:dyDescent="0.25">
      <c r="A1791" s="3">
        <v>38903</v>
      </c>
      <c r="B1791">
        <v>1393</v>
      </c>
    </row>
    <row r="1792" spans="1:2" x14ac:dyDescent="0.25">
      <c r="A1792" s="3">
        <v>38902</v>
      </c>
      <c r="B1792">
        <v>1411.01</v>
      </c>
    </row>
    <row r="1793" spans="1:2" x14ac:dyDescent="0.25">
      <c r="A1793" s="3">
        <v>38901</v>
      </c>
      <c r="B1793">
        <v>1420.31</v>
      </c>
    </row>
    <row r="1794" spans="1:2" x14ac:dyDescent="0.25">
      <c r="A1794" s="3">
        <v>38898</v>
      </c>
      <c r="B1794">
        <v>1393.96</v>
      </c>
    </row>
    <row r="1795" spans="1:2" x14ac:dyDescent="0.25">
      <c r="A1795" s="3">
        <v>38897</v>
      </c>
      <c r="B1795">
        <v>1395.12</v>
      </c>
    </row>
    <row r="1796" spans="1:2" x14ac:dyDescent="0.25">
      <c r="A1796" s="3">
        <v>38896</v>
      </c>
      <c r="B1796">
        <v>1362.88</v>
      </c>
    </row>
    <row r="1797" spans="1:2" x14ac:dyDescent="0.25">
      <c r="A1797" s="3">
        <v>38895</v>
      </c>
      <c r="B1797">
        <v>1363.89</v>
      </c>
    </row>
    <row r="1798" spans="1:2" x14ac:dyDescent="0.25">
      <c r="A1798" s="3">
        <v>38894</v>
      </c>
      <c r="B1798">
        <v>1363.41</v>
      </c>
    </row>
    <row r="1799" spans="1:2" x14ac:dyDescent="0.25">
      <c r="A1799" s="3">
        <v>38891</v>
      </c>
      <c r="B1799">
        <v>1339.43</v>
      </c>
    </row>
    <row r="1800" spans="1:2" x14ac:dyDescent="0.25">
      <c r="A1800" s="3">
        <v>38890</v>
      </c>
      <c r="B1800">
        <v>1331.55</v>
      </c>
    </row>
    <row r="1801" spans="1:2" x14ac:dyDescent="0.25">
      <c r="A1801" s="3">
        <v>38889</v>
      </c>
      <c r="B1801">
        <v>1333.53</v>
      </c>
    </row>
    <row r="1802" spans="1:2" x14ac:dyDescent="0.25">
      <c r="A1802" s="3">
        <v>38888</v>
      </c>
      <c r="B1802">
        <v>1338.22</v>
      </c>
    </row>
    <row r="1803" spans="1:2" x14ac:dyDescent="0.25">
      <c r="A1803" s="3">
        <v>38887</v>
      </c>
      <c r="B1803">
        <v>1334.89</v>
      </c>
    </row>
    <row r="1804" spans="1:2" x14ac:dyDescent="0.25">
      <c r="A1804" s="3">
        <v>38884</v>
      </c>
      <c r="B1804">
        <v>1318.01</v>
      </c>
    </row>
    <row r="1805" spans="1:2" x14ac:dyDescent="0.25">
      <c r="A1805" s="3">
        <v>38883</v>
      </c>
      <c r="B1805">
        <v>1285.3800000000001</v>
      </c>
    </row>
    <row r="1806" spans="1:2" x14ac:dyDescent="0.25">
      <c r="A1806" s="3">
        <v>38882</v>
      </c>
      <c r="B1806">
        <v>1283.8800000000001</v>
      </c>
    </row>
    <row r="1807" spans="1:2" x14ac:dyDescent="0.25">
      <c r="A1807" s="3">
        <v>38881</v>
      </c>
      <c r="B1807">
        <v>1298.27</v>
      </c>
    </row>
    <row r="1808" spans="1:2" x14ac:dyDescent="0.25">
      <c r="A1808" s="3">
        <v>38880</v>
      </c>
      <c r="B1808">
        <v>1297.67</v>
      </c>
    </row>
    <row r="1809" spans="1:2" x14ac:dyDescent="0.25">
      <c r="A1809" s="3">
        <v>38877</v>
      </c>
      <c r="B1809">
        <v>1294.18</v>
      </c>
    </row>
    <row r="1810" spans="1:2" x14ac:dyDescent="0.25">
      <c r="A1810" s="3">
        <v>38876</v>
      </c>
      <c r="B1810">
        <v>1325.97</v>
      </c>
    </row>
    <row r="1811" spans="1:2" x14ac:dyDescent="0.25">
      <c r="A1811" s="3">
        <v>38875</v>
      </c>
      <c r="B1811">
        <v>1320.23</v>
      </c>
    </row>
    <row r="1812" spans="1:2" x14ac:dyDescent="0.25">
      <c r="A1812" s="3">
        <v>38874</v>
      </c>
      <c r="B1812">
        <v>1399.14</v>
      </c>
    </row>
    <row r="1813" spans="1:2" x14ac:dyDescent="0.25">
      <c r="A1813" s="3">
        <v>38873</v>
      </c>
      <c r="B1813">
        <v>1403.16</v>
      </c>
    </row>
    <row r="1814" spans="1:2" x14ac:dyDescent="0.25">
      <c r="A1814" s="3">
        <v>38870</v>
      </c>
      <c r="B1814">
        <v>1390.11</v>
      </c>
    </row>
    <row r="1815" spans="1:2" x14ac:dyDescent="0.25">
      <c r="A1815" s="3">
        <v>38869</v>
      </c>
      <c r="B1815">
        <v>1402.87</v>
      </c>
    </row>
    <row r="1816" spans="1:2" x14ac:dyDescent="0.25">
      <c r="A1816" s="3">
        <v>38868</v>
      </c>
      <c r="B1816">
        <v>1365.45</v>
      </c>
    </row>
    <row r="1817" spans="1:2" x14ac:dyDescent="0.25">
      <c r="A1817" s="3">
        <v>38867</v>
      </c>
      <c r="B1817">
        <v>1378.75</v>
      </c>
    </row>
    <row r="1818" spans="1:2" x14ac:dyDescent="0.25">
      <c r="A1818" s="3">
        <v>38866</v>
      </c>
      <c r="B1818">
        <v>1366.29</v>
      </c>
    </row>
    <row r="1819" spans="1:2" x14ac:dyDescent="0.25">
      <c r="A1819" s="3">
        <v>38863</v>
      </c>
      <c r="B1819">
        <v>1331.02</v>
      </c>
    </row>
    <row r="1820" spans="1:2" x14ac:dyDescent="0.25">
      <c r="A1820" s="3">
        <v>38862</v>
      </c>
      <c r="B1820">
        <v>1307.68</v>
      </c>
    </row>
    <row r="1821" spans="1:2" x14ac:dyDescent="0.25">
      <c r="A1821" s="3">
        <v>38861</v>
      </c>
      <c r="B1821">
        <v>1308.24</v>
      </c>
    </row>
    <row r="1822" spans="1:2" x14ac:dyDescent="0.25">
      <c r="A1822" s="3">
        <v>38860</v>
      </c>
      <c r="B1822">
        <v>1317.65</v>
      </c>
    </row>
    <row r="1823" spans="1:2" x14ac:dyDescent="0.25">
      <c r="A1823" s="3">
        <v>38859</v>
      </c>
      <c r="B1823">
        <v>1373.67</v>
      </c>
    </row>
    <row r="1824" spans="1:2" x14ac:dyDescent="0.25">
      <c r="A1824" s="3">
        <v>38856</v>
      </c>
      <c r="B1824">
        <v>1366.09</v>
      </c>
    </row>
    <row r="1825" spans="1:2" x14ac:dyDescent="0.25">
      <c r="A1825" s="3">
        <v>38855</v>
      </c>
      <c r="B1825">
        <v>1331.2</v>
      </c>
    </row>
    <row r="1826" spans="1:2" x14ac:dyDescent="0.25">
      <c r="A1826" s="3">
        <v>38854</v>
      </c>
      <c r="B1826">
        <v>1335.52</v>
      </c>
    </row>
    <row r="1827" spans="1:2" x14ac:dyDescent="0.25">
      <c r="A1827" s="3">
        <v>38853</v>
      </c>
      <c r="B1827">
        <v>1331.12</v>
      </c>
    </row>
    <row r="1828" spans="1:2" x14ac:dyDescent="0.25">
      <c r="A1828" s="3">
        <v>38852</v>
      </c>
      <c r="B1828">
        <v>1352.15</v>
      </c>
    </row>
    <row r="1829" spans="1:2" x14ac:dyDescent="0.25">
      <c r="A1829" s="3">
        <v>38849</v>
      </c>
      <c r="B1829">
        <v>1296.25</v>
      </c>
    </row>
    <row r="1830" spans="1:2" x14ac:dyDescent="0.25">
      <c r="A1830" s="3">
        <v>38848</v>
      </c>
      <c r="B1830">
        <v>1255.03</v>
      </c>
    </row>
    <row r="1831" spans="1:2" x14ac:dyDescent="0.25">
      <c r="A1831" s="3">
        <v>38847</v>
      </c>
      <c r="B1831">
        <v>1265.93</v>
      </c>
    </row>
    <row r="1832" spans="1:2" x14ac:dyDescent="0.25">
      <c r="A1832" s="3">
        <v>38846</v>
      </c>
      <c r="B1832">
        <v>1251.6099999999999</v>
      </c>
    </row>
    <row r="1833" spans="1:2" x14ac:dyDescent="0.25">
      <c r="A1833" s="3">
        <v>38845</v>
      </c>
      <c r="B1833">
        <v>1218.43</v>
      </c>
    </row>
    <row r="1834" spans="1:2" x14ac:dyDescent="0.25">
      <c r="A1834" s="3">
        <v>38835</v>
      </c>
      <c r="B1834">
        <v>1172.3399999999999</v>
      </c>
    </row>
    <row r="1835" spans="1:2" x14ac:dyDescent="0.25">
      <c r="A1835" s="3">
        <v>38834</v>
      </c>
      <c r="B1835">
        <v>1155.26</v>
      </c>
    </row>
    <row r="1836" spans="1:2" x14ac:dyDescent="0.25">
      <c r="A1836" s="3">
        <v>38833</v>
      </c>
      <c r="B1836">
        <v>1155.72</v>
      </c>
    </row>
    <row r="1837" spans="1:2" x14ac:dyDescent="0.25">
      <c r="A1837" s="3">
        <v>38832</v>
      </c>
      <c r="B1837">
        <v>1141.93</v>
      </c>
    </row>
    <row r="1838" spans="1:2" x14ac:dyDescent="0.25">
      <c r="A1838" s="3">
        <v>38831</v>
      </c>
      <c r="B1838">
        <v>1142.68</v>
      </c>
    </row>
    <row r="1839" spans="1:2" x14ac:dyDescent="0.25">
      <c r="A1839" s="3">
        <v>38828</v>
      </c>
      <c r="B1839">
        <v>1149.1500000000001</v>
      </c>
    </row>
    <row r="1840" spans="1:2" x14ac:dyDescent="0.25">
      <c r="A1840" s="3">
        <v>38827</v>
      </c>
      <c r="B1840">
        <v>1134.3800000000001</v>
      </c>
    </row>
    <row r="1841" spans="1:2" x14ac:dyDescent="0.25">
      <c r="A1841" s="3">
        <v>38826</v>
      </c>
      <c r="B1841">
        <v>1138.24</v>
      </c>
    </row>
    <row r="1842" spans="1:2" x14ac:dyDescent="0.25">
      <c r="A1842" s="3">
        <v>38825</v>
      </c>
      <c r="B1842">
        <v>1131.28</v>
      </c>
    </row>
    <row r="1843" spans="1:2" x14ac:dyDescent="0.25">
      <c r="A1843" s="3">
        <v>38824</v>
      </c>
      <c r="B1843">
        <v>1124.4100000000001</v>
      </c>
    </row>
    <row r="1844" spans="1:2" x14ac:dyDescent="0.25">
      <c r="A1844" s="3">
        <v>38821</v>
      </c>
      <c r="B1844">
        <v>1118.5999999999999</v>
      </c>
    </row>
    <row r="1845" spans="1:2" x14ac:dyDescent="0.25">
      <c r="A1845" s="3">
        <v>38820</v>
      </c>
      <c r="B1845">
        <v>1093.92</v>
      </c>
    </row>
    <row r="1846" spans="1:2" x14ac:dyDescent="0.25">
      <c r="A1846" s="3">
        <v>38819</v>
      </c>
      <c r="B1846">
        <v>1117.06</v>
      </c>
    </row>
    <row r="1847" spans="1:2" x14ac:dyDescent="0.25">
      <c r="A1847" s="3">
        <v>38818</v>
      </c>
      <c r="B1847">
        <v>1123.3</v>
      </c>
    </row>
    <row r="1848" spans="1:2" x14ac:dyDescent="0.25">
      <c r="A1848" s="3">
        <v>38817</v>
      </c>
      <c r="B1848">
        <v>1117.9100000000001</v>
      </c>
    </row>
    <row r="1849" spans="1:2" x14ac:dyDescent="0.25">
      <c r="A1849" s="3">
        <v>38814</v>
      </c>
      <c r="B1849">
        <v>1103.1500000000001</v>
      </c>
    </row>
    <row r="1850" spans="1:2" x14ac:dyDescent="0.25">
      <c r="A1850" s="3">
        <v>38813</v>
      </c>
      <c r="B1850">
        <v>1103.23</v>
      </c>
    </row>
    <row r="1851" spans="1:2" x14ac:dyDescent="0.25">
      <c r="A1851" s="3">
        <v>38812</v>
      </c>
      <c r="B1851">
        <v>1099.97</v>
      </c>
    </row>
    <row r="1852" spans="1:2" x14ac:dyDescent="0.25">
      <c r="A1852" s="3">
        <v>38811</v>
      </c>
      <c r="B1852">
        <v>1089.3699999999999</v>
      </c>
    </row>
    <row r="1853" spans="1:2" x14ac:dyDescent="0.25">
      <c r="A1853" s="3">
        <v>38810</v>
      </c>
      <c r="B1853">
        <v>1079.31</v>
      </c>
    </row>
    <row r="1854" spans="1:2" x14ac:dyDescent="0.25">
      <c r="A1854" s="3">
        <v>38807</v>
      </c>
      <c r="B1854">
        <v>1061.08</v>
      </c>
    </row>
    <row r="1855" spans="1:2" x14ac:dyDescent="0.25">
      <c r="A1855" s="3">
        <v>38806</v>
      </c>
      <c r="B1855">
        <v>1055.6300000000001</v>
      </c>
    </row>
    <row r="1856" spans="1:2" x14ac:dyDescent="0.25">
      <c r="A1856" s="3">
        <v>38805</v>
      </c>
      <c r="B1856">
        <v>1065.29</v>
      </c>
    </row>
    <row r="1857" spans="1:2" x14ac:dyDescent="0.25">
      <c r="A1857" s="3">
        <v>38804</v>
      </c>
      <c r="B1857">
        <v>1055.98</v>
      </c>
    </row>
    <row r="1858" spans="1:2" x14ac:dyDescent="0.25">
      <c r="A1858" s="3">
        <v>38803</v>
      </c>
      <c r="B1858">
        <v>1050.7</v>
      </c>
    </row>
    <row r="1859" spans="1:2" x14ac:dyDescent="0.25">
      <c r="A1859" s="3">
        <v>38800</v>
      </c>
      <c r="B1859">
        <v>1042.5999999999999</v>
      </c>
    </row>
    <row r="1860" spans="1:2" x14ac:dyDescent="0.25">
      <c r="A1860" s="3">
        <v>38799</v>
      </c>
      <c r="B1860">
        <v>1048.53</v>
      </c>
    </row>
    <row r="1861" spans="1:2" x14ac:dyDescent="0.25">
      <c r="A1861" s="3">
        <v>38798</v>
      </c>
      <c r="B1861">
        <v>1047.6600000000001</v>
      </c>
    </row>
    <row r="1862" spans="1:2" x14ac:dyDescent="0.25">
      <c r="A1862" s="3">
        <v>38797</v>
      </c>
      <c r="B1862">
        <v>1040.75</v>
      </c>
    </row>
    <row r="1863" spans="1:2" x14ac:dyDescent="0.25">
      <c r="A1863" s="3">
        <v>38796</v>
      </c>
      <c r="B1863">
        <v>1037.6500000000001</v>
      </c>
    </row>
    <row r="1864" spans="1:2" x14ac:dyDescent="0.25">
      <c r="A1864" s="3">
        <v>38793</v>
      </c>
      <c r="B1864">
        <v>1024.01</v>
      </c>
    </row>
    <row r="1865" spans="1:2" x14ac:dyDescent="0.25">
      <c r="A1865" s="3">
        <v>38792</v>
      </c>
      <c r="B1865">
        <v>1027.6099999999999</v>
      </c>
    </row>
    <row r="1866" spans="1:2" x14ac:dyDescent="0.25">
      <c r="A1866" s="3">
        <v>38791</v>
      </c>
      <c r="B1866">
        <v>1028.95</v>
      </c>
    </row>
    <row r="1867" spans="1:2" x14ac:dyDescent="0.25">
      <c r="A1867" s="3">
        <v>38790</v>
      </c>
      <c r="B1867">
        <v>1018.27</v>
      </c>
    </row>
    <row r="1868" spans="1:2" x14ac:dyDescent="0.25">
      <c r="A1868" s="3">
        <v>38789</v>
      </c>
      <c r="B1868">
        <v>1019.86</v>
      </c>
    </row>
    <row r="1869" spans="1:2" x14ac:dyDescent="0.25">
      <c r="A1869" s="3">
        <v>38786</v>
      </c>
      <c r="B1869">
        <v>1008.89</v>
      </c>
    </row>
    <row r="1870" spans="1:2" x14ac:dyDescent="0.25">
      <c r="A1870" s="3">
        <v>38785</v>
      </c>
      <c r="B1870">
        <v>1004.34</v>
      </c>
    </row>
    <row r="1871" spans="1:2" x14ac:dyDescent="0.25">
      <c r="A1871" s="3">
        <v>38784</v>
      </c>
      <c r="B1871">
        <v>1009.27</v>
      </c>
    </row>
    <row r="1872" spans="1:2" x14ac:dyDescent="0.25">
      <c r="A1872" s="3">
        <v>38783</v>
      </c>
      <c r="B1872">
        <v>1014.97</v>
      </c>
    </row>
    <row r="1873" spans="1:2" x14ac:dyDescent="0.25">
      <c r="A1873" s="3">
        <v>38782</v>
      </c>
      <c r="B1873">
        <v>1038.8699999999999</v>
      </c>
    </row>
    <row r="1874" spans="1:2" x14ac:dyDescent="0.25">
      <c r="A1874" s="3">
        <v>38779</v>
      </c>
      <c r="B1874">
        <v>1041.67</v>
      </c>
    </row>
    <row r="1875" spans="1:2" x14ac:dyDescent="0.25">
      <c r="A1875" s="3">
        <v>38778</v>
      </c>
      <c r="B1875">
        <v>1038.6600000000001</v>
      </c>
    </row>
    <row r="1876" spans="1:2" x14ac:dyDescent="0.25">
      <c r="A1876" s="3">
        <v>38777</v>
      </c>
      <c r="B1876">
        <v>1056.6099999999999</v>
      </c>
    </row>
    <row r="1877" spans="1:2" x14ac:dyDescent="0.25">
      <c r="A1877" s="3">
        <v>38776</v>
      </c>
      <c r="B1877">
        <v>1053.01</v>
      </c>
    </row>
    <row r="1878" spans="1:2" x14ac:dyDescent="0.25">
      <c r="A1878" s="3">
        <v>38775</v>
      </c>
      <c r="B1878">
        <v>1047.8399999999999</v>
      </c>
    </row>
    <row r="1879" spans="1:2" x14ac:dyDescent="0.25">
      <c r="A1879" s="3">
        <v>38772</v>
      </c>
      <c r="B1879">
        <v>1049.43</v>
      </c>
    </row>
    <row r="1880" spans="1:2" x14ac:dyDescent="0.25">
      <c r="A1880" s="3">
        <v>38771</v>
      </c>
      <c r="B1880">
        <v>1041.3699999999999</v>
      </c>
    </row>
    <row r="1881" spans="1:2" x14ac:dyDescent="0.25">
      <c r="A1881" s="3">
        <v>38770</v>
      </c>
      <c r="B1881">
        <v>1037.8800000000001</v>
      </c>
    </row>
    <row r="1882" spans="1:2" x14ac:dyDescent="0.25">
      <c r="A1882" s="3">
        <v>38769</v>
      </c>
      <c r="B1882">
        <v>1038.81</v>
      </c>
    </row>
    <row r="1883" spans="1:2" x14ac:dyDescent="0.25">
      <c r="A1883" s="3">
        <v>38768</v>
      </c>
      <c r="B1883">
        <v>1021.63</v>
      </c>
    </row>
    <row r="1884" spans="1:2" x14ac:dyDescent="0.25">
      <c r="A1884" s="3">
        <v>38765</v>
      </c>
      <c r="B1884">
        <v>1020.36</v>
      </c>
    </row>
    <row r="1885" spans="1:2" x14ac:dyDescent="0.25">
      <c r="A1885" s="3">
        <v>38764</v>
      </c>
      <c r="B1885">
        <v>1020.12</v>
      </c>
    </row>
    <row r="1886" spans="1:2" x14ac:dyDescent="0.25">
      <c r="A1886" s="3">
        <v>38763</v>
      </c>
      <c r="B1886">
        <v>1041.6600000000001</v>
      </c>
    </row>
    <row r="1887" spans="1:2" x14ac:dyDescent="0.25">
      <c r="A1887" s="3">
        <v>38762</v>
      </c>
      <c r="B1887">
        <v>1038.53</v>
      </c>
    </row>
    <row r="1888" spans="1:2" x14ac:dyDescent="0.25">
      <c r="A1888" s="3">
        <v>38761</v>
      </c>
      <c r="B1888">
        <v>1031.6099999999999</v>
      </c>
    </row>
    <row r="1889" spans="1:2" x14ac:dyDescent="0.25">
      <c r="A1889" s="3">
        <v>38758</v>
      </c>
      <c r="B1889">
        <v>1032.33</v>
      </c>
    </row>
    <row r="1890" spans="1:2" x14ac:dyDescent="0.25">
      <c r="A1890" s="3">
        <v>38757</v>
      </c>
      <c r="B1890">
        <v>1019.59</v>
      </c>
    </row>
    <row r="1891" spans="1:2" x14ac:dyDescent="0.25">
      <c r="A1891" s="3">
        <v>38756</v>
      </c>
      <c r="B1891">
        <v>1033.06</v>
      </c>
    </row>
    <row r="1892" spans="1:2" x14ac:dyDescent="0.25">
      <c r="A1892" s="3">
        <v>38755</v>
      </c>
      <c r="B1892">
        <v>1029.93</v>
      </c>
    </row>
    <row r="1893" spans="1:2" x14ac:dyDescent="0.25">
      <c r="A1893" s="3">
        <v>38754</v>
      </c>
      <c r="B1893">
        <v>1033.23</v>
      </c>
    </row>
    <row r="1894" spans="1:2" x14ac:dyDescent="0.25">
      <c r="A1894" s="3">
        <v>38742</v>
      </c>
      <c r="B1894">
        <v>1009.59</v>
      </c>
    </row>
    <row r="1895" spans="1:2" x14ac:dyDescent="0.25">
      <c r="A1895" s="3">
        <v>38741</v>
      </c>
      <c r="B1895">
        <v>999.09</v>
      </c>
    </row>
    <row r="1896" spans="1:2" x14ac:dyDescent="0.25">
      <c r="A1896" s="3">
        <v>38740</v>
      </c>
      <c r="B1896">
        <v>996.16</v>
      </c>
    </row>
    <row r="1897" spans="1:2" x14ac:dyDescent="0.25">
      <c r="A1897" s="3">
        <v>38737</v>
      </c>
      <c r="B1897">
        <v>993.34</v>
      </c>
    </row>
    <row r="1898" spans="1:2" x14ac:dyDescent="0.25">
      <c r="A1898" s="3">
        <v>38736</v>
      </c>
      <c r="B1898">
        <v>991.22</v>
      </c>
    </row>
    <row r="1899" spans="1:2" x14ac:dyDescent="0.25">
      <c r="A1899" s="3">
        <v>38735</v>
      </c>
      <c r="B1899">
        <v>983.62</v>
      </c>
    </row>
    <row r="1900" spans="1:2" x14ac:dyDescent="0.25">
      <c r="A1900" s="3">
        <v>38734</v>
      </c>
      <c r="B1900">
        <v>964.29</v>
      </c>
    </row>
    <row r="1901" spans="1:2" x14ac:dyDescent="0.25">
      <c r="A1901" s="3">
        <v>38733</v>
      </c>
      <c r="B1901">
        <v>961.43</v>
      </c>
    </row>
    <row r="1902" spans="1:2" x14ac:dyDescent="0.25">
      <c r="A1902" s="3">
        <v>38730</v>
      </c>
      <c r="B1902">
        <v>978.8</v>
      </c>
    </row>
    <row r="1903" spans="1:2" x14ac:dyDescent="0.25">
      <c r="A1903" s="3">
        <v>38729</v>
      </c>
      <c r="B1903">
        <v>983.71</v>
      </c>
    </row>
    <row r="1904" spans="1:2" x14ac:dyDescent="0.25">
      <c r="A1904" s="3">
        <v>38728</v>
      </c>
      <c r="B1904">
        <v>973.47</v>
      </c>
    </row>
    <row r="1905" spans="1:2" x14ac:dyDescent="0.25">
      <c r="A1905" s="3">
        <v>38727</v>
      </c>
      <c r="B1905">
        <v>978.15</v>
      </c>
    </row>
    <row r="1906" spans="1:2" x14ac:dyDescent="0.25">
      <c r="A1906" s="3">
        <v>38726</v>
      </c>
      <c r="B1906">
        <v>975.25</v>
      </c>
    </row>
    <row r="1907" spans="1:2" x14ac:dyDescent="0.25">
      <c r="A1907" s="3">
        <v>38723</v>
      </c>
      <c r="B1907">
        <v>970.03</v>
      </c>
    </row>
    <row r="1908" spans="1:2" x14ac:dyDescent="0.25">
      <c r="A1908" s="3">
        <v>38722</v>
      </c>
      <c r="B1908">
        <v>959.13</v>
      </c>
    </row>
    <row r="1909" spans="1:2" x14ac:dyDescent="0.25">
      <c r="A1909" s="3">
        <v>38721</v>
      </c>
      <c r="B1909">
        <v>941.42</v>
      </c>
    </row>
    <row r="1910" spans="1:2" x14ac:dyDescent="0.25">
      <c r="A1910" s="3">
        <v>38716</v>
      </c>
      <c r="B1910">
        <v>923.45</v>
      </c>
    </row>
    <row r="1911" spans="1:2" x14ac:dyDescent="0.25">
      <c r="A1911" s="3">
        <v>38715</v>
      </c>
      <c r="B1911">
        <v>932.03</v>
      </c>
    </row>
    <row r="1912" spans="1:2" x14ac:dyDescent="0.25">
      <c r="A1912" s="3">
        <v>38714</v>
      </c>
      <c r="B1912">
        <v>920.91</v>
      </c>
    </row>
    <row r="1913" spans="1:2" x14ac:dyDescent="0.25">
      <c r="A1913" s="3">
        <v>38713</v>
      </c>
      <c r="B1913">
        <v>919.36</v>
      </c>
    </row>
    <row r="1914" spans="1:2" x14ac:dyDescent="0.25">
      <c r="A1914" s="3">
        <v>38712</v>
      </c>
      <c r="B1914">
        <v>922.37</v>
      </c>
    </row>
    <row r="1915" spans="1:2" x14ac:dyDescent="0.25">
      <c r="A1915" s="3">
        <v>38709</v>
      </c>
      <c r="B1915">
        <v>915.89</v>
      </c>
    </row>
    <row r="1916" spans="1:2" x14ac:dyDescent="0.25">
      <c r="A1916" s="3">
        <v>38708</v>
      </c>
      <c r="B1916">
        <v>908.75</v>
      </c>
    </row>
    <row r="1917" spans="1:2" x14ac:dyDescent="0.25">
      <c r="A1917" s="3">
        <v>38707</v>
      </c>
      <c r="B1917">
        <v>903.14</v>
      </c>
    </row>
    <row r="1918" spans="1:2" x14ac:dyDescent="0.25">
      <c r="A1918" s="3">
        <v>38706</v>
      </c>
      <c r="B1918">
        <v>907.31</v>
      </c>
    </row>
    <row r="1919" spans="1:2" x14ac:dyDescent="0.25">
      <c r="A1919" s="3">
        <v>38705</v>
      </c>
      <c r="B1919">
        <v>902.91</v>
      </c>
    </row>
    <row r="1920" spans="1:2" x14ac:dyDescent="0.25">
      <c r="A1920" s="3">
        <v>38702</v>
      </c>
      <c r="B1920">
        <v>902.56</v>
      </c>
    </row>
    <row r="1921" spans="1:2" x14ac:dyDescent="0.25">
      <c r="A1921" s="3">
        <v>38701</v>
      </c>
      <c r="B1921">
        <v>896.43</v>
      </c>
    </row>
    <row r="1922" spans="1:2" x14ac:dyDescent="0.25">
      <c r="A1922" s="3">
        <v>38700</v>
      </c>
      <c r="B1922">
        <v>898.15</v>
      </c>
    </row>
    <row r="1923" spans="1:2" x14ac:dyDescent="0.25">
      <c r="A1923" s="3">
        <v>38699</v>
      </c>
      <c r="B1923">
        <v>889.1</v>
      </c>
    </row>
    <row r="1924" spans="1:2" x14ac:dyDescent="0.25">
      <c r="A1924" s="3">
        <v>38698</v>
      </c>
      <c r="B1924">
        <v>888.51</v>
      </c>
    </row>
    <row r="1925" spans="1:2" x14ac:dyDescent="0.25">
      <c r="A1925" s="3">
        <v>38695</v>
      </c>
      <c r="B1925">
        <v>887.35</v>
      </c>
    </row>
    <row r="1926" spans="1:2" x14ac:dyDescent="0.25">
      <c r="A1926" s="3">
        <v>38694</v>
      </c>
      <c r="B1926">
        <v>874.05</v>
      </c>
    </row>
    <row r="1927" spans="1:2" x14ac:dyDescent="0.25">
      <c r="A1927" s="3">
        <v>38693</v>
      </c>
      <c r="B1927">
        <v>873.83</v>
      </c>
    </row>
    <row r="1928" spans="1:2" x14ac:dyDescent="0.25">
      <c r="A1928" s="3">
        <v>38692</v>
      </c>
      <c r="B1928">
        <v>866.07</v>
      </c>
    </row>
    <row r="1929" spans="1:2" x14ac:dyDescent="0.25">
      <c r="A1929" s="3">
        <v>38691</v>
      </c>
      <c r="B1929">
        <v>859.61</v>
      </c>
    </row>
    <row r="1930" spans="1:2" x14ac:dyDescent="0.25">
      <c r="A1930" s="3">
        <v>38688</v>
      </c>
      <c r="B1930">
        <v>869.93</v>
      </c>
    </row>
    <row r="1931" spans="1:2" x14ac:dyDescent="0.25">
      <c r="A1931" s="3">
        <v>38687</v>
      </c>
      <c r="B1931">
        <v>873.06</v>
      </c>
    </row>
    <row r="1932" spans="1:2" x14ac:dyDescent="0.25">
      <c r="A1932" s="3">
        <v>38686</v>
      </c>
      <c r="B1932">
        <v>873.82</v>
      </c>
    </row>
    <row r="1933" spans="1:2" x14ac:dyDescent="0.25">
      <c r="A1933" s="3">
        <v>38685</v>
      </c>
      <c r="B1933">
        <v>871.31</v>
      </c>
    </row>
    <row r="1934" spans="1:2" x14ac:dyDescent="0.25">
      <c r="A1934" s="3">
        <v>38684</v>
      </c>
      <c r="B1934">
        <v>880.16</v>
      </c>
    </row>
    <row r="1935" spans="1:2" x14ac:dyDescent="0.25">
      <c r="A1935" s="3">
        <v>38681</v>
      </c>
      <c r="B1935">
        <v>884.1</v>
      </c>
    </row>
    <row r="1936" spans="1:2" x14ac:dyDescent="0.25">
      <c r="A1936" s="3">
        <v>38680</v>
      </c>
      <c r="B1936">
        <v>881.49</v>
      </c>
    </row>
    <row r="1937" spans="1:2" x14ac:dyDescent="0.25">
      <c r="A1937" s="3">
        <v>38679</v>
      </c>
      <c r="B1937">
        <v>876.22</v>
      </c>
    </row>
    <row r="1938" spans="1:2" x14ac:dyDescent="0.25">
      <c r="A1938" s="3">
        <v>38678</v>
      </c>
      <c r="B1938">
        <v>869.61</v>
      </c>
    </row>
    <row r="1939" spans="1:2" x14ac:dyDescent="0.25">
      <c r="A1939" s="3">
        <v>38677</v>
      </c>
      <c r="B1939">
        <v>883.87</v>
      </c>
    </row>
    <row r="1940" spans="1:2" x14ac:dyDescent="0.25">
      <c r="A1940" s="3">
        <v>38674</v>
      </c>
      <c r="B1940">
        <v>882.24</v>
      </c>
    </row>
    <row r="1941" spans="1:2" x14ac:dyDescent="0.25">
      <c r="A1941" s="3">
        <v>38673</v>
      </c>
      <c r="B1941">
        <v>862.65</v>
      </c>
    </row>
    <row r="1942" spans="1:2" x14ac:dyDescent="0.25">
      <c r="A1942" s="3">
        <v>38672</v>
      </c>
      <c r="B1942">
        <v>863.11</v>
      </c>
    </row>
    <row r="1943" spans="1:2" x14ac:dyDescent="0.25">
      <c r="A1943" s="3">
        <v>38671</v>
      </c>
      <c r="B1943">
        <v>856.63</v>
      </c>
    </row>
    <row r="1944" spans="1:2" x14ac:dyDescent="0.25">
      <c r="A1944" s="3">
        <v>38670</v>
      </c>
      <c r="B1944">
        <v>862.14</v>
      </c>
    </row>
    <row r="1945" spans="1:2" x14ac:dyDescent="0.25">
      <c r="A1945" s="3">
        <v>38667</v>
      </c>
      <c r="B1945">
        <v>864.79</v>
      </c>
    </row>
    <row r="1946" spans="1:2" x14ac:dyDescent="0.25">
      <c r="A1946" s="3">
        <v>38666</v>
      </c>
      <c r="B1946">
        <v>862.96</v>
      </c>
    </row>
    <row r="1947" spans="1:2" x14ac:dyDescent="0.25">
      <c r="A1947" s="3">
        <v>38665</v>
      </c>
      <c r="B1947">
        <v>879.25</v>
      </c>
    </row>
    <row r="1948" spans="1:2" x14ac:dyDescent="0.25">
      <c r="A1948" s="3">
        <v>38664</v>
      </c>
      <c r="B1948">
        <v>881.52</v>
      </c>
    </row>
    <row r="1949" spans="1:2" x14ac:dyDescent="0.25">
      <c r="A1949" s="3">
        <v>38663</v>
      </c>
      <c r="B1949">
        <v>877.27</v>
      </c>
    </row>
    <row r="1950" spans="1:2" x14ac:dyDescent="0.25">
      <c r="A1950" s="3">
        <v>38660</v>
      </c>
      <c r="B1950">
        <v>878.36</v>
      </c>
    </row>
    <row r="1951" spans="1:2" x14ac:dyDescent="0.25">
      <c r="A1951" s="3">
        <v>38659</v>
      </c>
      <c r="B1951">
        <v>874.57</v>
      </c>
    </row>
    <row r="1952" spans="1:2" x14ac:dyDescent="0.25">
      <c r="A1952" s="3">
        <v>38658</v>
      </c>
      <c r="B1952">
        <v>882.47</v>
      </c>
    </row>
    <row r="1953" spans="1:2" x14ac:dyDescent="0.25">
      <c r="A1953" s="3">
        <v>38657</v>
      </c>
      <c r="B1953">
        <v>872.86</v>
      </c>
    </row>
    <row r="1954" spans="1:2" x14ac:dyDescent="0.25">
      <c r="A1954" s="3">
        <v>38656</v>
      </c>
      <c r="B1954">
        <v>876.28</v>
      </c>
    </row>
    <row r="1955" spans="1:2" x14ac:dyDescent="0.25">
      <c r="A1955" s="3">
        <v>38653</v>
      </c>
      <c r="B1955">
        <v>867.72</v>
      </c>
    </row>
    <row r="1956" spans="1:2" x14ac:dyDescent="0.25">
      <c r="A1956" s="3">
        <v>38652</v>
      </c>
      <c r="B1956">
        <v>875.84</v>
      </c>
    </row>
    <row r="1957" spans="1:2" x14ac:dyDescent="0.25">
      <c r="A1957" s="3">
        <v>38651</v>
      </c>
      <c r="B1957">
        <v>875.82</v>
      </c>
    </row>
    <row r="1958" spans="1:2" x14ac:dyDescent="0.25">
      <c r="A1958" s="3">
        <v>38650</v>
      </c>
      <c r="B1958">
        <v>894.27</v>
      </c>
    </row>
    <row r="1959" spans="1:2" x14ac:dyDescent="0.25">
      <c r="A1959" s="3">
        <v>38649</v>
      </c>
      <c r="B1959">
        <v>906.65</v>
      </c>
    </row>
    <row r="1960" spans="1:2" x14ac:dyDescent="0.25">
      <c r="A1960" s="3">
        <v>38646</v>
      </c>
      <c r="B1960">
        <v>904.41</v>
      </c>
    </row>
    <row r="1961" spans="1:2" x14ac:dyDescent="0.25">
      <c r="A1961" s="3">
        <v>38645</v>
      </c>
      <c r="B1961">
        <v>899.91</v>
      </c>
    </row>
    <row r="1962" spans="1:2" x14ac:dyDescent="0.25">
      <c r="A1962" s="3">
        <v>38644</v>
      </c>
      <c r="B1962">
        <v>898.74</v>
      </c>
    </row>
    <row r="1963" spans="1:2" x14ac:dyDescent="0.25">
      <c r="A1963" s="3">
        <v>38643</v>
      </c>
      <c r="B1963">
        <v>902.36</v>
      </c>
    </row>
    <row r="1964" spans="1:2" x14ac:dyDescent="0.25">
      <c r="A1964" s="3">
        <v>38642</v>
      </c>
      <c r="B1964">
        <v>897.62</v>
      </c>
    </row>
    <row r="1965" spans="1:2" x14ac:dyDescent="0.25">
      <c r="A1965" s="3">
        <v>38639</v>
      </c>
      <c r="B1965">
        <v>904.82</v>
      </c>
    </row>
    <row r="1966" spans="1:2" x14ac:dyDescent="0.25">
      <c r="A1966" s="3">
        <v>38638</v>
      </c>
      <c r="B1966">
        <v>916.49</v>
      </c>
    </row>
    <row r="1967" spans="1:2" x14ac:dyDescent="0.25">
      <c r="A1967" s="3">
        <v>38637</v>
      </c>
      <c r="B1967">
        <v>923.48</v>
      </c>
    </row>
    <row r="1968" spans="1:2" x14ac:dyDescent="0.25">
      <c r="A1968" s="3">
        <v>38636</v>
      </c>
      <c r="B1968">
        <v>919.72</v>
      </c>
    </row>
    <row r="1969" spans="1:2" x14ac:dyDescent="0.25">
      <c r="A1969" s="3">
        <v>38635</v>
      </c>
      <c r="B1969">
        <v>907.32</v>
      </c>
    </row>
    <row r="1970" spans="1:2" x14ac:dyDescent="0.25">
      <c r="A1970" s="3">
        <v>38625</v>
      </c>
      <c r="B1970">
        <v>917.39</v>
      </c>
    </row>
    <row r="1971" spans="1:2" x14ac:dyDescent="0.25">
      <c r="A1971" s="3">
        <v>38624</v>
      </c>
      <c r="B1971">
        <v>915.97</v>
      </c>
    </row>
    <row r="1972" spans="1:2" x14ac:dyDescent="0.25">
      <c r="A1972" s="3">
        <v>38623</v>
      </c>
      <c r="B1972">
        <v>903.71</v>
      </c>
    </row>
    <row r="1973" spans="1:2" x14ac:dyDescent="0.25">
      <c r="A1973" s="3">
        <v>38622</v>
      </c>
      <c r="B1973">
        <v>904.21</v>
      </c>
    </row>
    <row r="1974" spans="1:2" x14ac:dyDescent="0.25">
      <c r="A1974" s="3">
        <v>38621</v>
      </c>
      <c r="B1974">
        <v>918.48</v>
      </c>
    </row>
    <row r="1975" spans="1:2" x14ac:dyDescent="0.25">
      <c r="A1975" s="3">
        <v>38618</v>
      </c>
      <c r="B1975">
        <v>916.15</v>
      </c>
    </row>
    <row r="1976" spans="1:2" x14ac:dyDescent="0.25">
      <c r="A1976" s="3">
        <v>38617</v>
      </c>
      <c r="B1976">
        <v>923.27</v>
      </c>
    </row>
    <row r="1977" spans="1:2" x14ac:dyDescent="0.25">
      <c r="A1977" s="3">
        <v>38616</v>
      </c>
      <c r="B1977">
        <v>944.4</v>
      </c>
    </row>
    <row r="1978" spans="1:2" x14ac:dyDescent="0.25">
      <c r="A1978" s="3">
        <v>38615</v>
      </c>
      <c r="B1978">
        <v>961.91</v>
      </c>
    </row>
    <row r="1979" spans="1:2" x14ac:dyDescent="0.25">
      <c r="A1979" s="3">
        <v>38614</v>
      </c>
      <c r="B1979">
        <v>971.13</v>
      </c>
    </row>
    <row r="1980" spans="1:2" x14ac:dyDescent="0.25">
      <c r="A1980" s="3">
        <v>38611</v>
      </c>
      <c r="B1980">
        <v>967.49</v>
      </c>
    </row>
    <row r="1981" spans="1:2" x14ac:dyDescent="0.25">
      <c r="A1981" s="3">
        <v>38610</v>
      </c>
      <c r="B1981">
        <v>969.59</v>
      </c>
    </row>
    <row r="1982" spans="1:2" x14ac:dyDescent="0.25">
      <c r="A1982" s="3">
        <v>38609</v>
      </c>
      <c r="B1982">
        <v>970.19</v>
      </c>
    </row>
    <row r="1983" spans="1:2" x14ac:dyDescent="0.25">
      <c r="A1983" s="3">
        <v>38608</v>
      </c>
      <c r="B1983">
        <v>963.77</v>
      </c>
    </row>
    <row r="1984" spans="1:2" x14ac:dyDescent="0.25">
      <c r="A1984" s="3">
        <v>38607</v>
      </c>
      <c r="B1984">
        <v>949.5</v>
      </c>
    </row>
    <row r="1985" spans="1:2" x14ac:dyDescent="0.25">
      <c r="A1985" s="3">
        <v>38604</v>
      </c>
      <c r="B1985">
        <v>949.06</v>
      </c>
    </row>
    <row r="1986" spans="1:2" x14ac:dyDescent="0.25">
      <c r="A1986" s="3">
        <v>38603</v>
      </c>
      <c r="B1986">
        <v>955.28</v>
      </c>
    </row>
    <row r="1987" spans="1:2" x14ac:dyDescent="0.25">
      <c r="A1987" s="3">
        <v>38602</v>
      </c>
      <c r="B1987">
        <v>952.75</v>
      </c>
    </row>
    <row r="1988" spans="1:2" x14ac:dyDescent="0.25">
      <c r="A1988" s="3">
        <v>38601</v>
      </c>
      <c r="B1988">
        <v>936.61</v>
      </c>
    </row>
    <row r="1989" spans="1:2" x14ac:dyDescent="0.25">
      <c r="A1989" s="3">
        <v>38600</v>
      </c>
      <c r="B1989">
        <v>952.71</v>
      </c>
    </row>
    <row r="1990" spans="1:2" x14ac:dyDescent="0.25">
      <c r="A1990" s="3">
        <v>38597</v>
      </c>
      <c r="B1990">
        <v>947.87</v>
      </c>
    </row>
    <row r="1991" spans="1:2" x14ac:dyDescent="0.25">
      <c r="A1991" s="3">
        <v>38596</v>
      </c>
      <c r="B1991">
        <v>944.55</v>
      </c>
    </row>
    <row r="1992" spans="1:2" x14ac:dyDescent="0.25">
      <c r="A1992" s="3">
        <v>38595</v>
      </c>
      <c r="B1992">
        <v>927.91</v>
      </c>
    </row>
    <row r="1993" spans="1:2" x14ac:dyDescent="0.25">
      <c r="A1993" s="3">
        <v>38594</v>
      </c>
      <c r="B1993">
        <v>914.88</v>
      </c>
    </row>
    <row r="1994" spans="1:2" x14ac:dyDescent="0.25">
      <c r="A1994" s="3">
        <v>38593</v>
      </c>
      <c r="B1994">
        <v>917.37</v>
      </c>
    </row>
    <row r="1995" spans="1:2" x14ac:dyDescent="0.25">
      <c r="A1995" s="3">
        <v>38590</v>
      </c>
      <c r="B1995">
        <v>928.25</v>
      </c>
    </row>
    <row r="1996" spans="1:2" x14ac:dyDescent="0.25">
      <c r="A1996" s="3">
        <v>38589</v>
      </c>
      <c r="B1996">
        <v>930.11</v>
      </c>
    </row>
    <row r="1997" spans="1:2" x14ac:dyDescent="0.25">
      <c r="A1997" s="3">
        <v>38588</v>
      </c>
      <c r="B1997">
        <v>930.65</v>
      </c>
    </row>
    <row r="1998" spans="1:2" x14ac:dyDescent="0.25">
      <c r="A1998" s="3">
        <v>38587</v>
      </c>
      <c r="B1998">
        <v>923.41</v>
      </c>
    </row>
    <row r="1999" spans="1:2" x14ac:dyDescent="0.25">
      <c r="A1999" s="3">
        <v>38586</v>
      </c>
      <c r="B1999">
        <v>931.67</v>
      </c>
    </row>
    <row r="2000" spans="1:2" x14ac:dyDescent="0.25">
      <c r="A2000" s="3">
        <v>38583</v>
      </c>
      <c r="B2000">
        <v>923.03</v>
      </c>
    </row>
    <row r="2001" spans="1:2" x14ac:dyDescent="0.25">
      <c r="A2001" s="3">
        <v>38582</v>
      </c>
      <c r="B2001">
        <v>920.67</v>
      </c>
    </row>
    <row r="2002" spans="1:2" x14ac:dyDescent="0.25">
      <c r="A2002" s="3">
        <v>38581</v>
      </c>
      <c r="B2002">
        <v>953.01</v>
      </c>
    </row>
    <row r="2003" spans="1:2" x14ac:dyDescent="0.25">
      <c r="A2003" s="3">
        <v>38580</v>
      </c>
      <c r="B2003">
        <v>945.05</v>
      </c>
    </row>
    <row r="2004" spans="1:2" x14ac:dyDescent="0.25">
      <c r="A2004" s="3">
        <v>38579</v>
      </c>
      <c r="B2004">
        <v>954.5</v>
      </c>
    </row>
    <row r="2005" spans="1:2" x14ac:dyDescent="0.25">
      <c r="A2005" s="3">
        <v>38576</v>
      </c>
      <c r="B2005">
        <v>938.31</v>
      </c>
    </row>
    <row r="2006" spans="1:2" x14ac:dyDescent="0.25">
      <c r="A2006" s="3">
        <v>38575</v>
      </c>
      <c r="B2006">
        <v>953.99</v>
      </c>
    </row>
    <row r="2007" spans="1:2" x14ac:dyDescent="0.25">
      <c r="A2007" s="3">
        <v>38574</v>
      </c>
      <c r="B2007">
        <v>940.37</v>
      </c>
    </row>
    <row r="2008" spans="1:2" x14ac:dyDescent="0.25">
      <c r="A2008" s="3">
        <v>38573</v>
      </c>
      <c r="B2008">
        <v>933.08</v>
      </c>
    </row>
    <row r="2009" spans="1:2" x14ac:dyDescent="0.25">
      <c r="A2009" s="3">
        <v>38572</v>
      </c>
      <c r="B2009">
        <v>927.47</v>
      </c>
    </row>
    <row r="2010" spans="1:2" x14ac:dyDescent="0.25">
      <c r="A2010" s="3">
        <v>38569</v>
      </c>
      <c r="B2010">
        <v>923.8</v>
      </c>
    </row>
    <row r="2011" spans="1:2" x14ac:dyDescent="0.25">
      <c r="A2011" s="3">
        <v>38568</v>
      </c>
      <c r="B2011">
        <v>904.15</v>
      </c>
    </row>
    <row r="2012" spans="1:2" x14ac:dyDescent="0.25">
      <c r="A2012" s="3">
        <v>38567</v>
      </c>
      <c r="B2012">
        <v>909.57</v>
      </c>
    </row>
    <row r="2013" spans="1:2" x14ac:dyDescent="0.25">
      <c r="A2013" s="3">
        <v>38566</v>
      </c>
      <c r="B2013">
        <v>903.59</v>
      </c>
    </row>
    <row r="2014" spans="1:2" x14ac:dyDescent="0.25">
      <c r="A2014" s="3">
        <v>38565</v>
      </c>
      <c r="B2014">
        <v>891.6</v>
      </c>
    </row>
    <row r="2015" spans="1:2" x14ac:dyDescent="0.25">
      <c r="A2015" s="3">
        <v>38562</v>
      </c>
      <c r="B2015">
        <v>888.16</v>
      </c>
    </row>
    <row r="2016" spans="1:2" x14ac:dyDescent="0.25">
      <c r="A2016" s="3">
        <v>38561</v>
      </c>
      <c r="B2016">
        <v>890.88</v>
      </c>
    </row>
    <row r="2017" spans="1:2" x14ac:dyDescent="0.25">
      <c r="A2017" s="3">
        <v>38560</v>
      </c>
      <c r="B2017">
        <v>894.01</v>
      </c>
    </row>
    <row r="2018" spans="1:2" x14ac:dyDescent="0.25">
      <c r="A2018" s="3">
        <v>38559</v>
      </c>
      <c r="B2018">
        <v>876.48</v>
      </c>
    </row>
    <row r="2019" spans="1:2" x14ac:dyDescent="0.25">
      <c r="A2019" s="3">
        <v>38558</v>
      </c>
      <c r="B2019">
        <v>856.86</v>
      </c>
    </row>
    <row r="2020" spans="1:2" x14ac:dyDescent="0.25">
      <c r="A2020" s="3">
        <v>38555</v>
      </c>
      <c r="B2020">
        <v>859.69</v>
      </c>
    </row>
    <row r="2021" spans="1:2" x14ac:dyDescent="0.25">
      <c r="A2021" s="3">
        <v>38554</v>
      </c>
      <c r="B2021">
        <v>843.98</v>
      </c>
    </row>
    <row r="2022" spans="1:2" x14ac:dyDescent="0.25">
      <c r="A2022" s="3">
        <v>38553</v>
      </c>
      <c r="B2022">
        <v>842.64</v>
      </c>
    </row>
    <row r="2023" spans="1:2" x14ac:dyDescent="0.25">
      <c r="A2023" s="3">
        <v>38552</v>
      </c>
      <c r="B2023">
        <v>835.6</v>
      </c>
    </row>
    <row r="2024" spans="1:2" x14ac:dyDescent="0.25">
      <c r="A2024" s="3">
        <v>38551</v>
      </c>
      <c r="B2024">
        <v>832.99</v>
      </c>
    </row>
    <row r="2025" spans="1:2" x14ac:dyDescent="0.25">
      <c r="A2025" s="3">
        <v>38548</v>
      </c>
      <c r="B2025">
        <v>841</v>
      </c>
    </row>
    <row r="2026" spans="1:2" x14ac:dyDescent="0.25">
      <c r="A2026" s="3">
        <v>38547</v>
      </c>
      <c r="B2026">
        <v>849.59</v>
      </c>
    </row>
    <row r="2027" spans="1:2" x14ac:dyDescent="0.25">
      <c r="A2027" s="3">
        <v>38546</v>
      </c>
      <c r="B2027">
        <v>846.23</v>
      </c>
    </row>
    <row r="2028" spans="1:2" x14ac:dyDescent="0.25">
      <c r="A2028" s="3">
        <v>38545</v>
      </c>
      <c r="B2028">
        <v>851.81</v>
      </c>
    </row>
    <row r="2029" spans="1:2" x14ac:dyDescent="0.25">
      <c r="A2029" s="3">
        <v>38544</v>
      </c>
      <c r="B2029">
        <v>824.09</v>
      </c>
    </row>
    <row r="2030" spans="1:2" x14ac:dyDescent="0.25">
      <c r="A2030" s="3">
        <v>38541</v>
      </c>
      <c r="B2030">
        <v>829.48</v>
      </c>
    </row>
    <row r="2031" spans="1:2" x14ac:dyDescent="0.25">
      <c r="A2031" s="3">
        <v>38540</v>
      </c>
      <c r="B2031">
        <v>844.72</v>
      </c>
    </row>
    <row r="2032" spans="1:2" x14ac:dyDescent="0.25">
      <c r="A2032" s="3">
        <v>38539</v>
      </c>
      <c r="B2032">
        <v>842.55</v>
      </c>
    </row>
    <row r="2033" spans="1:2" x14ac:dyDescent="0.25">
      <c r="A2033" s="3">
        <v>38538</v>
      </c>
      <c r="B2033">
        <v>849.67</v>
      </c>
    </row>
    <row r="2034" spans="1:2" x14ac:dyDescent="0.25">
      <c r="A2034" s="3">
        <v>38537</v>
      </c>
      <c r="B2034">
        <v>855.93</v>
      </c>
    </row>
    <row r="2035" spans="1:2" x14ac:dyDescent="0.25">
      <c r="A2035" s="3">
        <v>38534</v>
      </c>
      <c r="B2035">
        <v>859.49</v>
      </c>
    </row>
    <row r="2036" spans="1:2" x14ac:dyDescent="0.25">
      <c r="A2036" s="3">
        <v>38533</v>
      </c>
      <c r="B2036">
        <v>878.68</v>
      </c>
    </row>
    <row r="2037" spans="1:2" x14ac:dyDescent="0.25">
      <c r="A2037" s="3">
        <v>38532</v>
      </c>
      <c r="B2037">
        <v>898.89</v>
      </c>
    </row>
    <row r="2038" spans="1:2" x14ac:dyDescent="0.25">
      <c r="A2038" s="3">
        <v>38531</v>
      </c>
      <c r="B2038">
        <v>903.71</v>
      </c>
    </row>
    <row r="2039" spans="1:2" x14ac:dyDescent="0.25">
      <c r="A2039" s="3">
        <v>38530</v>
      </c>
      <c r="B2039">
        <v>916.04</v>
      </c>
    </row>
    <row r="2040" spans="1:2" x14ac:dyDescent="0.25">
      <c r="A2040" s="3">
        <v>38527</v>
      </c>
      <c r="B2040">
        <v>898.3</v>
      </c>
    </row>
    <row r="2041" spans="1:2" x14ac:dyDescent="0.25">
      <c r="A2041" s="3">
        <v>38526</v>
      </c>
      <c r="B2041">
        <v>893.57</v>
      </c>
    </row>
    <row r="2042" spans="1:2" x14ac:dyDescent="0.25">
      <c r="A2042" s="3">
        <v>38525</v>
      </c>
      <c r="B2042">
        <v>900.64</v>
      </c>
    </row>
    <row r="2043" spans="1:2" x14ac:dyDescent="0.25">
      <c r="A2043" s="3">
        <v>38524</v>
      </c>
      <c r="B2043">
        <v>896.16</v>
      </c>
    </row>
    <row r="2044" spans="1:2" x14ac:dyDescent="0.25">
      <c r="A2044" s="3">
        <v>38523</v>
      </c>
      <c r="B2044">
        <v>906.25</v>
      </c>
    </row>
    <row r="2045" spans="1:2" x14ac:dyDescent="0.25">
      <c r="A2045" s="3">
        <v>38520</v>
      </c>
      <c r="B2045">
        <v>880.34</v>
      </c>
    </row>
    <row r="2046" spans="1:2" x14ac:dyDescent="0.25">
      <c r="A2046" s="3">
        <v>38519</v>
      </c>
      <c r="B2046">
        <v>879.23</v>
      </c>
    </row>
    <row r="2047" spans="1:2" x14ac:dyDescent="0.25">
      <c r="A2047" s="3">
        <v>38518</v>
      </c>
      <c r="B2047">
        <v>866.83</v>
      </c>
    </row>
    <row r="2048" spans="1:2" x14ac:dyDescent="0.25">
      <c r="A2048" s="3">
        <v>38517</v>
      </c>
      <c r="B2048">
        <v>883.53</v>
      </c>
    </row>
    <row r="2049" spans="1:2" x14ac:dyDescent="0.25">
      <c r="A2049" s="3">
        <v>38516</v>
      </c>
      <c r="B2049">
        <v>892.95</v>
      </c>
    </row>
    <row r="2050" spans="1:2" x14ac:dyDescent="0.25">
      <c r="A2050" s="3">
        <v>38513</v>
      </c>
      <c r="B2050">
        <v>894.55</v>
      </c>
    </row>
    <row r="2051" spans="1:2" x14ac:dyDescent="0.25">
      <c r="A2051" s="3">
        <v>38512</v>
      </c>
      <c r="B2051">
        <v>912.6</v>
      </c>
    </row>
    <row r="2052" spans="1:2" x14ac:dyDescent="0.25">
      <c r="A2052" s="3">
        <v>38511</v>
      </c>
      <c r="B2052">
        <v>905.77</v>
      </c>
    </row>
    <row r="2053" spans="1:2" x14ac:dyDescent="0.25">
      <c r="A2053" s="3">
        <v>38510</v>
      </c>
      <c r="B2053">
        <v>837.28</v>
      </c>
    </row>
    <row r="2054" spans="1:2" x14ac:dyDescent="0.25">
      <c r="A2054" s="3">
        <v>38509</v>
      </c>
      <c r="B2054">
        <v>838.99</v>
      </c>
    </row>
    <row r="2055" spans="1:2" x14ac:dyDescent="0.25">
      <c r="A2055" s="3">
        <v>38506</v>
      </c>
      <c r="B2055">
        <v>818.03</v>
      </c>
    </row>
    <row r="2056" spans="1:2" x14ac:dyDescent="0.25">
      <c r="A2056" s="3">
        <v>38505</v>
      </c>
      <c r="B2056">
        <v>818.37</v>
      </c>
    </row>
    <row r="2057" spans="1:2" x14ac:dyDescent="0.25">
      <c r="A2057" s="3">
        <v>38504</v>
      </c>
      <c r="B2057">
        <v>837.53</v>
      </c>
    </row>
    <row r="2058" spans="1:2" x14ac:dyDescent="0.25">
      <c r="A2058" s="3">
        <v>38503</v>
      </c>
      <c r="B2058">
        <v>855.94</v>
      </c>
    </row>
    <row r="2059" spans="1:2" x14ac:dyDescent="0.25">
      <c r="A2059" s="3">
        <v>38502</v>
      </c>
      <c r="B2059">
        <v>855.61</v>
      </c>
    </row>
    <row r="2060" spans="1:2" x14ac:dyDescent="0.25">
      <c r="A2060" s="3">
        <v>38499</v>
      </c>
      <c r="B2060">
        <v>849.5</v>
      </c>
    </row>
    <row r="2061" spans="1:2" x14ac:dyDescent="0.25">
      <c r="A2061" s="3">
        <v>38498</v>
      </c>
      <c r="B2061">
        <v>857.33</v>
      </c>
    </row>
    <row r="2062" spans="1:2" x14ac:dyDescent="0.25">
      <c r="A2062" s="3">
        <v>38497</v>
      </c>
      <c r="B2062">
        <v>868.45</v>
      </c>
    </row>
    <row r="2063" spans="1:2" x14ac:dyDescent="0.25">
      <c r="A2063" s="3">
        <v>38496</v>
      </c>
      <c r="B2063">
        <v>868.45</v>
      </c>
    </row>
    <row r="2064" spans="1:2" x14ac:dyDescent="0.25">
      <c r="A2064" s="3">
        <v>38495</v>
      </c>
      <c r="B2064">
        <v>863.34</v>
      </c>
    </row>
    <row r="2065" spans="1:2" x14ac:dyDescent="0.25">
      <c r="A2065" s="3">
        <v>38492</v>
      </c>
      <c r="B2065">
        <v>882.76</v>
      </c>
    </row>
    <row r="2066" spans="1:2" x14ac:dyDescent="0.25">
      <c r="A2066" s="3">
        <v>38491</v>
      </c>
      <c r="B2066">
        <v>884.17</v>
      </c>
    </row>
    <row r="2067" spans="1:2" x14ac:dyDescent="0.25">
      <c r="A2067" s="3">
        <v>38490</v>
      </c>
      <c r="B2067">
        <v>883.19</v>
      </c>
    </row>
    <row r="2068" spans="1:2" x14ac:dyDescent="0.25">
      <c r="A2068" s="3">
        <v>38489</v>
      </c>
      <c r="B2068">
        <v>881.46</v>
      </c>
    </row>
    <row r="2069" spans="1:2" x14ac:dyDescent="0.25">
      <c r="A2069" s="3">
        <v>38488</v>
      </c>
      <c r="B2069">
        <v>875.27</v>
      </c>
    </row>
    <row r="2070" spans="1:2" x14ac:dyDescent="0.25">
      <c r="A2070" s="3">
        <v>38485</v>
      </c>
      <c r="B2070">
        <v>887.54</v>
      </c>
    </row>
    <row r="2071" spans="1:2" x14ac:dyDescent="0.25">
      <c r="A2071" s="3">
        <v>38484</v>
      </c>
      <c r="B2071">
        <v>885.82</v>
      </c>
    </row>
    <row r="2072" spans="1:2" x14ac:dyDescent="0.25">
      <c r="A2072" s="3">
        <v>38483</v>
      </c>
      <c r="B2072">
        <v>901.85</v>
      </c>
    </row>
    <row r="2073" spans="1:2" x14ac:dyDescent="0.25">
      <c r="A2073" s="3">
        <v>38482</v>
      </c>
      <c r="B2073">
        <v>913.07</v>
      </c>
    </row>
    <row r="2074" spans="1:2" x14ac:dyDescent="0.25">
      <c r="A2074" s="3">
        <v>38481</v>
      </c>
      <c r="B2074">
        <v>909.17</v>
      </c>
    </row>
    <row r="2075" spans="1:2" x14ac:dyDescent="0.25">
      <c r="A2075" s="3">
        <v>38471</v>
      </c>
      <c r="B2075">
        <v>932.39</v>
      </c>
    </row>
    <row r="2076" spans="1:2" x14ac:dyDescent="0.25">
      <c r="A2076" s="3">
        <v>38470</v>
      </c>
      <c r="B2076">
        <v>942.07</v>
      </c>
    </row>
    <row r="2077" spans="1:2" x14ac:dyDescent="0.25">
      <c r="A2077" s="3">
        <v>38469</v>
      </c>
      <c r="B2077">
        <v>926.6</v>
      </c>
    </row>
    <row r="2078" spans="1:2" x14ac:dyDescent="0.25">
      <c r="A2078" s="3">
        <v>38468</v>
      </c>
      <c r="B2078">
        <v>937.08</v>
      </c>
    </row>
    <row r="2079" spans="1:2" x14ac:dyDescent="0.25">
      <c r="A2079" s="3">
        <v>38467</v>
      </c>
      <c r="B2079">
        <v>930.07</v>
      </c>
    </row>
    <row r="2080" spans="1:2" x14ac:dyDescent="0.25">
      <c r="A2080" s="3">
        <v>38464</v>
      </c>
      <c r="B2080">
        <v>939.1</v>
      </c>
    </row>
    <row r="2081" spans="1:2" x14ac:dyDescent="0.25">
      <c r="A2081" s="3">
        <v>38463</v>
      </c>
      <c r="B2081">
        <v>943.98</v>
      </c>
    </row>
    <row r="2082" spans="1:2" x14ac:dyDescent="0.25">
      <c r="A2082" s="3">
        <v>38462</v>
      </c>
      <c r="B2082">
        <v>950.86</v>
      </c>
    </row>
    <row r="2083" spans="1:2" x14ac:dyDescent="0.25">
      <c r="A2083" s="3">
        <v>38461</v>
      </c>
      <c r="B2083">
        <v>965.88</v>
      </c>
    </row>
    <row r="2084" spans="1:2" x14ac:dyDescent="0.25">
      <c r="A2084" s="3">
        <v>38460</v>
      </c>
      <c r="B2084">
        <v>963.77</v>
      </c>
    </row>
    <row r="2085" spans="1:2" x14ac:dyDescent="0.25">
      <c r="A2085" s="3">
        <v>38457</v>
      </c>
      <c r="B2085">
        <v>974.08</v>
      </c>
    </row>
    <row r="2086" spans="1:2" x14ac:dyDescent="0.25">
      <c r="A2086" s="3">
        <v>38456</v>
      </c>
      <c r="B2086">
        <v>986.97</v>
      </c>
    </row>
    <row r="2087" spans="1:2" x14ac:dyDescent="0.25">
      <c r="A2087" s="3">
        <v>38455</v>
      </c>
      <c r="B2087">
        <v>1000.9</v>
      </c>
    </row>
    <row r="2088" spans="1:2" x14ac:dyDescent="0.25">
      <c r="A2088" s="3">
        <v>38454</v>
      </c>
      <c r="B2088">
        <v>978.69</v>
      </c>
    </row>
    <row r="2089" spans="1:2" x14ac:dyDescent="0.25">
      <c r="A2089" s="3">
        <v>38453</v>
      </c>
      <c r="B2089">
        <v>995.42</v>
      </c>
    </row>
    <row r="2090" spans="1:2" x14ac:dyDescent="0.25">
      <c r="A2090" s="3">
        <v>38450</v>
      </c>
      <c r="B2090">
        <v>1003.44</v>
      </c>
    </row>
    <row r="2091" spans="1:2" x14ac:dyDescent="0.25">
      <c r="A2091" s="3">
        <v>38449</v>
      </c>
      <c r="B2091">
        <v>984.73</v>
      </c>
    </row>
    <row r="2092" spans="1:2" x14ac:dyDescent="0.25">
      <c r="A2092" s="3">
        <v>38448</v>
      </c>
      <c r="B2092">
        <v>973.66</v>
      </c>
    </row>
    <row r="2093" spans="1:2" x14ac:dyDescent="0.25">
      <c r="A2093" s="3">
        <v>38447</v>
      </c>
      <c r="B2093">
        <v>955.59</v>
      </c>
    </row>
    <row r="2094" spans="1:2" x14ac:dyDescent="0.25">
      <c r="A2094" s="3">
        <v>38446</v>
      </c>
      <c r="B2094">
        <v>962.16</v>
      </c>
    </row>
    <row r="2095" spans="1:2" x14ac:dyDescent="0.25">
      <c r="A2095" s="3">
        <v>38443</v>
      </c>
      <c r="B2095">
        <v>978.14</v>
      </c>
    </row>
    <row r="2096" spans="1:2" x14ac:dyDescent="0.25">
      <c r="A2096" s="3">
        <v>38442</v>
      </c>
      <c r="B2096">
        <v>942.2</v>
      </c>
    </row>
    <row r="2097" spans="1:2" x14ac:dyDescent="0.25">
      <c r="A2097" s="3">
        <v>38441</v>
      </c>
      <c r="B2097">
        <v>937.03</v>
      </c>
    </row>
    <row r="2098" spans="1:2" x14ac:dyDescent="0.25">
      <c r="A2098" s="3">
        <v>38440</v>
      </c>
      <c r="B2098">
        <v>955.19</v>
      </c>
    </row>
    <row r="2099" spans="1:2" x14ac:dyDescent="0.25">
      <c r="A2099" s="3">
        <v>38439</v>
      </c>
      <c r="B2099">
        <v>960.69</v>
      </c>
    </row>
    <row r="2100" spans="1:2" x14ac:dyDescent="0.25">
      <c r="A2100" s="3">
        <v>38436</v>
      </c>
      <c r="B2100">
        <v>962.95</v>
      </c>
    </row>
    <row r="2101" spans="1:2" x14ac:dyDescent="0.25">
      <c r="A2101" s="3">
        <v>38435</v>
      </c>
      <c r="B2101">
        <v>964.8</v>
      </c>
    </row>
    <row r="2102" spans="1:2" x14ac:dyDescent="0.25">
      <c r="A2102" s="3">
        <v>38434</v>
      </c>
      <c r="B2102">
        <v>959.01</v>
      </c>
    </row>
    <row r="2103" spans="1:2" x14ac:dyDescent="0.25">
      <c r="A2103" s="3">
        <v>38433</v>
      </c>
      <c r="B2103">
        <v>964.02</v>
      </c>
    </row>
    <row r="2104" spans="1:2" x14ac:dyDescent="0.25">
      <c r="A2104" s="3">
        <v>38432</v>
      </c>
      <c r="B2104">
        <v>981.89</v>
      </c>
    </row>
    <row r="2105" spans="1:2" x14ac:dyDescent="0.25">
      <c r="A2105" s="3">
        <v>38429</v>
      </c>
      <c r="B2105">
        <v>978.66</v>
      </c>
    </row>
    <row r="2106" spans="1:2" x14ac:dyDescent="0.25">
      <c r="A2106" s="3">
        <v>38428</v>
      </c>
      <c r="B2106">
        <v>992.86</v>
      </c>
    </row>
    <row r="2107" spans="1:2" x14ac:dyDescent="0.25">
      <c r="A2107" s="3">
        <v>38427</v>
      </c>
      <c r="B2107">
        <v>1003.06</v>
      </c>
    </row>
    <row r="2108" spans="1:2" x14ac:dyDescent="0.25">
      <c r="A2108" s="3">
        <v>38426</v>
      </c>
      <c r="B2108">
        <v>1013.52</v>
      </c>
    </row>
    <row r="2109" spans="1:2" x14ac:dyDescent="0.25">
      <c r="A2109" s="3">
        <v>38425</v>
      </c>
      <c r="B2109">
        <v>1031.02</v>
      </c>
    </row>
    <row r="2110" spans="1:2" x14ac:dyDescent="0.25">
      <c r="A2110" s="3">
        <v>38422</v>
      </c>
      <c r="B2110">
        <v>1027.42</v>
      </c>
    </row>
    <row r="2111" spans="1:2" x14ac:dyDescent="0.25">
      <c r="A2111" s="3">
        <v>38421</v>
      </c>
      <c r="B2111">
        <v>1022.41</v>
      </c>
    </row>
    <row r="2112" spans="1:2" x14ac:dyDescent="0.25">
      <c r="A2112" s="3">
        <v>38420</v>
      </c>
      <c r="B2112">
        <v>1046.54</v>
      </c>
    </row>
    <row r="2113" spans="1:2" x14ac:dyDescent="0.25">
      <c r="A2113" s="3">
        <v>38419</v>
      </c>
      <c r="B2113">
        <v>1048.98</v>
      </c>
    </row>
    <row r="2114" spans="1:2" x14ac:dyDescent="0.25">
      <c r="A2114" s="3">
        <v>38418</v>
      </c>
      <c r="B2114">
        <v>1029.8699999999999</v>
      </c>
    </row>
    <row r="2115" spans="1:2" x14ac:dyDescent="0.25">
      <c r="A2115" s="3">
        <v>38415</v>
      </c>
      <c r="B2115">
        <v>1023.66</v>
      </c>
    </row>
    <row r="2116" spans="1:2" x14ac:dyDescent="0.25">
      <c r="A2116" s="3">
        <v>38414</v>
      </c>
      <c r="B2116">
        <v>1027.71</v>
      </c>
    </row>
    <row r="2117" spans="1:2" x14ac:dyDescent="0.25">
      <c r="A2117" s="3">
        <v>38413</v>
      </c>
      <c r="B2117">
        <v>1021.32</v>
      </c>
    </row>
    <row r="2118" spans="1:2" x14ac:dyDescent="0.25">
      <c r="A2118" s="3">
        <v>38412</v>
      </c>
      <c r="B2118">
        <v>1035.93</v>
      </c>
    </row>
    <row r="2119" spans="1:2" x14ac:dyDescent="0.25">
      <c r="A2119" s="3">
        <v>38411</v>
      </c>
      <c r="B2119">
        <v>1039.98</v>
      </c>
    </row>
    <row r="2120" spans="1:2" x14ac:dyDescent="0.25">
      <c r="A2120" s="3">
        <v>38408</v>
      </c>
      <c r="B2120">
        <v>1046.76</v>
      </c>
    </row>
    <row r="2121" spans="1:2" x14ac:dyDescent="0.25">
      <c r="A2121" s="3">
        <v>38407</v>
      </c>
      <c r="B2121">
        <v>1045.46</v>
      </c>
    </row>
    <row r="2122" spans="1:2" x14ac:dyDescent="0.25">
      <c r="A2122" s="3">
        <v>38406</v>
      </c>
      <c r="B2122">
        <v>1043.93</v>
      </c>
    </row>
    <row r="2123" spans="1:2" x14ac:dyDescent="0.25">
      <c r="A2123" s="3">
        <v>38405</v>
      </c>
      <c r="B2123">
        <v>1046.74</v>
      </c>
    </row>
    <row r="2124" spans="1:2" x14ac:dyDescent="0.25">
      <c r="A2124" s="3">
        <v>38404</v>
      </c>
      <c r="B2124">
        <v>1025.6300000000001</v>
      </c>
    </row>
    <row r="2125" spans="1:2" x14ac:dyDescent="0.25">
      <c r="A2125" s="3">
        <v>38401</v>
      </c>
      <c r="B2125">
        <v>1006.05</v>
      </c>
    </row>
    <row r="2126" spans="1:2" x14ac:dyDescent="0.25">
      <c r="A2126" s="3">
        <v>38400</v>
      </c>
      <c r="B2126">
        <v>1020.6</v>
      </c>
    </row>
    <row r="2127" spans="1:2" x14ac:dyDescent="0.25">
      <c r="A2127" s="3">
        <v>38399</v>
      </c>
      <c r="B2127">
        <v>1023.58</v>
      </c>
    </row>
    <row r="2128" spans="1:2" x14ac:dyDescent="0.25">
      <c r="A2128" s="3">
        <v>38387</v>
      </c>
      <c r="B2128">
        <v>1016.85</v>
      </c>
    </row>
    <row r="2129" spans="1:2" x14ac:dyDescent="0.25">
      <c r="A2129" s="3">
        <v>38386</v>
      </c>
      <c r="B2129">
        <v>993.21</v>
      </c>
    </row>
    <row r="2130" spans="1:2" x14ac:dyDescent="0.25">
      <c r="A2130" s="3">
        <v>38385</v>
      </c>
      <c r="B2130">
        <v>1006.91</v>
      </c>
    </row>
    <row r="2131" spans="1:2" x14ac:dyDescent="0.25">
      <c r="A2131" s="3">
        <v>38384</v>
      </c>
      <c r="B2131">
        <v>955.95</v>
      </c>
    </row>
    <row r="2132" spans="1:2" x14ac:dyDescent="0.25">
      <c r="A2132" s="3">
        <v>38383</v>
      </c>
      <c r="B2132">
        <v>954.87</v>
      </c>
    </row>
    <row r="2133" spans="1:2" x14ac:dyDescent="0.25">
      <c r="A2133" s="3">
        <v>38380</v>
      </c>
      <c r="B2133">
        <v>969.2</v>
      </c>
    </row>
    <row r="2134" spans="1:2" x14ac:dyDescent="0.25">
      <c r="A2134" s="3">
        <v>38379</v>
      </c>
      <c r="B2134">
        <v>974.63</v>
      </c>
    </row>
    <row r="2135" spans="1:2" x14ac:dyDescent="0.25">
      <c r="A2135" s="3">
        <v>38378</v>
      </c>
      <c r="B2135">
        <v>989.92</v>
      </c>
    </row>
    <row r="2136" spans="1:2" x14ac:dyDescent="0.25">
      <c r="A2136" s="3">
        <v>38377</v>
      </c>
      <c r="B2136">
        <v>997.77</v>
      </c>
    </row>
    <row r="2137" spans="1:2" x14ac:dyDescent="0.25">
      <c r="A2137" s="3">
        <v>38376</v>
      </c>
      <c r="B2137">
        <v>998.13</v>
      </c>
    </row>
    <row r="2138" spans="1:2" x14ac:dyDescent="0.25">
      <c r="A2138" s="3">
        <v>38373</v>
      </c>
      <c r="B2138">
        <v>982.6</v>
      </c>
    </row>
    <row r="2139" spans="1:2" x14ac:dyDescent="0.25">
      <c r="A2139" s="3">
        <v>38372</v>
      </c>
      <c r="B2139">
        <v>956.24</v>
      </c>
    </row>
    <row r="2140" spans="1:2" x14ac:dyDescent="0.25">
      <c r="A2140" s="3">
        <v>38371</v>
      </c>
      <c r="B2140">
        <v>967.21</v>
      </c>
    </row>
    <row r="2141" spans="1:2" x14ac:dyDescent="0.25">
      <c r="A2141" s="3">
        <v>38370</v>
      </c>
      <c r="B2141">
        <v>974.68</v>
      </c>
    </row>
    <row r="2142" spans="1:2" x14ac:dyDescent="0.25">
      <c r="A2142" s="3">
        <v>38369</v>
      </c>
      <c r="B2142">
        <v>967.45</v>
      </c>
    </row>
    <row r="2143" spans="1:2" x14ac:dyDescent="0.25">
      <c r="A2143" s="3">
        <v>38366</v>
      </c>
      <c r="B2143">
        <v>988.3</v>
      </c>
    </row>
    <row r="2144" spans="1:2" x14ac:dyDescent="0.25">
      <c r="A2144" s="3">
        <v>38365</v>
      </c>
      <c r="B2144">
        <v>996.87</v>
      </c>
    </row>
    <row r="2145" spans="1:2" x14ac:dyDescent="0.25">
      <c r="A2145" s="3">
        <v>38364</v>
      </c>
      <c r="B2145">
        <v>996.74</v>
      </c>
    </row>
    <row r="2146" spans="1:2" x14ac:dyDescent="0.25">
      <c r="A2146" s="3">
        <v>38363</v>
      </c>
      <c r="B2146">
        <v>997.13</v>
      </c>
    </row>
    <row r="2147" spans="1:2" x14ac:dyDescent="0.25">
      <c r="A2147" s="3">
        <v>38362</v>
      </c>
      <c r="B2147">
        <v>993.87</v>
      </c>
    </row>
    <row r="2148" spans="1:2" x14ac:dyDescent="0.25">
      <c r="A2148" s="3">
        <v>38359</v>
      </c>
      <c r="B2148">
        <v>983.95</v>
      </c>
    </row>
    <row r="2149" spans="1:2" x14ac:dyDescent="0.25">
      <c r="A2149" s="3">
        <v>38358</v>
      </c>
      <c r="B2149">
        <v>983.17</v>
      </c>
    </row>
    <row r="2150" spans="1:2" x14ac:dyDescent="0.25">
      <c r="A2150" s="3">
        <v>38357</v>
      </c>
      <c r="B2150">
        <v>992.56</v>
      </c>
    </row>
    <row r="2151" spans="1:2" x14ac:dyDescent="0.25">
      <c r="A2151" s="3">
        <v>38356</v>
      </c>
      <c r="B2151">
        <v>982.79</v>
      </c>
    </row>
  </sheetData>
  <sortState ref="A2:B2151">
    <sortCondition descending="1" ref="A2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54"/>
  <sheetViews>
    <sheetView workbookViewId="0">
      <selection activeCell="G6" sqref="G6"/>
    </sheetView>
  </sheetViews>
  <sheetFormatPr defaultRowHeight="15" x14ac:dyDescent="0.25"/>
  <cols>
    <col min="1" max="1" width="30.125" customWidth="1"/>
    <col min="2" max="2" width="14.25" customWidth="1"/>
    <col min="3" max="3" width="16.875" customWidth="1"/>
    <col min="4" max="4" width="17.625" customWidth="1"/>
    <col min="5" max="5" width="15" customWidth="1"/>
    <col min="6" max="6" width="16.375" customWidth="1"/>
    <col min="7" max="7" width="14.875" customWidth="1"/>
  </cols>
  <sheetData>
    <row r="1" spans="1:7" x14ac:dyDescent="0.25">
      <c r="A1" s="2" t="s">
        <v>0</v>
      </c>
      <c r="D1" s="1"/>
    </row>
    <row r="2" spans="1:7" x14ac:dyDescent="0.25">
      <c r="F2" t="s">
        <v>63</v>
      </c>
      <c r="G2" s="23">
        <v>4.0000000000000001E-3</v>
      </c>
    </row>
    <row r="4" spans="1:7" x14ac:dyDescent="0.25">
      <c r="B4" s="19" t="s">
        <v>1</v>
      </c>
      <c r="C4" s="19"/>
      <c r="D4" s="19" t="s">
        <v>2</v>
      </c>
      <c r="E4" s="19"/>
    </row>
    <row r="5" spans="1:7" x14ac:dyDescent="0.25">
      <c r="A5" t="s">
        <v>3</v>
      </c>
      <c r="B5">
        <f>COUNTA(hs300_series)</f>
        <v>238</v>
      </c>
      <c r="C5">
        <f>ROUNDDOWN($B$5/2,1)</f>
        <v>119</v>
      </c>
      <c r="D5">
        <f>B5</f>
        <v>238</v>
      </c>
      <c r="E5">
        <f>C5</f>
        <v>119</v>
      </c>
    </row>
    <row r="6" spans="1:7" x14ac:dyDescent="0.25">
      <c r="A6" t="s">
        <v>4</v>
      </c>
      <c r="B6">
        <f>B5-1</f>
        <v>237</v>
      </c>
      <c r="C6">
        <f>C5-1</f>
        <v>118</v>
      </c>
      <c r="D6">
        <f>D5-1</f>
        <v>237</v>
      </c>
      <c r="E6">
        <f>E5-1</f>
        <v>118</v>
      </c>
    </row>
    <row r="7" spans="1:7" x14ac:dyDescent="0.25">
      <c r="A7" t="s">
        <v>5</v>
      </c>
      <c r="B7">
        <f>SUM(hs300_rr_daily)/B6</f>
        <v>3.234932429768421E-4</v>
      </c>
      <c r="C7">
        <f>SUM(D17:D134)/C6</f>
        <v>-9.0237979897570626E-4</v>
      </c>
      <c r="D7">
        <f>AVERAGE(hs300_rr_daily)</f>
        <v>3.234932429768421E-4</v>
      </c>
      <c r="E7">
        <f>AVERAGE(D17:D134)</f>
        <v>-9.0237979897570626E-4</v>
      </c>
      <c r="F7" s="5" t="s">
        <v>18</v>
      </c>
      <c r="G7" s="6">
        <f ca="1">AVERAGEIF(G17:G254,"&lt;="&amp;TEXT(E6,"0"),hs300_rr_daily)</f>
        <v>-9.0237979897570626E-4</v>
      </c>
    </row>
    <row r="8" spans="1:7" x14ac:dyDescent="0.25">
      <c r="A8" t="s">
        <v>6</v>
      </c>
      <c r="B8">
        <f>SUM(E17:E253)/(B6-1)</f>
        <v>2.1003108488534543E-4</v>
      </c>
      <c r="C8">
        <f>SUM(F17:F134)/(C6-1)</f>
        <v>2.1296345639186328E-4</v>
      </c>
      <c r="D8">
        <f>_xlfn.VAR.S(hs300_rr_daily)</f>
        <v>2.1003108488534537E-4</v>
      </c>
      <c r="E8">
        <f>_xlfn.VAR.S(D17:D134)</f>
        <v>2.129634563918632E-4</v>
      </c>
    </row>
    <row r="9" spans="1:7" x14ac:dyDescent="0.25">
      <c r="A9" t="s">
        <v>7</v>
      </c>
      <c r="B9">
        <f>SQRT(B8)</f>
        <v>1.4492449236942161E-2</v>
      </c>
      <c r="C9">
        <f>SQRT(C8)</f>
        <v>1.4593267502237574E-2</v>
      </c>
      <c r="D9">
        <f>_xlfn.STDEV.S(hs300_rr_daily)</f>
        <v>1.449244923694216E-2</v>
      </c>
      <c r="E9">
        <f>_xlfn.STDEV.S(D17:D134)</f>
        <v>1.4593267502237571E-2</v>
      </c>
    </row>
    <row r="10" spans="1:7" x14ac:dyDescent="0.25">
      <c r="A10" t="s">
        <v>8</v>
      </c>
      <c r="B10">
        <f>B9/SQRT($G$2)</f>
        <v>0.22914574231553236</v>
      </c>
      <c r="C10">
        <f>C9/SQRT($G$2)</f>
        <v>0.23073981905593544</v>
      </c>
      <c r="D10">
        <f t="shared" ref="D10:E10" si="0">D9/SQRT($G$2)</f>
        <v>0.22914574231553234</v>
      </c>
      <c r="E10">
        <f t="shared" si="0"/>
        <v>0.23073981905593538</v>
      </c>
    </row>
    <row r="15" spans="1:7" x14ac:dyDescent="0.25">
      <c r="A15" s="4" t="s">
        <v>9</v>
      </c>
      <c r="B15" s="4" t="s">
        <v>10</v>
      </c>
      <c r="C15" s="4" t="s">
        <v>11</v>
      </c>
      <c r="D15" s="4" t="s">
        <v>12</v>
      </c>
      <c r="E15" s="20" t="s">
        <v>13</v>
      </c>
      <c r="F15" s="20"/>
    </row>
    <row r="16" spans="1:7" x14ac:dyDescent="0.25">
      <c r="A16" s="4"/>
      <c r="B16" s="4" t="s">
        <v>11</v>
      </c>
      <c r="C16" s="4" t="s">
        <v>14</v>
      </c>
      <c r="D16" s="4" t="s">
        <v>15</v>
      </c>
      <c r="E16" s="4" t="s">
        <v>16</v>
      </c>
      <c r="F16" s="4" t="s">
        <v>17</v>
      </c>
    </row>
    <row r="17" spans="1:7" x14ac:dyDescent="0.25">
      <c r="A17" s="3">
        <v>41593</v>
      </c>
      <c r="B17">
        <v>2350.73</v>
      </c>
      <c r="C17">
        <f>B17/B18</f>
        <v>1.020060750705142</v>
      </c>
      <c r="D17">
        <f>LN(C17)</f>
        <v>1.9862185037427347E-2</v>
      </c>
      <c r="E17">
        <f>(D17-$D$7)^2</f>
        <v>3.8176047703852753E-4</v>
      </c>
      <c r="F17">
        <f>(D17-$E$7)^2</f>
        <v>4.311671528451862E-4</v>
      </c>
      <c r="G17">
        <v>1</v>
      </c>
    </row>
    <row r="18" spans="1:7" x14ac:dyDescent="0.25">
      <c r="A18" s="3">
        <v>41592</v>
      </c>
      <c r="B18">
        <v>2304.5</v>
      </c>
      <c r="C18">
        <f t="shared" ref="C18:C81" si="1">B18/B19</f>
        <v>1.0071587154519868</v>
      </c>
      <c r="D18">
        <f t="shared" ref="D18:D81" si="2">LN(C18)</f>
        <v>7.1332134837516657E-3</v>
      </c>
      <c r="E18">
        <f t="shared" ref="E18:E81" si="3">(D18-$D$7)^2</f>
        <v>4.637228975761832E-5</v>
      </c>
      <c r="F18">
        <f t="shared" ref="F18:F81" si="4">(D18-$E$7)^2</f>
        <v>6.4570759405413255E-5</v>
      </c>
      <c r="G18">
        <v>2</v>
      </c>
    </row>
    <row r="19" spans="1:7" x14ac:dyDescent="0.25">
      <c r="A19" s="3">
        <v>41591</v>
      </c>
      <c r="B19">
        <v>2288.12</v>
      </c>
      <c r="C19">
        <f t="shared" si="1"/>
        <v>0.97782905982905977</v>
      </c>
      <c r="D19">
        <f t="shared" si="2"/>
        <v>-2.2420409674935898E-2</v>
      </c>
      <c r="E19">
        <f t="shared" si="3"/>
        <v>5.172851199394396E-4</v>
      </c>
      <c r="F19">
        <f t="shared" si="4"/>
        <v>4.6302560974271535E-4</v>
      </c>
      <c r="G19">
        <v>3</v>
      </c>
    </row>
    <row r="20" spans="1:7" x14ac:dyDescent="0.25">
      <c r="A20" s="3">
        <v>41590</v>
      </c>
      <c r="B20">
        <v>2340</v>
      </c>
      <c r="C20">
        <f t="shared" si="1"/>
        <v>1.0104106844452889</v>
      </c>
      <c r="D20">
        <f t="shared" si="2"/>
        <v>1.0356866469027656E-2</v>
      </c>
      <c r="E20">
        <f t="shared" si="3"/>
        <v>1.0066857829323331E-4</v>
      </c>
      <c r="F20">
        <f t="shared" si="4"/>
        <v>1.2677062652354765E-4</v>
      </c>
      <c r="G20">
        <v>4</v>
      </c>
    </row>
    <row r="21" spans="1:7" x14ac:dyDescent="0.25">
      <c r="A21" s="3">
        <v>41589</v>
      </c>
      <c r="B21">
        <v>2315.89</v>
      </c>
      <c r="C21">
        <f t="shared" si="1"/>
        <v>1.0034402825017874</v>
      </c>
      <c r="D21">
        <f t="shared" si="2"/>
        <v>3.434378267555392E-3</v>
      </c>
      <c r="E21">
        <f t="shared" si="3"/>
        <v>9.6776056361470856E-6</v>
      </c>
      <c r="F21">
        <f t="shared" si="4"/>
        <v>1.8807470527622546E-5</v>
      </c>
      <c r="G21">
        <v>5</v>
      </c>
    </row>
    <row r="22" spans="1:7" x14ac:dyDescent="0.25">
      <c r="A22" s="3">
        <v>41586</v>
      </c>
      <c r="B22">
        <v>2307.9499999999998</v>
      </c>
      <c r="C22">
        <f t="shared" si="1"/>
        <v>0.98607164982589546</v>
      </c>
      <c r="D22">
        <f t="shared" si="2"/>
        <v>-1.4026259853409686E-2</v>
      </c>
      <c r="E22">
        <f t="shared" si="3"/>
        <v>2.0591541392725476E-4</v>
      </c>
      <c r="F22">
        <f t="shared" si="4"/>
        <v>1.7223622768317002E-4</v>
      </c>
      <c r="G22">
        <v>6</v>
      </c>
    </row>
    <row r="23" spans="1:7" x14ac:dyDescent="0.25">
      <c r="A23" s="3">
        <v>41585</v>
      </c>
      <c r="B23">
        <v>2340.5500000000002</v>
      </c>
      <c r="C23">
        <f t="shared" si="1"/>
        <v>0.9944679784327638</v>
      </c>
      <c r="D23">
        <f t="shared" si="2"/>
        <v>-5.5473798663635988E-3</v>
      </c>
      <c r="E23">
        <f t="shared" si="3"/>
        <v>3.4467151065976698E-5</v>
      </c>
      <c r="F23">
        <f t="shared" si="4"/>
        <v>2.157602562603353E-5</v>
      </c>
      <c r="G23">
        <v>7</v>
      </c>
    </row>
    <row r="24" spans="1:7" x14ac:dyDescent="0.25">
      <c r="A24" s="3">
        <v>41584</v>
      </c>
      <c r="B24">
        <v>2353.5700000000002</v>
      </c>
      <c r="C24">
        <f t="shared" si="1"/>
        <v>0.98733099250347145</v>
      </c>
      <c r="D24">
        <f t="shared" si="2"/>
        <v>-1.2749943686078052E-2</v>
      </c>
      <c r="E24">
        <f t="shared" si="3"/>
        <v>1.7091475313797628E-4</v>
      </c>
      <c r="F24">
        <f t="shared" si="4"/>
        <v>1.4036477005897161E-4</v>
      </c>
      <c r="G24">
        <v>8</v>
      </c>
    </row>
    <row r="25" spans="1:7" x14ac:dyDescent="0.25">
      <c r="A25" s="3">
        <v>41583</v>
      </c>
      <c r="B25">
        <v>2383.77</v>
      </c>
      <c r="C25">
        <f t="shared" si="1"/>
        <v>1.0013946942804932</v>
      </c>
      <c r="D25">
        <f t="shared" si="2"/>
        <v>1.3937225977871416E-3</v>
      </c>
      <c r="E25">
        <f t="shared" si="3"/>
        <v>1.1453908718976697E-6</v>
      </c>
      <c r="F25">
        <f t="shared" si="4"/>
        <v>5.2720862164200943E-6</v>
      </c>
      <c r="G25">
        <v>9</v>
      </c>
    </row>
    <row r="26" spans="1:7" x14ac:dyDescent="0.25">
      <c r="A26" s="3">
        <v>41582</v>
      </c>
      <c r="B26">
        <v>2380.4499999999998</v>
      </c>
      <c r="C26">
        <f t="shared" si="1"/>
        <v>0.99810898295988182</v>
      </c>
      <c r="D26">
        <f t="shared" si="2"/>
        <v>-1.8928072701008046E-3</v>
      </c>
      <c r="E26">
        <f t="shared" si="3"/>
        <v>4.9119879642682406E-6</v>
      </c>
      <c r="F26">
        <f t="shared" si="4"/>
        <v>9.8094657555925781E-7</v>
      </c>
      <c r="G26">
        <v>10</v>
      </c>
    </row>
    <row r="27" spans="1:7" x14ac:dyDescent="0.25">
      <c r="A27" s="3">
        <v>41579</v>
      </c>
      <c r="B27">
        <v>2384.96</v>
      </c>
      <c r="C27">
        <f t="shared" si="1"/>
        <v>1.0047351835936842</v>
      </c>
      <c r="D27">
        <f t="shared" si="2"/>
        <v>4.724007877344203E-3</v>
      </c>
      <c r="E27">
        <f t="shared" si="3"/>
        <v>1.9364529047281308E-5</v>
      </c>
      <c r="F27">
        <f t="shared" si="4"/>
        <v>3.1656238284244546E-5</v>
      </c>
      <c r="G27">
        <v>11</v>
      </c>
    </row>
    <row r="28" spans="1:7" x14ac:dyDescent="0.25">
      <c r="A28" s="3">
        <v>41578</v>
      </c>
      <c r="B28">
        <v>2373.7199999999998</v>
      </c>
      <c r="C28">
        <f t="shared" si="1"/>
        <v>0.98598113372129248</v>
      </c>
      <c r="D28">
        <f t="shared" si="2"/>
        <v>-1.411805871946613E-2</v>
      </c>
      <c r="E28">
        <f t="shared" si="3"/>
        <v>2.0855842308394049E-4</v>
      </c>
      <c r="F28">
        <f t="shared" si="4"/>
        <v>1.7465416932949492E-4</v>
      </c>
      <c r="G28">
        <v>12</v>
      </c>
    </row>
    <row r="29" spans="1:7" x14ac:dyDescent="0.25">
      <c r="A29" s="3">
        <v>41577</v>
      </c>
      <c r="B29">
        <v>2407.4699999999998</v>
      </c>
      <c r="C29">
        <f t="shared" si="1"/>
        <v>1.0149322316140046</v>
      </c>
      <c r="D29">
        <f t="shared" si="2"/>
        <v>1.4821843381989021E-2</v>
      </c>
      <c r="E29">
        <f t="shared" si="3"/>
        <v>2.1020215675339446E-4</v>
      </c>
      <c r="F29">
        <f t="shared" si="4"/>
        <v>2.472511946447885E-4</v>
      </c>
      <c r="G29">
        <v>13</v>
      </c>
    </row>
    <row r="30" spans="1:7" x14ac:dyDescent="0.25">
      <c r="A30" s="3">
        <v>41576</v>
      </c>
      <c r="B30">
        <v>2372.0500000000002</v>
      </c>
      <c r="C30">
        <f t="shared" si="1"/>
        <v>1.0025782455250536</v>
      </c>
      <c r="D30">
        <f t="shared" si="2"/>
        <v>2.5749275518692351E-3</v>
      </c>
      <c r="E30">
        <f t="shared" si="3"/>
        <v>5.0689564472577675E-6</v>
      </c>
      <c r="F30">
        <f t="shared" si="4"/>
        <v>1.2091666412240265E-5</v>
      </c>
      <c r="G30">
        <v>14</v>
      </c>
    </row>
    <row r="31" spans="1:7" x14ac:dyDescent="0.25">
      <c r="A31" s="3">
        <v>41575</v>
      </c>
      <c r="B31">
        <v>2365.9499999999998</v>
      </c>
      <c r="C31">
        <f t="shared" si="1"/>
        <v>0.99889806464687403</v>
      </c>
      <c r="D31">
        <f t="shared" si="2"/>
        <v>-1.1025429302687051E-3</v>
      </c>
      <c r="E31">
        <f t="shared" si="3"/>
        <v>2.0335791674048041E-6</v>
      </c>
      <c r="F31">
        <f t="shared" si="4"/>
        <v>4.0065279129018306E-8</v>
      </c>
      <c r="G31">
        <v>15</v>
      </c>
    </row>
    <row r="32" spans="1:7" x14ac:dyDescent="0.25">
      <c r="A32" s="3">
        <v>41572</v>
      </c>
      <c r="B32">
        <v>2368.56</v>
      </c>
      <c r="C32">
        <f t="shared" si="1"/>
        <v>0.98669032830523506</v>
      </c>
      <c r="D32">
        <f t="shared" si="2"/>
        <v>-1.3399039229248689E-2</v>
      </c>
      <c r="E32">
        <f t="shared" si="3"/>
        <v>1.8830789745128418E-4</v>
      </c>
      <c r="F32">
        <f t="shared" si="4"/>
        <v>1.5616649691623067E-4</v>
      </c>
      <c r="G32">
        <v>16</v>
      </c>
    </row>
    <row r="33" spans="1:7" x14ac:dyDescent="0.25">
      <c r="A33" s="3">
        <v>41571</v>
      </c>
      <c r="B33">
        <v>2400.5100000000002</v>
      </c>
      <c r="C33">
        <f t="shared" si="1"/>
        <v>0.99256560911974023</v>
      </c>
      <c r="D33">
        <f t="shared" si="2"/>
        <v>-7.4621636990853451E-3</v>
      </c>
      <c r="E33">
        <f t="shared" si="3"/>
        <v>6.0616454019481127E-5</v>
      </c>
      <c r="F33">
        <f t="shared" si="4"/>
        <v>4.3030764816137627E-5</v>
      </c>
      <c r="G33">
        <v>17</v>
      </c>
    </row>
    <row r="34" spans="1:7" x14ac:dyDescent="0.25">
      <c r="A34" s="3">
        <v>41570</v>
      </c>
      <c r="B34">
        <v>2418.4899999999998</v>
      </c>
      <c r="C34">
        <f t="shared" si="1"/>
        <v>0.98879753382204427</v>
      </c>
      <c r="D34">
        <f t="shared" si="2"/>
        <v>-1.1265686393831272E-2</v>
      </c>
      <c r="E34">
        <f t="shared" si="3"/>
        <v>1.3430908465420787E-4</v>
      </c>
      <c r="F34">
        <f t="shared" si="4"/>
        <v>1.0739812357897685E-4</v>
      </c>
      <c r="G34">
        <v>18</v>
      </c>
    </row>
    <row r="35" spans="1:7" x14ac:dyDescent="0.25">
      <c r="A35" s="3">
        <v>41569</v>
      </c>
      <c r="B35">
        <v>2445.89</v>
      </c>
      <c r="C35">
        <f t="shared" si="1"/>
        <v>0.98970995257595118</v>
      </c>
      <c r="D35">
        <f t="shared" si="2"/>
        <v>-1.0343355975713512E-2</v>
      </c>
      <c r="E35">
        <f t="shared" si="3"/>
        <v>1.1378167225427503E-4</v>
      </c>
      <c r="F35">
        <f t="shared" si="4"/>
        <v>8.9132031169730791E-5</v>
      </c>
      <c r="G35">
        <v>19</v>
      </c>
    </row>
    <row r="36" spans="1:7" x14ac:dyDescent="0.25">
      <c r="A36" s="3">
        <v>41568</v>
      </c>
      <c r="B36">
        <v>2471.3200000000002</v>
      </c>
      <c r="C36">
        <f t="shared" si="1"/>
        <v>1.0186599616660827</v>
      </c>
      <c r="D36">
        <f t="shared" si="2"/>
        <v>1.8488000480420954E-2</v>
      </c>
      <c r="E36">
        <f t="shared" si="3"/>
        <v>3.2994932317915955E-4</v>
      </c>
      <c r="F36">
        <f t="shared" si="4"/>
        <v>3.7598684737961491E-4</v>
      </c>
      <c r="G36">
        <v>20</v>
      </c>
    </row>
    <row r="37" spans="1:7" x14ac:dyDescent="0.25">
      <c r="A37" s="3">
        <v>41565</v>
      </c>
      <c r="B37">
        <v>2426.0500000000002</v>
      </c>
      <c r="C37">
        <f t="shared" si="1"/>
        <v>1.0052707255120519</v>
      </c>
      <c r="D37">
        <f t="shared" si="2"/>
        <v>5.2568838540904793E-3</v>
      </c>
      <c r="E37">
        <f t="shared" si="3"/>
        <v>2.4338342921824186E-5</v>
      </c>
      <c r="F37">
        <f t="shared" si="4"/>
        <v>3.793652874798221E-5</v>
      </c>
      <c r="G37">
        <v>21</v>
      </c>
    </row>
    <row r="38" spans="1:7" x14ac:dyDescent="0.25">
      <c r="A38" s="3">
        <v>41564</v>
      </c>
      <c r="B38">
        <v>2413.33</v>
      </c>
      <c r="C38">
        <f t="shared" si="1"/>
        <v>0.99667956570040928</v>
      </c>
      <c r="D38">
        <f t="shared" si="2"/>
        <v>-3.3259591749401603E-3</v>
      </c>
      <c r="E38">
        <f t="shared" si="3"/>
        <v>1.3318502950640254E-5</v>
      </c>
      <c r="F38">
        <f t="shared" si="4"/>
        <v>5.8737369916002518E-6</v>
      </c>
      <c r="G38">
        <v>22</v>
      </c>
    </row>
    <row r="39" spans="1:7" x14ac:dyDescent="0.25">
      <c r="A39" s="3">
        <v>41563</v>
      </c>
      <c r="B39">
        <v>2421.37</v>
      </c>
      <c r="C39">
        <f t="shared" si="1"/>
        <v>0.98129701076384379</v>
      </c>
      <c r="D39">
        <f t="shared" si="2"/>
        <v>-1.8880101974426855E-2</v>
      </c>
      <c r="E39">
        <f t="shared" si="3"/>
        <v>3.6877806927389012E-4</v>
      </c>
      <c r="F39">
        <f t="shared" si="4"/>
        <v>3.2319849461770797E-4</v>
      </c>
      <c r="G39">
        <v>23</v>
      </c>
    </row>
    <row r="40" spans="1:7" x14ac:dyDescent="0.25">
      <c r="A40" s="3">
        <v>41562</v>
      </c>
      <c r="B40">
        <v>2467.52</v>
      </c>
      <c r="C40">
        <f t="shared" si="1"/>
        <v>0.99796969917574641</v>
      </c>
      <c r="D40">
        <f t="shared" si="2"/>
        <v>-2.0323646789424769E-3</v>
      </c>
      <c r="E40">
        <f t="shared" si="3"/>
        <v>5.5500665482700119E-6</v>
      </c>
      <c r="F40">
        <f t="shared" si="4"/>
        <v>1.276865828953517E-6</v>
      </c>
      <c r="G40">
        <v>24</v>
      </c>
    </row>
    <row r="41" spans="1:7" x14ac:dyDescent="0.25">
      <c r="A41" s="3">
        <v>41561</v>
      </c>
      <c r="B41">
        <v>2472.54</v>
      </c>
      <c r="C41">
        <f t="shared" si="1"/>
        <v>1.0016325637732881</v>
      </c>
      <c r="D41">
        <f t="shared" si="2"/>
        <v>1.6312325896823548E-3</v>
      </c>
      <c r="E41">
        <f t="shared" si="3"/>
        <v>1.7101821989217615E-6</v>
      </c>
      <c r="F41">
        <f t="shared" si="4"/>
        <v>6.4191917359616065E-6</v>
      </c>
      <c r="G41">
        <v>25</v>
      </c>
    </row>
    <row r="42" spans="1:7" x14ac:dyDescent="0.25">
      <c r="A42" s="3">
        <v>41558</v>
      </c>
      <c r="B42">
        <v>2468.5100000000002</v>
      </c>
      <c r="C42">
        <f t="shared" si="1"/>
        <v>1.0161320863451502</v>
      </c>
      <c r="D42">
        <f t="shared" si="2"/>
        <v>1.600334695143717E-2</v>
      </c>
      <c r="E42">
        <f t="shared" si="3"/>
        <v>2.4585781231871716E-4</v>
      </c>
      <c r="F42">
        <f t="shared" si="4"/>
        <v>2.8580359695962556E-4</v>
      </c>
      <c r="G42">
        <v>26</v>
      </c>
    </row>
    <row r="43" spans="1:7" x14ac:dyDescent="0.25">
      <c r="A43" s="3">
        <v>41557</v>
      </c>
      <c r="B43">
        <v>2429.3200000000002</v>
      </c>
      <c r="C43">
        <f t="shared" si="1"/>
        <v>0.99011240717645244</v>
      </c>
      <c r="D43">
        <f t="shared" si="2"/>
        <v>-9.9367996964976352E-3</v>
      </c>
      <c r="E43">
        <f t="shared" si="3"/>
        <v>1.0527361120382982E-4</v>
      </c>
      <c r="F43">
        <f t="shared" si="4"/>
        <v>8.1620742884740128E-5</v>
      </c>
      <c r="G43">
        <v>27</v>
      </c>
    </row>
    <row r="44" spans="1:7" x14ac:dyDescent="0.25">
      <c r="A44" s="3">
        <v>41556</v>
      </c>
      <c r="B44">
        <v>2453.58</v>
      </c>
      <c r="C44">
        <f t="shared" si="1"/>
        <v>1.0048201948554556</v>
      </c>
      <c r="D44">
        <f t="shared" si="2"/>
        <v>4.8086149130435376E-3</v>
      </c>
      <c r="E44">
        <f t="shared" si="3"/>
        <v>2.0116316395301863E-5</v>
      </c>
      <c r="F44">
        <f t="shared" si="4"/>
        <v>3.2615460600711765E-5</v>
      </c>
      <c r="G44">
        <v>28</v>
      </c>
    </row>
    <row r="45" spans="1:7" x14ac:dyDescent="0.25">
      <c r="A45" s="3">
        <v>41555</v>
      </c>
      <c r="B45">
        <v>2441.81</v>
      </c>
      <c r="C45">
        <f t="shared" si="1"/>
        <v>1.0136029289675554</v>
      </c>
      <c r="D45">
        <f t="shared" si="2"/>
        <v>1.3511239688686852E-2</v>
      </c>
      <c r="E45">
        <f t="shared" si="3"/>
        <v>1.7391665631633698E-4</v>
      </c>
      <c r="F45">
        <f t="shared" si="4"/>
        <v>2.0775242673512587E-4</v>
      </c>
      <c r="G45">
        <v>29</v>
      </c>
    </row>
    <row r="46" spans="1:7" x14ac:dyDescent="0.25">
      <c r="A46" s="3">
        <v>41547</v>
      </c>
      <c r="B46">
        <v>2409.04</v>
      </c>
      <c r="C46">
        <f t="shared" si="1"/>
        <v>1.0058748126281332</v>
      </c>
      <c r="D46">
        <f t="shared" si="2"/>
        <v>5.8576232066559061E-3</v>
      </c>
      <c r="E46">
        <f t="shared" si="3"/>
        <v>3.0626594454890438E-5</v>
      </c>
      <c r="F46">
        <f t="shared" si="4"/>
        <v>4.5697640636148425E-5</v>
      </c>
      <c r="G46">
        <v>30</v>
      </c>
    </row>
    <row r="47" spans="1:7" x14ac:dyDescent="0.25">
      <c r="A47" s="3">
        <v>41544</v>
      </c>
      <c r="B47">
        <v>2394.9699999999998</v>
      </c>
      <c r="C47">
        <f t="shared" si="1"/>
        <v>1.0044161312509434</v>
      </c>
      <c r="D47">
        <f t="shared" si="2"/>
        <v>4.4064087566952747E-3</v>
      </c>
      <c r="E47">
        <f t="shared" si="3"/>
        <v>1.6670199092162652E-5</v>
      </c>
      <c r="F47">
        <f t="shared" si="4"/>
        <v>2.8183235928823178E-5</v>
      </c>
      <c r="G47">
        <v>31</v>
      </c>
    </row>
    <row r="48" spans="1:7" x14ac:dyDescent="0.25">
      <c r="A48" s="3">
        <v>41543</v>
      </c>
      <c r="B48">
        <v>2384.44</v>
      </c>
      <c r="C48">
        <f t="shared" si="1"/>
        <v>0.98164287802126771</v>
      </c>
      <c r="D48">
        <f t="shared" si="2"/>
        <v>-1.8527704773698271E-2</v>
      </c>
      <c r="E48">
        <f t="shared" si="3"/>
        <v>3.5536766666389568E-4</v>
      </c>
      <c r="F48">
        <f t="shared" si="4"/>
        <v>3.1065208046457898E-4</v>
      </c>
      <c r="G48">
        <v>32</v>
      </c>
    </row>
    <row r="49" spans="1:7" x14ac:dyDescent="0.25">
      <c r="A49" s="3">
        <v>41542</v>
      </c>
      <c r="B49">
        <v>2429.0300000000002</v>
      </c>
      <c r="C49">
        <f t="shared" si="1"/>
        <v>0.99391952992974331</v>
      </c>
      <c r="D49">
        <f t="shared" si="2"/>
        <v>-6.0990314077482895E-3</v>
      </c>
      <c r="E49">
        <f t="shared" si="3"/>
        <v>4.1248822889171973E-5</v>
      </c>
      <c r="F49">
        <f t="shared" si="4"/>
        <v>2.7005187942958681E-5</v>
      </c>
      <c r="G49">
        <v>33</v>
      </c>
    </row>
    <row r="50" spans="1:7" x14ac:dyDescent="0.25">
      <c r="A50" s="3">
        <v>41541</v>
      </c>
      <c r="B50">
        <v>2443.89</v>
      </c>
      <c r="C50">
        <f t="shared" si="1"/>
        <v>0.98851267448398039</v>
      </c>
      <c r="D50">
        <f t="shared" si="2"/>
        <v>-1.1553814517418538E-2</v>
      </c>
      <c r="E50">
        <f t="shared" si="3"/>
        <v>1.4107043963514833E-4</v>
      </c>
      <c r="F50">
        <f t="shared" si="4"/>
        <v>1.134530615612493E-4</v>
      </c>
      <c r="G50">
        <v>34</v>
      </c>
    </row>
    <row r="51" spans="1:7" x14ac:dyDescent="0.25">
      <c r="A51" s="3">
        <v>41540</v>
      </c>
      <c r="B51">
        <v>2472.29</v>
      </c>
      <c r="C51">
        <f t="shared" si="1"/>
        <v>1.0163534785057409</v>
      </c>
      <c r="D51">
        <f t="shared" si="2"/>
        <v>1.6221200564072835E-2</v>
      </c>
      <c r="E51">
        <f t="shared" si="3"/>
        <v>2.5273709806722914E-4</v>
      </c>
      <c r="F51">
        <f t="shared" si="4"/>
        <v>2.9321700444978166E-4</v>
      </c>
      <c r="G51">
        <v>35</v>
      </c>
    </row>
    <row r="52" spans="1:7" x14ac:dyDescent="0.25">
      <c r="A52" s="3">
        <v>41535</v>
      </c>
      <c r="B52">
        <v>2432.5100000000002</v>
      </c>
      <c r="C52">
        <f t="shared" si="1"/>
        <v>1.0021381606051118</v>
      </c>
      <c r="D52">
        <f t="shared" si="2"/>
        <v>2.1358779928738435E-3</v>
      </c>
      <c r="E52">
        <f t="shared" si="3"/>
        <v>3.2847384816592167E-6</v>
      </c>
      <c r="F52">
        <f t="shared" si="4"/>
        <v>9.2310104097345031E-6</v>
      </c>
      <c r="G52">
        <v>36</v>
      </c>
    </row>
    <row r="53" spans="1:7" x14ac:dyDescent="0.25">
      <c r="A53" s="3">
        <v>41534</v>
      </c>
      <c r="B53">
        <v>2427.3200000000002</v>
      </c>
      <c r="C53">
        <f t="shared" si="1"/>
        <v>0.97939388070481248</v>
      </c>
      <c r="D53">
        <f t="shared" si="2"/>
        <v>-2.0821387737510303E-2</v>
      </c>
      <c r="E53">
        <f t="shared" si="3"/>
        <v>4.4710599167896697E-4</v>
      </c>
      <c r="F53">
        <f t="shared" si="4"/>
        <v>3.9676687725540428E-4</v>
      </c>
      <c r="G53">
        <v>37</v>
      </c>
    </row>
    <row r="54" spans="1:7" x14ac:dyDescent="0.25">
      <c r="A54" s="3">
        <v>41533</v>
      </c>
      <c r="B54">
        <v>2478.39</v>
      </c>
      <c r="C54">
        <f t="shared" si="1"/>
        <v>0.99577725099441516</v>
      </c>
      <c r="D54">
        <f t="shared" si="2"/>
        <v>-4.2316899893979337E-3</v>
      </c>
      <c r="E54">
        <f t="shared" si="3"/>
        <v>2.0749694280508309E-5</v>
      </c>
      <c r="F54">
        <f t="shared" si="4"/>
        <v>1.1084306344049287E-5</v>
      </c>
      <c r="G54">
        <v>38</v>
      </c>
    </row>
    <row r="55" spans="1:7" x14ac:dyDescent="0.25">
      <c r="A55" s="3">
        <v>41530</v>
      </c>
      <c r="B55">
        <v>2488.9</v>
      </c>
      <c r="C55">
        <f t="shared" si="1"/>
        <v>0.99260204590320855</v>
      </c>
      <c r="D55">
        <f t="shared" si="2"/>
        <v>-7.4254546751596163E-3</v>
      </c>
      <c r="E55">
        <f t="shared" si="3"/>
        <v>6.0046193837991354E-5</v>
      </c>
      <c r="F55">
        <f t="shared" si="4"/>
        <v>4.2550505840301738E-5</v>
      </c>
      <c r="G55">
        <v>39</v>
      </c>
    </row>
    <row r="56" spans="1:7" x14ac:dyDescent="0.25">
      <c r="A56" s="3">
        <v>41529</v>
      </c>
      <c r="B56">
        <v>2507.4499999999998</v>
      </c>
      <c r="C56">
        <f t="shared" si="1"/>
        <v>1.0098916987864948</v>
      </c>
      <c r="D56">
        <f t="shared" si="2"/>
        <v>9.8430961794733641E-3</v>
      </c>
      <c r="E56">
        <f t="shared" si="3"/>
        <v>9.0622840068553187E-5</v>
      </c>
      <c r="F56">
        <f t="shared" si="4"/>
        <v>1.1546525400342602E-4</v>
      </c>
      <c r="G56">
        <v>40</v>
      </c>
    </row>
    <row r="57" spans="1:7" x14ac:dyDescent="0.25">
      <c r="A57" s="3">
        <v>41528</v>
      </c>
      <c r="B57">
        <v>2482.89</v>
      </c>
      <c r="C57">
        <f t="shared" si="1"/>
        <v>1.0032324668975188</v>
      </c>
      <c r="D57">
        <f t="shared" si="2"/>
        <v>3.2272537076850341E-3</v>
      </c>
      <c r="E57">
        <f t="shared" si="3"/>
        <v>8.4318248364023349E-6</v>
      </c>
      <c r="F57">
        <f t="shared" si="4"/>
        <v>1.705387289933508E-5</v>
      </c>
      <c r="G57">
        <v>41</v>
      </c>
    </row>
    <row r="58" spans="1:7" x14ac:dyDescent="0.25">
      <c r="A58" s="3">
        <v>41527</v>
      </c>
      <c r="B58">
        <v>2474.89</v>
      </c>
      <c r="C58">
        <f t="shared" si="1"/>
        <v>1.0140456689106412</v>
      </c>
      <c r="D58">
        <f t="shared" si="2"/>
        <v>1.3947942528207731E-2</v>
      </c>
      <c r="E58">
        <f t="shared" si="3"/>
        <v>1.8562561832582844E-4</v>
      </c>
      <c r="F58">
        <f t="shared" si="4"/>
        <v>2.2053207322124291E-4</v>
      </c>
      <c r="G58">
        <v>42</v>
      </c>
    </row>
    <row r="59" spans="1:7" x14ac:dyDescent="0.25">
      <c r="A59" s="3">
        <v>41526</v>
      </c>
      <c r="B59">
        <v>2440.61</v>
      </c>
      <c r="C59">
        <f t="shared" si="1"/>
        <v>1.0351305041182808</v>
      </c>
      <c r="D59">
        <f t="shared" si="2"/>
        <v>3.4527509704075546E-2</v>
      </c>
      <c r="E59">
        <f t="shared" si="3"/>
        <v>1.1699147420711111E-3</v>
      </c>
      <c r="F59">
        <f t="shared" si="4"/>
        <v>1.2552770701984212E-3</v>
      </c>
      <c r="G59">
        <v>43</v>
      </c>
    </row>
    <row r="60" spans="1:7" x14ac:dyDescent="0.25">
      <c r="A60" s="3">
        <v>41523</v>
      </c>
      <c r="B60">
        <v>2357.7800000000002</v>
      </c>
      <c r="C60">
        <f t="shared" si="1"/>
        <v>1.0068496075567741</v>
      </c>
      <c r="D60">
        <f t="shared" si="2"/>
        <v>6.8262555689224272E-3</v>
      </c>
      <c r="E60">
        <f t="shared" si="3"/>
        <v>4.2285917867737239E-5</v>
      </c>
      <c r="F60">
        <f t="shared" si="4"/>
        <v>5.9731804649925914E-5</v>
      </c>
      <c r="G60">
        <v>44</v>
      </c>
    </row>
    <row r="61" spans="1:7" x14ac:dyDescent="0.25">
      <c r="A61" s="3">
        <v>41522</v>
      </c>
      <c r="B61">
        <v>2341.7399999999998</v>
      </c>
      <c r="C61">
        <f t="shared" si="1"/>
        <v>0.99618836942187428</v>
      </c>
      <c r="D61">
        <f t="shared" si="2"/>
        <v>-3.8189133540154946E-3</v>
      </c>
      <c r="E61">
        <f t="shared" si="3"/>
        <v>1.7159532414805636E-5</v>
      </c>
      <c r="F61">
        <f t="shared" si="4"/>
        <v>8.5061679776730254E-6</v>
      </c>
      <c r="G61">
        <v>45</v>
      </c>
    </row>
    <row r="62" spans="1:7" x14ac:dyDescent="0.25">
      <c r="A62" s="3">
        <v>41521</v>
      </c>
      <c r="B62">
        <v>2350.6999999999998</v>
      </c>
      <c r="C62">
        <f t="shared" si="1"/>
        <v>0.99838606922913564</v>
      </c>
      <c r="D62">
        <f t="shared" si="2"/>
        <v>-1.6152345601368465E-3</v>
      </c>
      <c r="E62">
        <f t="shared" si="3"/>
        <v>3.7586654945660299E-6</v>
      </c>
      <c r="F62">
        <f t="shared" si="4"/>
        <v>5.0816191051010628E-7</v>
      </c>
      <c r="G62">
        <v>46</v>
      </c>
    </row>
    <row r="63" spans="1:7" x14ac:dyDescent="0.25">
      <c r="A63" s="3">
        <v>41520</v>
      </c>
      <c r="B63">
        <v>2354.5</v>
      </c>
      <c r="C63">
        <f t="shared" si="1"/>
        <v>1.0147219803994241</v>
      </c>
      <c r="D63">
        <f t="shared" si="2"/>
        <v>1.4614664036770409E-2</v>
      </c>
      <c r="E63">
        <f t="shared" si="3"/>
        <v>2.0423756265737823E-4</v>
      </c>
      <c r="F63">
        <f t="shared" si="4"/>
        <v>2.4077864940046654E-4</v>
      </c>
      <c r="G63">
        <v>47</v>
      </c>
    </row>
    <row r="64" spans="1:7" x14ac:dyDescent="0.25">
      <c r="A64" s="3">
        <v>41519</v>
      </c>
      <c r="B64">
        <v>2320.34</v>
      </c>
      <c r="C64">
        <f t="shared" si="1"/>
        <v>1.002778846195401</v>
      </c>
      <c r="D64">
        <f t="shared" si="2"/>
        <v>2.774992340175282E-3</v>
      </c>
      <c r="E64">
        <f t="shared" si="3"/>
        <v>6.0098478235647668E-6</v>
      </c>
      <c r="F64">
        <f t="shared" si="4"/>
        <v>1.3523065849803916E-5</v>
      </c>
      <c r="G64">
        <v>48</v>
      </c>
    </row>
    <row r="65" spans="1:7" x14ac:dyDescent="0.25">
      <c r="A65" s="3">
        <v>41516</v>
      </c>
      <c r="B65">
        <v>2313.91</v>
      </c>
      <c r="C65">
        <f t="shared" si="1"/>
        <v>0.99810206572891458</v>
      </c>
      <c r="D65">
        <f t="shared" si="2"/>
        <v>-1.8997376304670714E-3</v>
      </c>
      <c r="E65">
        <f t="shared" si="3"/>
        <v>4.9427555166341875E-6</v>
      </c>
      <c r="F65">
        <f t="shared" si="4"/>
        <v>9.9472264403715866E-7</v>
      </c>
      <c r="G65">
        <v>49</v>
      </c>
    </row>
    <row r="66" spans="1:7" x14ac:dyDescent="0.25">
      <c r="A66" s="3">
        <v>41515</v>
      </c>
      <c r="B66">
        <v>2318.31</v>
      </c>
      <c r="C66">
        <f t="shared" si="1"/>
        <v>0.99581196360918534</v>
      </c>
      <c r="D66">
        <f t="shared" si="2"/>
        <v>-4.1968307779509627E-3</v>
      </c>
      <c r="E66">
        <f t="shared" si="3"/>
        <v>2.0433329254176917E-5</v>
      </c>
      <c r="F66">
        <f t="shared" si="4"/>
        <v>1.0853407252871025E-5</v>
      </c>
      <c r="G66">
        <v>50</v>
      </c>
    </row>
    <row r="67" spans="1:7" x14ac:dyDescent="0.25">
      <c r="A67" s="3">
        <v>41514</v>
      </c>
      <c r="B67">
        <v>2328.06</v>
      </c>
      <c r="C67">
        <f t="shared" si="1"/>
        <v>0.99452342708724917</v>
      </c>
      <c r="D67">
        <f t="shared" si="2"/>
        <v>-5.4916243167459919E-3</v>
      </c>
      <c r="E67">
        <f t="shared" si="3"/>
        <v>3.3815592233396845E-5</v>
      </c>
      <c r="F67">
        <f t="shared" si="4"/>
        <v>2.1061165243884626E-5</v>
      </c>
      <c r="G67">
        <v>51</v>
      </c>
    </row>
    <row r="68" spans="1:7" x14ac:dyDescent="0.25">
      <c r="A68" s="3">
        <v>41513</v>
      </c>
      <c r="B68">
        <v>2340.88</v>
      </c>
      <c r="C68">
        <f t="shared" si="1"/>
        <v>1.0022520786771822</v>
      </c>
      <c r="D68">
        <f t="shared" si="2"/>
        <v>2.2495465489867921E-3</v>
      </c>
      <c r="E68">
        <f t="shared" si="3"/>
        <v>3.7096813375918585E-6</v>
      </c>
      <c r="F68">
        <f t="shared" si="4"/>
        <v>9.9346397029802136E-6</v>
      </c>
      <c r="G68">
        <v>52</v>
      </c>
    </row>
    <row r="69" spans="1:7" x14ac:dyDescent="0.25">
      <c r="A69" s="3">
        <v>41512</v>
      </c>
      <c r="B69">
        <v>2335.62</v>
      </c>
      <c r="C69">
        <f t="shared" si="1"/>
        <v>1.02129055108814</v>
      </c>
      <c r="D69">
        <f t="shared" si="2"/>
        <v>2.1067073711609572E-2</v>
      </c>
      <c r="E69">
        <f t="shared" si="3"/>
        <v>4.3029613065864128E-4</v>
      </c>
      <c r="F69">
        <f t="shared" si="4"/>
        <v>4.8265688755376782E-4</v>
      </c>
      <c r="G69">
        <v>53</v>
      </c>
    </row>
    <row r="70" spans="1:7" x14ac:dyDescent="0.25">
      <c r="A70" s="3">
        <v>41509</v>
      </c>
      <c r="B70">
        <v>2286.9299999999998</v>
      </c>
      <c r="C70">
        <f t="shared" si="1"/>
        <v>0.99262130359863365</v>
      </c>
      <c r="D70">
        <f t="shared" si="2"/>
        <v>-7.4060536385653838E-3</v>
      </c>
      <c r="E70">
        <f t="shared" si="3"/>
        <v>5.974589499395915E-5</v>
      </c>
      <c r="F70">
        <f t="shared" si="4"/>
        <v>4.2297773411763146E-5</v>
      </c>
      <c r="G70">
        <v>54</v>
      </c>
    </row>
    <row r="71" spans="1:7" x14ac:dyDescent="0.25">
      <c r="A71" s="3">
        <v>41508</v>
      </c>
      <c r="B71">
        <v>2303.9299999999998</v>
      </c>
      <c r="C71">
        <f t="shared" si="1"/>
        <v>0.99798145188188447</v>
      </c>
      <c r="D71">
        <f t="shared" si="2"/>
        <v>-2.0205881320746071E-3</v>
      </c>
      <c r="E71">
        <f t="shared" si="3"/>
        <v>5.4947174928630923E-6</v>
      </c>
      <c r="F71">
        <f t="shared" si="4"/>
        <v>1.2503898762118222E-6</v>
      </c>
      <c r="G71">
        <v>55</v>
      </c>
    </row>
    <row r="72" spans="1:7" x14ac:dyDescent="0.25">
      <c r="A72" s="3">
        <v>41507</v>
      </c>
      <c r="B72">
        <v>2308.59</v>
      </c>
      <c r="C72">
        <f t="shared" si="1"/>
        <v>0.99832214039533496</v>
      </c>
      <c r="D72">
        <f t="shared" si="2"/>
        <v>-1.6792687875861879E-3</v>
      </c>
      <c r="E72">
        <f t="shared" si="3"/>
        <v>4.011055751064951E-6</v>
      </c>
      <c r="F72">
        <f t="shared" si="4"/>
        <v>6.0355650062421711E-7</v>
      </c>
      <c r="G72">
        <v>56</v>
      </c>
    </row>
    <row r="73" spans="1:7" x14ac:dyDescent="0.25">
      <c r="A73" s="3">
        <v>41506</v>
      </c>
      <c r="B73">
        <v>2312.4699999999998</v>
      </c>
      <c r="C73">
        <f t="shared" si="1"/>
        <v>0.99186765204187988</v>
      </c>
      <c r="D73">
        <f t="shared" si="2"/>
        <v>-8.1655958782374631E-3</v>
      </c>
      <c r="E73">
        <f t="shared" si="3"/>
        <v>7.206463410791908E-5</v>
      </c>
      <c r="F73">
        <f t="shared" si="4"/>
        <v>5.2754307814046533E-5</v>
      </c>
      <c r="G73">
        <v>57</v>
      </c>
    </row>
    <row r="74" spans="1:7" x14ac:dyDescent="0.25">
      <c r="A74" s="3">
        <v>41505</v>
      </c>
      <c r="B74">
        <v>2331.4299999999998</v>
      </c>
      <c r="C74">
        <f t="shared" si="1"/>
        <v>1.0118438983742306</v>
      </c>
      <c r="D74">
        <f t="shared" si="2"/>
        <v>1.1774308349074456E-2</v>
      </c>
      <c r="E74">
        <f t="shared" si="3"/>
        <v>1.3112116659403329E-4</v>
      </c>
      <c r="F74">
        <f t="shared" si="4"/>
        <v>1.6069842240291546E-4</v>
      </c>
      <c r="G74">
        <v>58</v>
      </c>
    </row>
    <row r="75" spans="1:7" x14ac:dyDescent="0.25">
      <c r="A75" s="3">
        <v>41502</v>
      </c>
      <c r="B75">
        <v>2304.14</v>
      </c>
      <c r="C75">
        <f t="shared" si="1"/>
        <v>0.99248787463710053</v>
      </c>
      <c r="D75">
        <f t="shared" si="2"/>
        <v>-7.5404834857465287E-3</v>
      </c>
      <c r="E75">
        <f t="shared" si="3"/>
        <v>6.1842129989902734E-5</v>
      </c>
      <c r="F75">
        <f t="shared" si="4"/>
        <v>4.406442055632039E-5</v>
      </c>
      <c r="G75">
        <v>59</v>
      </c>
    </row>
    <row r="76" spans="1:7" x14ac:dyDescent="0.25">
      <c r="A76" s="3">
        <v>41501</v>
      </c>
      <c r="B76">
        <v>2321.58</v>
      </c>
      <c r="C76">
        <f t="shared" si="1"/>
        <v>0.9882932892877212</v>
      </c>
      <c r="D76">
        <f t="shared" si="2"/>
        <v>-1.1775773780169136E-2</v>
      </c>
      <c r="E76">
        <f t="shared" si="3"/>
        <v>1.4639226249738775E-4</v>
      </c>
      <c r="F76">
        <f t="shared" si="4"/>
        <v>1.1823069667025348E-4</v>
      </c>
      <c r="G76">
        <v>60</v>
      </c>
    </row>
    <row r="77" spans="1:7" x14ac:dyDescent="0.25">
      <c r="A77" s="3">
        <v>41500</v>
      </c>
      <c r="B77">
        <v>2349.08</v>
      </c>
      <c r="C77">
        <f t="shared" si="1"/>
        <v>0.99576528038591472</v>
      </c>
      <c r="D77">
        <f t="shared" si="2"/>
        <v>-4.24371143339119E-3</v>
      </c>
      <c r="E77">
        <f t="shared" si="3"/>
        <v>2.085935855583802E-5</v>
      </c>
      <c r="F77">
        <f t="shared" si="4"/>
        <v>1.1164497091145647E-5</v>
      </c>
      <c r="G77">
        <v>61</v>
      </c>
    </row>
    <row r="78" spans="1:7" x14ac:dyDescent="0.25">
      <c r="A78" s="3">
        <v>41499</v>
      </c>
      <c r="B78">
        <v>2359.0700000000002</v>
      </c>
      <c r="C78">
        <f t="shared" si="1"/>
        <v>1.0026691714942686</v>
      </c>
      <c r="D78">
        <f t="shared" si="2"/>
        <v>2.6656155821896815E-3</v>
      </c>
      <c r="E78">
        <f t="shared" si="3"/>
        <v>5.4855370518398231E-6</v>
      </c>
      <c r="F78">
        <f t="shared" si="4"/>
        <v>1.2730591040017541E-5</v>
      </c>
      <c r="G78">
        <v>62</v>
      </c>
    </row>
    <row r="79" spans="1:7" x14ac:dyDescent="0.25">
      <c r="A79" s="3">
        <v>41498</v>
      </c>
      <c r="B79">
        <v>2352.79</v>
      </c>
      <c r="C79">
        <f t="shared" si="1"/>
        <v>1.0292124706366113</v>
      </c>
      <c r="D79">
        <f t="shared" si="2"/>
        <v>2.8793918177356059E-2</v>
      </c>
      <c r="E79">
        <f t="shared" si="3"/>
        <v>8.1056509594412186E-4</v>
      </c>
      <c r="F79">
        <f t="shared" si="4"/>
        <v>8.8187011349908609E-4</v>
      </c>
      <c r="G79">
        <v>63</v>
      </c>
    </row>
    <row r="80" spans="1:7" x14ac:dyDescent="0.25">
      <c r="A80" s="3">
        <v>41495</v>
      </c>
      <c r="B80">
        <v>2286.0100000000002</v>
      </c>
      <c r="C80">
        <f t="shared" si="1"/>
        <v>1.004053970958986</v>
      </c>
      <c r="D80">
        <f t="shared" si="2"/>
        <v>4.0457757599839279E-3</v>
      </c>
      <c r="E80">
        <f t="shared" si="3"/>
        <v>1.3855387136416607E-5</v>
      </c>
      <c r="F80">
        <f t="shared" si="4"/>
        <v>2.4484243435663125E-5</v>
      </c>
      <c r="G80">
        <v>64</v>
      </c>
    </row>
    <row r="81" spans="1:7" x14ac:dyDescent="0.25">
      <c r="A81" s="3">
        <v>41494</v>
      </c>
      <c r="B81">
        <v>2276.7800000000002</v>
      </c>
      <c r="C81">
        <f t="shared" si="1"/>
        <v>0.99831624733625079</v>
      </c>
      <c r="D81">
        <f t="shared" si="2"/>
        <v>-1.68517176843679E-3</v>
      </c>
      <c r="E81">
        <f t="shared" si="3"/>
        <v>4.0347351280773265E-6</v>
      </c>
      <c r="F81">
        <f t="shared" si="4"/>
        <v>6.1276326745276223E-7</v>
      </c>
      <c r="G81">
        <v>65</v>
      </c>
    </row>
    <row r="82" spans="1:7" x14ac:dyDescent="0.25">
      <c r="A82" s="3">
        <v>41493</v>
      </c>
      <c r="B82">
        <v>2280.62</v>
      </c>
      <c r="C82">
        <f t="shared" ref="C82:C145" si="5">B82/B83</f>
        <v>0.99432343349435837</v>
      </c>
      <c r="D82">
        <f t="shared" ref="D82:D145" si="6">LN(C82)</f>
        <v>-5.6927394428310804E-3</v>
      </c>
      <c r="E82">
        <f t="shared" ref="E82:E145" si="7">(D82-$D$7)^2</f>
        <v>3.619505572978361E-5</v>
      </c>
      <c r="F82">
        <f t="shared" ref="F82:F134" si="8">(D82-$E$7)^2</f>
        <v>2.2947545517478191E-5</v>
      </c>
      <c r="G82">
        <v>66</v>
      </c>
    </row>
    <row r="83" spans="1:7" x14ac:dyDescent="0.25">
      <c r="A83" s="3">
        <v>41492</v>
      </c>
      <c r="B83">
        <v>2293.64</v>
      </c>
      <c r="C83">
        <f t="shared" si="5"/>
        <v>1.0067198342645709</v>
      </c>
      <c r="D83">
        <f t="shared" si="6"/>
        <v>6.6973568185863062E-3</v>
      </c>
      <c r="E83">
        <f t="shared" si="7"/>
        <v>4.0626136880481064E-5</v>
      </c>
      <c r="F83">
        <f t="shared" si="8"/>
        <v>5.7755996656312891E-5</v>
      </c>
      <c r="G83">
        <v>67</v>
      </c>
    </row>
    <row r="84" spans="1:7" x14ac:dyDescent="0.25">
      <c r="A84" s="3">
        <v>41491</v>
      </c>
      <c r="B84">
        <v>2278.33</v>
      </c>
      <c r="C84">
        <f t="shared" si="5"/>
        <v>1.0138257255502254</v>
      </c>
      <c r="D84">
        <f t="shared" si="6"/>
        <v>1.3731022104280481E-2</v>
      </c>
      <c r="E84">
        <f t="shared" si="7"/>
        <v>1.7976183016669002E-4</v>
      </c>
      <c r="F84">
        <f t="shared" si="8"/>
        <v>2.1413645126222182E-4</v>
      </c>
      <c r="G84">
        <v>68</v>
      </c>
    </row>
    <row r="85" spans="1:7" x14ac:dyDescent="0.25">
      <c r="A85" s="3">
        <v>41488</v>
      </c>
      <c r="B85">
        <v>2247.2600000000002</v>
      </c>
      <c r="C85">
        <f t="shared" si="5"/>
        <v>1.0008461894751843</v>
      </c>
      <c r="D85">
        <f t="shared" si="6"/>
        <v>8.4583165870983951E-4</v>
      </c>
      <c r="E85">
        <f t="shared" si="7"/>
        <v>2.7283742055045766E-7</v>
      </c>
      <c r="F85">
        <f t="shared" si="8"/>
        <v>3.0562433007830206E-6</v>
      </c>
      <c r="G85">
        <v>69</v>
      </c>
    </row>
    <row r="86" spans="1:7" x14ac:dyDescent="0.25">
      <c r="A86" s="3">
        <v>41487</v>
      </c>
      <c r="B86">
        <v>2245.36</v>
      </c>
      <c r="C86">
        <f t="shared" si="5"/>
        <v>1.0238666314032705</v>
      </c>
      <c r="D86">
        <f t="shared" si="6"/>
        <v>2.3586275364746272E-2</v>
      </c>
      <c r="E86">
        <f t="shared" si="7"/>
        <v>5.4115703204491545E-4</v>
      </c>
      <c r="F86">
        <f t="shared" si="8"/>
        <v>5.9969423172768707E-4</v>
      </c>
      <c r="G86">
        <v>70</v>
      </c>
    </row>
    <row r="87" spans="1:7" x14ac:dyDescent="0.25">
      <c r="A87" s="3">
        <v>41486</v>
      </c>
      <c r="B87">
        <v>2193.02</v>
      </c>
      <c r="C87">
        <f t="shared" si="5"/>
        <v>1.0016579960628302</v>
      </c>
      <c r="D87">
        <f t="shared" si="6"/>
        <v>1.6566231047213226E-3</v>
      </c>
      <c r="E87">
        <f t="shared" si="7"/>
        <v>1.777235228274858E-6</v>
      </c>
      <c r="F87">
        <f t="shared" si="8"/>
        <v>6.5484958611298258E-6</v>
      </c>
      <c r="G87">
        <v>71</v>
      </c>
    </row>
    <row r="88" spans="1:7" x14ac:dyDescent="0.25">
      <c r="A88" s="3">
        <v>41485</v>
      </c>
      <c r="B88">
        <v>2189.39</v>
      </c>
      <c r="C88">
        <f t="shared" si="5"/>
        <v>1.0061673644397671</v>
      </c>
      <c r="D88">
        <f t="shared" si="6"/>
        <v>6.1484240825320467E-3</v>
      </c>
      <c r="E88">
        <f t="shared" si="7"/>
        <v>3.3929819285601302E-5</v>
      </c>
      <c r="F88">
        <f t="shared" si="8"/>
        <v>4.9713835375484793E-5</v>
      </c>
      <c r="G88">
        <v>72</v>
      </c>
    </row>
    <row r="89" spans="1:7" x14ac:dyDescent="0.25">
      <c r="A89" s="3">
        <v>41484</v>
      </c>
      <c r="B89">
        <v>2175.9699999999998</v>
      </c>
      <c r="C89">
        <f t="shared" si="5"/>
        <v>0.97839937770063967</v>
      </c>
      <c r="D89">
        <f t="shared" si="6"/>
        <v>-2.1837330647153021E-2</v>
      </c>
      <c r="E89">
        <f t="shared" si="7"/>
        <v>4.9110211548935038E-4</v>
      </c>
      <c r="F89">
        <f t="shared" si="8"/>
        <v>4.3827216701560005E-4</v>
      </c>
      <c r="G89">
        <v>73</v>
      </c>
    </row>
    <row r="90" spans="1:7" x14ac:dyDescent="0.25">
      <c r="A90" s="3">
        <v>41481</v>
      </c>
      <c r="B90">
        <v>2224.0100000000002</v>
      </c>
      <c r="C90">
        <f t="shared" si="5"/>
        <v>0.99389099424403859</v>
      </c>
      <c r="D90">
        <f t="shared" si="6"/>
        <v>-6.1277420774621776E-3</v>
      </c>
      <c r="E90">
        <f t="shared" si="7"/>
        <v>4.1618437159679936E-5</v>
      </c>
      <c r="F90">
        <f t="shared" si="8"/>
        <v>2.7304410941429331E-5</v>
      </c>
      <c r="G90">
        <v>74</v>
      </c>
    </row>
    <row r="91" spans="1:7" x14ac:dyDescent="0.25">
      <c r="A91" s="3">
        <v>41480</v>
      </c>
      <c r="B91">
        <v>2237.6799999999998</v>
      </c>
      <c r="C91">
        <f t="shared" si="5"/>
        <v>0.99490029566725191</v>
      </c>
      <c r="D91">
        <f t="shared" si="6"/>
        <v>-5.1127522039825582E-3</v>
      </c>
      <c r="E91">
        <f t="shared" si="7"/>
        <v>2.9552764559586808E-5</v>
      </c>
      <c r="F91">
        <f t="shared" si="8"/>
        <v>1.7727235788843184E-5</v>
      </c>
      <c r="G91">
        <v>75</v>
      </c>
    </row>
    <row r="92" spans="1:7" x14ac:dyDescent="0.25">
      <c r="A92" s="3">
        <v>41479</v>
      </c>
      <c r="B92">
        <v>2249.15</v>
      </c>
      <c r="C92">
        <f t="shared" si="5"/>
        <v>0.99262969746452778</v>
      </c>
      <c r="D92">
        <f t="shared" si="6"/>
        <v>-7.3975974122346229E-3</v>
      </c>
      <c r="E92">
        <f t="shared" si="7"/>
        <v>5.9615240905993807E-5</v>
      </c>
      <c r="F92">
        <f t="shared" si="8"/>
        <v>4.2187851843588859E-5</v>
      </c>
      <c r="G92">
        <v>76</v>
      </c>
    </row>
    <row r="93" spans="1:7" x14ac:dyDescent="0.25">
      <c r="A93" s="3">
        <v>41478</v>
      </c>
      <c r="B93">
        <v>2265.85</v>
      </c>
      <c r="C93">
        <f t="shared" si="5"/>
        <v>1.0289075874470412</v>
      </c>
      <c r="D93">
        <f t="shared" si="6"/>
        <v>2.8497644701372296E-2</v>
      </c>
      <c r="E93">
        <f t="shared" si="7"/>
        <v>7.9378281040060679E-4</v>
      </c>
      <c r="F93">
        <f t="shared" si="8"/>
        <v>8.6436144062106287E-4</v>
      </c>
      <c r="G93">
        <v>77</v>
      </c>
    </row>
    <row r="94" spans="1:7" x14ac:dyDescent="0.25">
      <c r="A94" s="3">
        <v>41477</v>
      </c>
      <c r="B94">
        <v>2202.19</v>
      </c>
      <c r="C94">
        <f t="shared" si="5"/>
        <v>1.0053458602680692</v>
      </c>
      <c r="D94">
        <f t="shared" si="6"/>
        <v>5.331621878817458E-3</v>
      </c>
      <c r="E94">
        <f t="shared" si="7"/>
        <v>2.508135243312679E-5</v>
      </c>
      <c r="F94">
        <f t="shared" si="8"/>
        <v>3.8862776918727982E-5</v>
      </c>
      <c r="G94">
        <v>78</v>
      </c>
    </row>
    <row r="95" spans="1:7" x14ac:dyDescent="0.25">
      <c r="A95" s="3">
        <v>41474</v>
      </c>
      <c r="B95">
        <v>2190.48</v>
      </c>
      <c r="C95">
        <f t="shared" si="5"/>
        <v>0.97557151955391863</v>
      </c>
      <c r="D95">
        <f t="shared" si="6"/>
        <v>-2.4731805815649325E-2</v>
      </c>
      <c r="E95">
        <f t="shared" si="7"/>
        <v>6.2776801091719327E-4</v>
      </c>
      <c r="F95">
        <f t="shared" si="8"/>
        <v>5.6784154428412149E-4</v>
      </c>
      <c r="G95">
        <v>79</v>
      </c>
    </row>
    <row r="96" spans="1:7" x14ac:dyDescent="0.25">
      <c r="A96" s="3">
        <v>41473</v>
      </c>
      <c r="B96">
        <v>2245.33</v>
      </c>
      <c r="C96">
        <f t="shared" si="5"/>
        <v>0.98356871265616508</v>
      </c>
      <c r="D96">
        <f t="shared" si="6"/>
        <v>-1.656777815764247E-2</v>
      </c>
      <c r="E96">
        <f t="shared" si="7"/>
        <v>2.8531504952937985E-4</v>
      </c>
      <c r="F96">
        <f t="shared" si="8"/>
        <v>2.4540470573571933E-4</v>
      </c>
      <c r="G96">
        <v>80</v>
      </c>
    </row>
    <row r="97" spans="1:7" x14ac:dyDescent="0.25">
      <c r="A97" s="3">
        <v>41472</v>
      </c>
      <c r="B97">
        <v>2282.84</v>
      </c>
      <c r="C97">
        <f t="shared" si="5"/>
        <v>0.98489548504001567</v>
      </c>
      <c r="D97">
        <f t="shared" si="6"/>
        <v>-1.5219749998106992E-2</v>
      </c>
      <c r="E97">
        <f t="shared" si="7"/>
        <v>2.4159241045149834E-4</v>
      </c>
      <c r="F97">
        <f t="shared" si="8"/>
        <v>2.0498708941897261E-4</v>
      </c>
      <c r="G97">
        <v>81</v>
      </c>
    </row>
    <row r="98" spans="1:7" x14ac:dyDescent="0.25">
      <c r="A98" s="3">
        <v>41471</v>
      </c>
      <c r="B98">
        <v>2317.85</v>
      </c>
      <c r="C98">
        <f t="shared" si="5"/>
        <v>1.0045724439821435</v>
      </c>
      <c r="D98">
        <f t="shared" si="6"/>
        <v>4.5620221170125574E-3</v>
      </c>
      <c r="E98">
        <f t="shared" si="7"/>
        <v>1.7965127016034468E-5</v>
      </c>
      <c r="F98">
        <f t="shared" si="8"/>
        <v>2.9859688299456205E-5</v>
      </c>
      <c r="G98">
        <v>82</v>
      </c>
    </row>
    <row r="99" spans="1:7" x14ac:dyDescent="0.25">
      <c r="A99" s="3">
        <v>41470</v>
      </c>
      <c r="B99">
        <v>2307.3000000000002</v>
      </c>
      <c r="C99">
        <f t="shared" si="5"/>
        <v>1.0140328825641545</v>
      </c>
      <c r="D99">
        <f t="shared" si="6"/>
        <v>1.39353332074518E-2</v>
      </c>
      <c r="E99">
        <f t="shared" si="7"/>
        <v>1.8528218721847761E-4</v>
      </c>
      <c r="F99">
        <f t="shared" si="8"/>
        <v>2.2015772726110801E-4</v>
      </c>
      <c r="G99">
        <v>83</v>
      </c>
    </row>
    <row r="100" spans="1:7" x14ac:dyDescent="0.25">
      <c r="A100" s="3">
        <v>41467</v>
      </c>
      <c r="B100">
        <v>2275.37</v>
      </c>
      <c r="C100">
        <f t="shared" si="5"/>
        <v>0.97794291461260408</v>
      </c>
      <c r="D100">
        <f t="shared" si="6"/>
        <v>-2.2303980167651002E-2</v>
      </c>
      <c r="E100">
        <f t="shared" si="7"/>
        <v>5.1200255294867004E-4</v>
      </c>
      <c r="F100">
        <f t="shared" si="8"/>
        <v>4.5802849834048251E-4</v>
      </c>
      <c r="G100">
        <v>84</v>
      </c>
    </row>
    <row r="101" spans="1:7" x14ac:dyDescent="0.25">
      <c r="A101" s="3">
        <v>41466</v>
      </c>
      <c r="B101">
        <v>2326.69</v>
      </c>
      <c r="C101">
        <f t="shared" si="5"/>
        <v>1.0461453378056349</v>
      </c>
      <c r="D101">
        <f t="shared" si="6"/>
        <v>4.5112302267488913E-2</v>
      </c>
      <c r="E101">
        <f t="shared" si="7"/>
        <v>2.0060374138342139E-3</v>
      </c>
      <c r="F101">
        <f t="shared" si="8"/>
        <v>2.1173509656778207E-3</v>
      </c>
      <c r="G101">
        <v>85</v>
      </c>
    </row>
    <row r="102" spans="1:7" x14ac:dyDescent="0.25">
      <c r="A102" s="3">
        <v>41465</v>
      </c>
      <c r="B102">
        <v>2224.06</v>
      </c>
      <c r="C102">
        <f t="shared" si="5"/>
        <v>1.0283862077894455</v>
      </c>
      <c r="D102">
        <f t="shared" si="6"/>
        <v>2.7990784990848519E-2</v>
      </c>
      <c r="E102">
        <f t="shared" si="7"/>
        <v>7.6547903266184828E-4</v>
      </c>
      <c r="F102">
        <f t="shared" si="8"/>
        <v>8.3481497157193837E-4</v>
      </c>
      <c r="G102">
        <v>86</v>
      </c>
    </row>
    <row r="103" spans="1:7" x14ac:dyDescent="0.25">
      <c r="A103" s="3">
        <v>41464</v>
      </c>
      <c r="B103">
        <v>2162.67</v>
      </c>
      <c r="C103">
        <f t="shared" si="5"/>
        <v>0.99956092104898275</v>
      </c>
      <c r="D103">
        <f t="shared" si="6"/>
        <v>-4.3917537440587965E-4</v>
      </c>
      <c r="E103">
        <f t="shared" si="7"/>
        <v>5.8166341994047238E-7</v>
      </c>
      <c r="F103">
        <f t="shared" si="8"/>
        <v>2.1455833894106418E-7</v>
      </c>
      <c r="G103">
        <v>87</v>
      </c>
    </row>
    <row r="104" spans="1:7" x14ac:dyDescent="0.25">
      <c r="A104" s="3">
        <v>41463</v>
      </c>
      <c r="B104">
        <v>2163.62</v>
      </c>
      <c r="C104">
        <f t="shared" si="5"/>
        <v>0.97160563127287425</v>
      </c>
      <c r="D104">
        <f t="shared" si="6"/>
        <v>-2.8805285995170224E-2</v>
      </c>
      <c r="E104">
        <f t="shared" si="7"/>
        <v>8.484857799047075E-4</v>
      </c>
      <c r="F104">
        <f t="shared" si="8"/>
        <v>7.7857217419363038E-4</v>
      </c>
      <c r="G104">
        <v>88</v>
      </c>
    </row>
    <row r="105" spans="1:7" x14ac:dyDescent="0.25">
      <c r="A105" s="3">
        <v>41460</v>
      </c>
      <c r="B105">
        <v>2226.85</v>
      </c>
      <c r="C105">
        <f t="shared" si="5"/>
        <v>1.0021917388995401</v>
      </c>
      <c r="D105">
        <f t="shared" si="6"/>
        <v>2.1893405435789003E-3</v>
      </c>
      <c r="E105">
        <f t="shared" si="7"/>
        <v>3.481386149163988E-6</v>
      </c>
      <c r="F105">
        <f t="shared" si="8"/>
        <v>9.5587346765659744E-6</v>
      </c>
      <c r="G105">
        <v>89</v>
      </c>
    </row>
    <row r="106" spans="1:7" x14ac:dyDescent="0.25">
      <c r="A106" s="3">
        <v>41459</v>
      </c>
      <c r="B106">
        <v>2221.98</v>
      </c>
      <c r="C106">
        <f t="shared" si="5"/>
        <v>1.0082356624603532</v>
      </c>
      <c r="D106">
        <f t="shared" si="6"/>
        <v>8.2019344474235506E-3</v>
      </c>
      <c r="E106">
        <f t="shared" si="7"/>
        <v>6.2069835811923691E-5</v>
      </c>
      <c r="F106">
        <f t="shared" si="8"/>
        <v>8.2888537897188484E-5</v>
      </c>
      <c r="G106">
        <v>90</v>
      </c>
    </row>
    <row r="107" spans="1:7" x14ac:dyDescent="0.25">
      <c r="A107" s="3">
        <v>41458</v>
      </c>
      <c r="B107">
        <v>2203.83</v>
      </c>
      <c r="C107">
        <f t="shared" si="5"/>
        <v>0.99183160964545136</v>
      </c>
      <c r="D107">
        <f t="shared" si="6"/>
        <v>-8.201934447423424E-3</v>
      </c>
      <c r="E107">
        <f t="shared" si="7"/>
        <v>7.2682917304243625E-5</v>
      </c>
      <c r="F107">
        <f t="shared" si="8"/>
        <v>5.3283498065674686E-5</v>
      </c>
      <c r="G107">
        <v>91</v>
      </c>
    </row>
    <row r="108" spans="1:7" x14ac:dyDescent="0.25">
      <c r="A108" s="3">
        <v>41457</v>
      </c>
      <c r="B108">
        <v>2221.98</v>
      </c>
      <c r="C108">
        <f t="shared" si="5"/>
        <v>1.003912674172736</v>
      </c>
      <c r="D108">
        <f t="shared" si="6"/>
        <v>3.9050395711376072E-3</v>
      </c>
      <c r="E108">
        <f t="shared" si="7"/>
        <v>1.282747410076186E-5</v>
      </c>
      <c r="F108">
        <f t="shared" si="8"/>
        <v>2.3111281000140687E-5</v>
      </c>
      <c r="G108">
        <v>92</v>
      </c>
    </row>
    <row r="109" spans="1:7" x14ac:dyDescent="0.25">
      <c r="A109" s="3">
        <v>41456</v>
      </c>
      <c r="B109">
        <v>2213.3200000000002</v>
      </c>
      <c r="C109">
        <f t="shared" si="5"/>
        <v>1.0057619601570453</v>
      </c>
      <c r="D109">
        <f t="shared" si="6"/>
        <v>5.7454235563681715E-3</v>
      </c>
      <c r="E109">
        <f t="shared" si="7"/>
        <v>2.9397328323271802E-5</v>
      </c>
      <c r="F109">
        <f t="shared" si="8"/>
        <v>4.4193289451321319E-5</v>
      </c>
      <c r="G109">
        <v>93</v>
      </c>
    </row>
    <row r="110" spans="1:7" x14ac:dyDescent="0.25">
      <c r="A110" s="3">
        <v>41453</v>
      </c>
      <c r="B110">
        <v>2200.64</v>
      </c>
      <c r="C110">
        <f t="shared" si="5"/>
        <v>1.0184658959430566</v>
      </c>
      <c r="D110">
        <f t="shared" si="6"/>
        <v>1.8297471532110424E-2</v>
      </c>
      <c r="E110">
        <f t="shared" si="7"/>
        <v>3.230638955382454E-4</v>
      </c>
      <c r="F110">
        <f t="shared" si="8"/>
        <v>3.6863429113580986E-4</v>
      </c>
      <c r="G110">
        <v>94</v>
      </c>
    </row>
    <row r="111" spans="1:7" x14ac:dyDescent="0.25">
      <c r="A111" s="3">
        <v>41452</v>
      </c>
      <c r="B111">
        <v>2160.7399999999998</v>
      </c>
      <c r="C111">
        <f t="shared" si="5"/>
        <v>0.99651339759258384</v>
      </c>
      <c r="D111">
        <f t="shared" si="6"/>
        <v>-3.4926947708112939E-3</v>
      </c>
      <c r="E111">
        <f t="shared" si="7"/>
        <v>1.4563290956580238E-5</v>
      </c>
      <c r="F111">
        <f t="shared" si="8"/>
        <v>6.7097316533156009E-6</v>
      </c>
      <c r="G111">
        <v>95</v>
      </c>
    </row>
    <row r="112" spans="1:7" x14ac:dyDescent="0.25">
      <c r="A112" s="3">
        <v>41451</v>
      </c>
      <c r="B112">
        <v>2168.3000000000002</v>
      </c>
      <c r="C112">
        <f t="shared" si="5"/>
        <v>1.001329996028484</v>
      </c>
      <c r="D112">
        <f t="shared" si="6"/>
        <v>1.3291123671900539E-3</v>
      </c>
      <c r="E112">
        <f t="shared" si="7"/>
        <v>1.0112698229833472E-6</v>
      </c>
      <c r="F112">
        <f t="shared" si="8"/>
        <v>4.9795572876591571E-6</v>
      </c>
      <c r="G112">
        <v>96</v>
      </c>
    </row>
    <row r="113" spans="1:7" x14ac:dyDescent="0.25">
      <c r="A113" s="3">
        <v>41450</v>
      </c>
      <c r="B113">
        <v>2165.42</v>
      </c>
      <c r="C113">
        <f t="shared" si="5"/>
        <v>0.99733328420558121</v>
      </c>
      <c r="D113">
        <f t="shared" si="6"/>
        <v>-2.6702778149898486E-3</v>
      </c>
      <c r="E113">
        <f t="shared" si="7"/>
        <v>8.9626651475189979E-6</v>
      </c>
      <c r="F113">
        <f t="shared" si="8"/>
        <v>3.1254633950267403E-6</v>
      </c>
      <c r="G113">
        <v>97</v>
      </c>
    </row>
    <row r="114" spans="1:7" x14ac:dyDescent="0.25">
      <c r="A114" s="3">
        <v>41449</v>
      </c>
      <c r="B114">
        <v>2171.21</v>
      </c>
      <c r="C114">
        <f t="shared" si="5"/>
        <v>0.93692041477696897</v>
      </c>
      <c r="D114">
        <f t="shared" si="6"/>
        <v>-6.515693655487366E-2</v>
      </c>
      <c r="E114">
        <f t="shared" si="7"/>
        <v>4.2876866865112278E-3</v>
      </c>
      <c r="F114">
        <f t="shared" si="8"/>
        <v>4.1286480638969125E-3</v>
      </c>
      <c r="G114">
        <v>98</v>
      </c>
    </row>
    <row r="115" spans="1:7" x14ac:dyDescent="0.25">
      <c r="A115" s="3">
        <v>41446</v>
      </c>
      <c r="B115">
        <v>2317.39</v>
      </c>
      <c r="C115">
        <f t="shared" si="5"/>
        <v>0.99824249290320366</v>
      </c>
      <c r="D115">
        <f t="shared" si="6"/>
        <v>-1.7590533243301452E-3</v>
      </c>
      <c r="E115">
        <f t="shared" si="7"/>
        <v>4.3370002050021158E-6</v>
      </c>
      <c r="F115">
        <f t="shared" si="8"/>
        <v>7.338895290432026E-7</v>
      </c>
      <c r="G115">
        <v>99</v>
      </c>
    </row>
    <row r="116" spans="1:7" x14ac:dyDescent="0.25">
      <c r="A116" s="3">
        <v>41445</v>
      </c>
      <c r="B116">
        <v>2321.4699999999998</v>
      </c>
      <c r="C116">
        <f t="shared" si="5"/>
        <v>0.96696893080136781</v>
      </c>
      <c r="D116">
        <f t="shared" si="6"/>
        <v>-3.3588913516186411E-2</v>
      </c>
      <c r="E116">
        <f t="shared" si="7"/>
        <v>1.1500513321989413E-3</v>
      </c>
      <c r="F116">
        <f t="shared" si="8"/>
        <v>1.0684094864463521E-3</v>
      </c>
      <c r="G116">
        <v>100</v>
      </c>
    </row>
    <row r="117" spans="1:7" x14ac:dyDescent="0.25">
      <c r="A117" s="3">
        <v>41444</v>
      </c>
      <c r="B117">
        <v>2400.77</v>
      </c>
      <c r="C117">
        <f t="shared" si="5"/>
        <v>0.99256640826873388</v>
      </c>
      <c r="D117">
        <f t="shared" si="6"/>
        <v>-7.4613585647299004E-3</v>
      </c>
      <c r="E117">
        <f t="shared" si="7"/>
        <v>6.0603917667954933E-5</v>
      </c>
      <c r="F117">
        <f t="shared" si="8"/>
        <v>4.3020202449614417E-5</v>
      </c>
      <c r="G117">
        <v>101</v>
      </c>
    </row>
    <row r="118" spans="1:7" x14ac:dyDescent="0.25">
      <c r="A118" s="3">
        <v>41443</v>
      </c>
      <c r="B118">
        <v>2418.75</v>
      </c>
      <c r="C118">
        <f t="shared" si="5"/>
        <v>1.0062025758785942</v>
      </c>
      <c r="D118">
        <f t="shared" si="6"/>
        <v>6.1834190783578574E-3</v>
      </c>
      <c r="E118">
        <f t="shared" si="7"/>
        <v>3.4338730796165894E-5</v>
      </c>
      <c r="F118">
        <f t="shared" si="8"/>
        <v>5.0208545730021588E-5</v>
      </c>
      <c r="G118">
        <v>102</v>
      </c>
    </row>
    <row r="119" spans="1:7" x14ac:dyDescent="0.25">
      <c r="A119" s="3">
        <v>41442</v>
      </c>
      <c r="B119">
        <v>2403.84</v>
      </c>
      <c r="C119">
        <f t="shared" si="5"/>
        <v>0.99464988393599729</v>
      </c>
      <c r="D119">
        <f t="shared" si="6"/>
        <v>-5.364479187442572E-3</v>
      </c>
      <c r="E119">
        <f t="shared" si="7"/>
        <v>3.2353030369211337E-5</v>
      </c>
      <c r="F119">
        <f t="shared" si="8"/>
        <v>1.991033095255638E-5</v>
      </c>
      <c r="G119">
        <v>103</v>
      </c>
    </row>
    <row r="120" spans="1:7" x14ac:dyDescent="0.25">
      <c r="A120" s="3">
        <v>41439</v>
      </c>
      <c r="B120">
        <v>2416.77</v>
      </c>
      <c r="C120">
        <f t="shared" si="5"/>
        <v>1.0070126753168829</v>
      </c>
      <c r="D120">
        <f t="shared" si="6"/>
        <v>6.9882008636448362E-3</v>
      </c>
      <c r="E120">
        <f t="shared" si="7"/>
        <v>4.4418327668990039E-5</v>
      </c>
      <c r="F120">
        <f t="shared" si="8"/>
        <v>6.2261263193321242E-5</v>
      </c>
      <c r="G120">
        <v>104</v>
      </c>
    </row>
    <row r="121" spans="1:7" x14ac:dyDescent="0.25">
      <c r="A121" s="3">
        <v>41438</v>
      </c>
      <c r="B121">
        <v>2399.94</v>
      </c>
      <c r="C121">
        <f t="shared" si="5"/>
        <v>0.96609719180729103</v>
      </c>
      <c r="D121">
        <f t="shared" si="6"/>
        <v>-3.4490837193783701E-2</v>
      </c>
      <c r="E121">
        <f t="shared" si="7"/>
        <v>1.2120376037599515E-3</v>
      </c>
      <c r="F121">
        <f t="shared" si="8"/>
        <v>1.1281844701628318E-3</v>
      </c>
      <c r="G121">
        <v>105</v>
      </c>
    </row>
    <row r="122" spans="1:7" x14ac:dyDescent="0.25">
      <c r="A122" s="3">
        <v>41432</v>
      </c>
      <c r="B122">
        <v>2484.16</v>
      </c>
      <c r="C122">
        <f t="shared" si="5"/>
        <v>0.982720425343376</v>
      </c>
      <c r="D122">
        <f t="shared" si="6"/>
        <v>-1.7430608907223512E-2</v>
      </c>
      <c r="E122">
        <f t="shared" si="7"/>
        <v>3.1520814315974879E-4</v>
      </c>
      <c r="F122">
        <f t="shared" si="8"/>
        <v>2.7318235745473006E-4</v>
      </c>
      <c r="G122">
        <v>106</v>
      </c>
    </row>
    <row r="123" spans="1:7" x14ac:dyDescent="0.25">
      <c r="A123" s="3">
        <v>41431</v>
      </c>
      <c r="B123">
        <v>2527.84</v>
      </c>
      <c r="C123">
        <f t="shared" si="5"/>
        <v>0.98722925632874325</v>
      </c>
      <c r="D123">
        <f t="shared" si="6"/>
        <v>-1.2852990604882772E-2</v>
      </c>
      <c r="E123">
        <f t="shared" si="7"/>
        <v>1.7361972659290533E-4</v>
      </c>
      <c r="F123">
        <f t="shared" si="8"/>
        <v>1.4281709863426273E-4</v>
      </c>
      <c r="G123">
        <v>107</v>
      </c>
    </row>
    <row r="124" spans="1:7" x14ac:dyDescent="0.25">
      <c r="A124" s="3">
        <v>41430</v>
      </c>
      <c r="B124">
        <v>2560.54</v>
      </c>
      <c r="C124">
        <f t="shared" si="5"/>
        <v>0.99800052228072977</v>
      </c>
      <c r="D124">
        <f t="shared" si="6"/>
        <v>-2.0014793434254704E-3</v>
      </c>
      <c r="E124">
        <f t="shared" si="7"/>
        <v>5.4054975275222578E-6</v>
      </c>
      <c r="F124">
        <f t="shared" si="8"/>
        <v>1.2080198086096788E-6</v>
      </c>
      <c r="G124">
        <v>108</v>
      </c>
    </row>
    <row r="125" spans="1:7" x14ac:dyDescent="0.25">
      <c r="A125" s="3">
        <v>41429</v>
      </c>
      <c r="B125">
        <v>2565.67</v>
      </c>
      <c r="C125">
        <f t="shared" si="5"/>
        <v>0.98580276797995869</v>
      </c>
      <c r="D125">
        <f t="shared" si="6"/>
        <v>-1.4298976863352389E-2</v>
      </c>
      <c r="E125">
        <f t="shared" si="7"/>
        <v>2.1381663201049204E-4</v>
      </c>
      <c r="F125">
        <f t="shared" si="8"/>
        <v>1.7946881290526595E-4</v>
      </c>
      <c r="G125">
        <v>109</v>
      </c>
    </row>
    <row r="126" spans="1:7" x14ac:dyDescent="0.25">
      <c r="A126" s="3">
        <v>41428</v>
      </c>
      <c r="B126">
        <v>2602.62</v>
      </c>
      <c r="C126">
        <f t="shared" si="5"/>
        <v>0.9985382304531486</v>
      </c>
      <c r="D126">
        <f t="shared" si="6"/>
        <v>-1.4628389742534396E-3</v>
      </c>
      <c r="E126">
        <f t="shared" si="7"/>
        <v>3.1909827903148545E-6</v>
      </c>
      <c r="F126">
        <f t="shared" si="8"/>
        <v>3.1411448715299699E-7</v>
      </c>
      <c r="G126">
        <v>110</v>
      </c>
    </row>
    <row r="127" spans="1:7" x14ac:dyDescent="0.25">
      <c r="A127" s="3">
        <v>41425</v>
      </c>
      <c r="B127">
        <v>2606.4299999999998</v>
      </c>
      <c r="C127">
        <f t="shared" si="5"/>
        <v>0.98941282759877303</v>
      </c>
      <c r="D127">
        <f t="shared" si="6"/>
        <v>-1.0643615244503508E-2</v>
      </c>
      <c r="E127">
        <f t="shared" si="7"/>
        <v>1.2027746857616355E-4</v>
      </c>
      <c r="F127">
        <f t="shared" si="8"/>
        <v>9.4891668005207217E-5</v>
      </c>
      <c r="G127">
        <v>111</v>
      </c>
    </row>
    <row r="128" spans="1:7" x14ac:dyDescent="0.25">
      <c r="A128" s="3">
        <v>41424</v>
      </c>
      <c r="B128">
        <v>2634.32</v>
      </c>
      <c r="C128">
        <f t="shared" si="5"/>
        <v>0.99688181157665301</v>
      </c>
      <c r="D128">
        <f t="shared" si="6"/>
        <v>-3.1230601027141388E-3</v>
      </c>
      <c r="E128">
        <f t="shared" si="7"/>
        <v>1.1878729964693694E-5</v>
      </c>
      <c r="F128">
        <f t="shared" si="8"/>
        <v>4.9314210114118164E-6</v>
      </c>
      <c r="G128">
        <v>112</v>
      </c>
    </row>
    <row r="129" spans="1:7" x14ac:dyDescent="0.25">
      <c r="A129" s="3">
        <v>41423</v>
      </c>
      <c r="B129">
        <v>2642.56</v>
      </c>
      <c r="C129">
        <f t="shared" si="5"/>
        <v>0.99931930599464514</v>
      </c>
      <c r="D129">
        <f t="shared" si="6"/>
        <v>-6.8092578270493155E-4</v>
      </c>
      <c r="E129">
        <f t="shared" si="7"/>
        <v>1.0088575791515236E-6</v>
      </c>
      <c r="F129">
        <f t="shared" si="8"/>
        <v>4.9041881322456551E-8</v>
      </c>
      <c r="G129">
        <v>113</v>
      </c>
    </row>
    <row r="130" spans="1:7" x14ac:dyDescent="0.25">
      <c r="A130" s="3">
        <v>41422</v>
      </c>
      <c r="B130">
        <v>2644.36</v>
      </c>
      <c r="C130">
        <f t="shared" si="5"/>
        <v>1.0172219465377232</v>
      </c>
      <c r="D130">
        <f t="shared" si="6"/>
        <v>1.7075329773233675E-2</v>
      </c>
      <c r="E130">
        <f t="shared" si="7"/>
        <v>2.8062402713644732E-4</v>
      </c>
      <c r="F130">
        <f t="shared" si="8"/>
        <v>3.2319804146270883E-4</v>
      </c>
      <c r="G130">
        <v>114</v>
      </c>
    </row>
    <row r="131" spans="1:7" x14ac:dyDescent="0.25">
      <c r="A131" s="3">
        <v>41421</v>
      </c>
      <c r="B131">
        <v>2599.59</v>
      </c>
      <c r="C131">
        <f t="shared" si="5"/>
        <v>1.0009086603804824</v>
      </c>
      <c r="D131">
        <f t="shared" si="6"/>
        <v>9.0824779855121999E-4</v>
      </c>
      <c r="E131">
        <f t="shared" si="7"/>
        <v>3.419378902649882E-7</v>
      </c>
      <c r="F131">
        <f t="shared" si="8"/>
        <v>3.2783722969261294E-6</v>
      </c>
      <c r="G131">
        <v>115</v>
      </c>
    </row>
    <row r="132" spans="1:7" x14ac:dyDescent="0.25">
      <c r="A132" s="3">
        <v>41418</v>
      </c>
      <c r="B132">
        <v>2597.23</v>
      </c>
      <c r="C132">
        <f t="shared" si="5"/>
        <v>1.005567493272935</v>
      </c>
      <c r="D132">
        <f t="shared" si="6"/>
        <v>5.5520520682863696E-3</v>
      </c>
      <c r="E132">
        <f t="shared" si="7"/>
        <v>2.7337827389722148E-5</v>
      </c>
      <c r="F132">
        <f t="shared" si="8"/>
        <v>4.1659690729128207E-5</v>
      </c>
      <c r="G132">
        <v>116</v>
      </c>
    </row>
    <row r="133" spans="1:7" x14ac:dyDescent="0.25">
      <c r="A133" s="3">
        <v>41417</v>
      </c>
      <c r="B133">
        <v>2582.85</v>
      </c>
      <c r="C133">
        <f t="shared" si="5"/>
        <v>0.98656241525116206</v>
      </c>
      <c r="D133">
        <f t="shared" si="6"/>
        <v>-1.3528686132991624E-2</v>
      </c>
      <c r="E133">
        <f t="shared" si="7"/>
        <v>1.9188287346400616E-4</v>
      </c>
      <c r="F133">
        <f t="shared" si="8"/>
        <v>1.5942361164041047E-4</v>
      </c>
      <c r="G133">
        <v>117</v>
      </c>
    </row>
    <row r="134" spans="1:7" x14ac:dyDescent="0.25">
      <c r="A134" s="3">
        <v>41416</v>
      </c>
      <c r="B134">
        <v>2618.0300000000002</v>
      </c>
      <c r="C134">
        <f t="shared" si="5"/>
        <v>1.0012161309444136</v>
      </c>
      <c r="D134">
        <f t="shared" si="6"/>
        <v>1.2153920561725582E-3</v>
      </c>
      <c r="E134">
        <f t="shared" si="7"/>
        <v>7.9548349297992679E-7</v>
      </c>
      <c r="F134">
        <f t="shared" si="8"/>
        <v>4.4849576304581212E-6</v>
      </c>
      <c r="G134">
        <v>118</v>
      </c>
    </row>
    <row r="135" spans="1:7" x14ac:dyDescent="0.25">
      <c r="A135" s="3">
        <v>41415</v>
      </c>
      <c r="B135">
        <v>2614.85</v>
      </c>
      <c r="C135">
        <f t="shared" si="5"/>
        <v>1.0020079628756786</v>
      </c>
      <c r="D135">
        <f t="shared" si="6"/>
        <v>2.0059496128111485E-3</v>
      </c>
      <c r="E135">
        <f t="shared" si="7"/>
        <v>2.8306594363960329E-6</v>
      </c>
      <c r="G135">
        <v>119</v>
      </c>
    </row>
    <row r="136" spans="1:7" x14ac:dyDescent="0.25">
      <c r="A136" s="3">
        <v>41414</v>
      </c>
      <c r="B136">
        <v>2609.61</v>
      </c>
      <c r="C136">
        <f t="shared" si="5"/>
        <v>1.0067201864060891</v>
      </c>
      <c r="D136">
        <f t="shared" si="6"/>
        <v>6.6977066095058784E-3</v>
      </c>
      <c r="E136">
        <f t="shared" si="7"/>
        <v>4.0630596042037431E-5</v>
      </c>
      <c r="G136">
        <v>120</v>
      </c>
    </row>
    <row r="137" spans="1:7" x14ac:dyDescent="0.25">
      <c r="A137" s="3">
        <v>41411</v>
      </c>
      <c r="B137">
        <v>2592.19</v>
      </c>
      <c r="C137">
        <f t="shared" si="5"/>
        <v>1.0154659166141082</v>
      </c>
      <c r="D137">
        <f t="shared" si="6"/>
        <v>1.5347538318088064E-2</v>
      </c>
      <c r="E137">
        <f t="shared" si="7"/>
        <v>2.2572193041897373E-4</v>
      </c>
      <c r="G137">
        <v>121</v>
      </c>
    </row>
    <row r="138" spans="1:7" x14ac:dyDescent="0.25">
      <c r="A138" s="3">
        <v>41410</v>
      </c>
      <c r="B138">
        <v>2552.71</v>
      </c>
      <c r="C138">
        <f t="shared" si="5"/>
        <v>1.0182613794561477</v>
      </c>
      <c r="D138">
        <f t="shared" si="6"/>
        <v>1.809664298715348E-2</v>
      </c>
      <c r="E138">
        <f t="shared" si="7"/>
        <v>3.1588485182892614E-4</v>
      </c>
      <c r="G138">
        <v>122</v>
      </c>
    </row>
    <row r="139" spans="1:7" x14ac:dyDescent="0.25">
      <c r="A139" s="3">
        <v>41409</v>
      </c>
      <c r="B139">
        <v>2506.9299999999998</v>
      </c>
      <c r="C139">
        <f t="shared" si="5"/>
        <v>1.0054505201857749</v>
      </c>
      <c r="D139">
        <f t="shared" si="6"/>
        <v>5.4357198559349482E-3</v>
      </c>
      <c r="E139">
        <f t="shared" si="7"/>
        <v>2.6134860942237109E-5</v>
      </c>
      <c r="G139">
        <v>123</v>
      </c>
    </row>
    <row r="140" spans="1:7" x14ac:dyDescent="0.25">
      <c r="A140" s="3">
        <v>41408</v>
      </c>
      <c r="B140">
        <v>2493.34</v>
      </c>
      <c r="C140">
        <f t="shared" si="5"/>
        <v>0.98521003489056702</v>
      </c>
      <c r="D140">
        <f t="shared" si="6"/>
        <v>-1.49004271496179E-2</v>
      </c>
      <c r="E140">
        <f t="shared" si="7"/>
        <v>2.3176775212006208E-4</v>
      </c>
      <c r="G140">
        <v>124</v>
      </c>
    </row>
    <row r="141" spans="1:7" x14ac:dyDescent="0.25">
      <c r="A141" s="3">
        <v>41407</v>
      </c>
      <c r="B141">
        <v>2530.77</v>
      </c>
      <c r="C141">
        <f t="shared" si="5"/>
        <v>0.99603674375403406</v>
      </c>
      <c r="D141">
        <f t="shared" si="6"/>
        <v>-3.9711307586954986E-3</v>
      </c>
      <c r="E141">
        <f t="shared" si="7"/>
        <v>1.8443795315740148E-5</v>
      </c>
      <c r="G141">
        <v>125</v>
      </c>
    </row>
    <row r="142" spans="1:7" x14ac:dyDescent="0.25">
      <c r="A142" s="3">
        <v>41404</v>
      </c>
      <c r="B142">
        <v>2540.84</v>
      </c>
      <c r="C142">
        <f t="shared" si="5"/>
        <v>1.0051626124005555</v>
      </c>
      <c r="D142">
        <f t="shared" si="6"/>
        <v>5.1493318059207486E-3</v>
      </c>
      <c r="E142">
        <f t="shared" si="7"/>
        <v>2.3288717835596511E-5</v>
      </c>
      <c r="G142">
        <v>126</v>
      </c>
    </row>
    <row r="143" spans="1:7" x14ac:dyDescent="0.25">
      <c r="A143" s="3">
        <v>41403</v>
      </c>
      <c r="B143">
        <v>2527.79</v>
      </c>
      <c r="C143">
        <f t="shared" si="5"/>
        <v>0.99409705836086193</v>
      </c>
      <c r="D143">
        <f t="shared" si="6"/>
        <v>-5.9204328662309253E-3</v>
      </c>
      <c r="E143">
        <f t="shared" si="7"/>
        <v>3.8986613257246446E-5</v>
      </c>
      <c r="G143">
        <v>127</v>
      </c>
    </row>
    <row r="144" spans="1:7" x14ac:dyDescent="0.25">
      <c r="A144" s="3">
        <v>41402</v>
      </c>
      <c r="B144">
        <v>2542.8000000000002</v>
      </c>
      <c r="C144">
        <f t="shared" si="5"/>
        <v>1.0050831245009764</v>
      </c>
      <c r="D144">
        <f t="shared" si="6"/>
        <v>5.0702490369224987E-3</v>
      </c>
      <c r="E144">
        <f t="shared" si="7"/>
        <v>2.253169056735666E-5</v>
      </c>
      <c r="G144">
        <v>128</v>
      </c>
    </row>
    <row r="145" spans="1:7" x14ac:dyDescent="0.25">
      <c r="A145" s="3">
        <v>41401</v>
      </c>
      <c r="B145">
        <v>2529.94</v>
      </c>
      <c r="C145">
        <f t="shared" si="5"/>
        <v>1.0015677083745715</v>
      </c>
      <c r="D145">
        <f t="shared" si="6"/>
        <v>1.5664808026134448E-3</v>
      </c>
      <c r="E145">
        <f t="shared" si="7"/>
        <v>1.5450180734113572E-6</v>
      </c>
      <c r="G145">
        <v>129</v>
      </c>
    </row>
    <row r="146" spans="1:7" x14ac:dyDescent="0.25">
      <c r="A146" s="3">
        <v>41400</v>
      </c>
      <c r="B146">
        <v>2525.98</v>
      </c>
      <c r="C146">
        <f t="shared" ref="C146:C209" si="9">B146/B147</f>
        <v>1.0132656213020126</v>
      </c>
      <c r="D146">
        <f t="shared" ref="D146:D209" si="10">LN(C146)</f>
        <v>1.3178403433852367E-2</v>
      </c>
      <c r="E146">
        <f t="shared" ref="E146:E209" si="11">(D146-$D$7)^2</f>
        <v>1.652487160154754E-4</v>
      </c>
      <c r="G146">
        <v>130</v>
      </c>
    </row>
    <row r="147" spans="1:7" x14ac:dyDescent="0.25">
      <c r="A147" s="3">
        <v>41397</v>
      </c>
      <c r="B147">
        <v>2492.91</v>
      </c>
      <c r="C147">
        <f t="shared" si="9"/>
        <v>1.017663819989876</v>
      </c>
      <c r="D147">
        <f t="shared" si="10"/>
        <v>1.7509627822162577E-2</v>
      </c>
      <c r="E147">
        <f t="shared" si="11"/>
        <v>2.9536322177388369E-4</v>
      </c>
      <c r="G147">
        <v>131</v>
      </c>
    </row>
    <row r="148" spans="1:7" x14ac:dyDescent="0.25">
      <c r="A148" s="3">
        <v>41396</v>
      </c>
      <c r="B148">
        <v>2449.64</v>
      </c>
      <c r="C148">
        <f t="shared" si="9"/>
        <v>1.0009520657374831</v>
      </c>
      <c r="D148">
        <f t="shared" si="10"/>
        <v>9.5161281035363642E-4</v>
      </c>
      <c r="E148">
        <f t="shared" si="11"/>
        <v>3.9453419092161127E-7</v>
      </c>
      <c r="G148">
        <v>132</v>
      </c>
    </row>
    <row r="149" spans="1:7" x14ac:dyDescent="0.25">
      <c r="A149" s="3">
        <v>41390</v>
      </c>
      <c r="B149">
        <v>2447.31</v>
      </c>
      <c r="C149">
        <f t="shared" si="9"/>
        <v>0.9916649107736194</v>
      </c>
      <c r="D149">
        <f t="shared" si="10"/>
        <v>-8.3700203205352326E-3</v>
      </c>
      <c r="E149">
        <f t="shared" si="11"/>
        <v>7.5577178078968426E-5</v>
      </c>
      <c r="G149">
        <v>133</v>
      </c>
    </row>
    <row r="150" spans="1:7" x14ac:dyDescent="0.25">
      <c r="A150" s="3">
        <v>41389</v>
      </c>
      <c r="B150">
        <v>2467.88</v>
      </c>
      <c r="C150">
        <f t="shared" si="9"/>
        <v>0.98890037586452861</v>
      </c>
      <c r="D150">
        <f t="shared" si="10"/>
        <v>-1.1161684622809188E-2</v>
      </c>
      <c r="E150">
        <f t="shared" si="11"/>
        <v>1.3190931060874135E-4</v>
      </c>
      <c r="G150">
        <v>134</v>
      </c>
    </row>
    <row r="151" spans="1:7" x14ac:dyDescent="0.25">
      <c r="A151" s="3">
        <v>41388</v>
      </c>
      <c r="B151">
        <v>2495.58</v>
      </c>
      <c r="C151">
        <f t="shared" si="9"/>
        <v>1.0188244803978004</v>
      </c>
      <c r="D151">
        <f t="shared" si="10"/>
        <v>1.8649492493492261E-2</v>
      </c>
      <c r="E151">
        <f t="shared" si="11"/>
        <v>3.3584224852989175E-4</v>
      </c>
      <c r="G151">
        <v>135</v>
      </c>
    </row>
    <row r="152" spans="1:7" x14ac:dyDescent="0.25">
      <c r="A152" s="3">
        <v>41387</v>
      </c>
      <c r="B152">
        <v>2449.4699999999998</v>
      </c>
      <c r="C152">
        <f t="shared" si="9"/>
        <v>0.96791363551944731</v>
      </c>
      <c r="D152">
        <f t="shared" si="10"/>
        <v>-3.2612415190559983E-2</v>
      </c>
      <c r="E152">
        <f t="shared" si="11"/>
        <v>1.0847740643423222E-3</v>
      </c>
      <c r="G152">
        <v>136</v>
      </c>
    </row>
    <row r="153" spans="1:7" x14ac:dyDescent="0.25">
      <c r="A153" s="3">
        <v>41386</v>
      </c>
      <c r="B153">
        <v>2530.67</v>
      </c>
      <c r="C153">
        <f t="shared" si="9"/>
        <v>0.99875287608087371</v>
      </c>
      <c r="D153">
        <f t="shared" si="10"/>
        <v>-1.2479022253245999E-3</v>
      </c>
      <c r="E153">
        <f t="shared" si="11"/>
        <v>2.4692837177983086E-6</v>
      </c>
      <c r="G153">
        <v>137</v>
      </c>
    </row>
    <row r="154" spans="1:7" x14ac:dyDescent="0.25">
      <c r="A154" s="3">
        <v>41383</v>
      </c>
      <c r="B154">
        <v>2533.83</v>
      </c>
      <c r="C154">
        <f t="shared" si="9"/>
        <v>1.0279854757896019</v>
      </c>
      <c r="D154">
        <f t="shared" si="10"/>
        <v>2.7601038323826918E-2</v>
      </c>
      <c r="E154">
        <f t="shared" si="11"/>
        <v>7.4406446563780827E-4</v>
      </c>
      <c r="G154">
        <v>138</v>
      </c>
    </row>
    <row r="155" spans="1:7" x14ac:dyDescent="0.25">
      <c r="A155" s="3">
        <v>41382</v>
      </c>
      <c r="B155">
        <v>2464.85</v>
      </c>
      <c r="C155">
        <f t="shared" si="9"/>
        <v>1.002595109966768</v>
      </c>
      <c r="D155">
        <f t="shared" si="10"/>
        <v>2.5917484832551994E-3</v>
      </c>
      <c r="E155">
        <f t="shared" si="11"/>
        <v>5.1449818350502284E-6</v>
      </c>
      <c r="G155">
        <v>139</v>
      </c>
    </row>
    <row r="156" spans="1:7" x14ac:dyDescent="0.25">
      <c r="A156" s="3">
        <v>41381</v>
      </c>
      <c r="B156">
        <v>2458.4699999999998</v>
      </c>
      <c r="C156">
        <f t="shared" si="9"/>
        <v>0.99954463955374662</v>
      </c>
      <c r="D156">
        <f t="shared" si="10"/>
        <v>-4.5546415430561434E-4</v>
      </c>
      <c r="E156">
        <f t="shared" si="11"/>
        <v>6.0677462678105863E-7</v>
      </c>
      <c r="G156">
        <v>140</v>
      </c>
    </row>
    <row r="157" spans="1:7" x14ac:dyDescent="0.25">
      <c r="A157" s="3">
        <v>41380</v>
      </c>
      <c r="B157">
        <v>2459.59</v>
      </c>
      <c r="C157">
        <f t="shared" si="9"/>
        <v>1.0093441452384666</v>
      </c>
      <c r="D157">
        <f t="shared" si="10"/>
        <v>9.3007587768669416E-3</v>
      </c>
      <c r="E157">
        <f t="shared" si="11"/>
        <v>8.0591296465971077E-5</v>
      </c>
      <c r="G157">
        <v>141</v>
      </c>
    </row>
    <row r="158" spans="1:7" x14ac:dyDescent="0.25">
      <c r="A158" s="3">
        <v>41379</v>
      </c>
      <c r="B158">
        <v>2436.8200000000002</v>
      </c>
      <c r="C158">
        <f t="shared" si="9"/>
        <v>0.98972832245512998</v>
      </c>
      <c r="D158">
        <f t="shared" si="10"/>
        <v>-1.0324795276538346E-2</v>
      </c>
      <c r="E158">
        <f t="shared" si="11"/>
        <v>1.1338604839483896E-4</v>
      </c>
      <c r="G158">
        <v>142</v>
      </c>
    </row>
    <row r="159" spans="1:7" x14ac:dyDescent="0.25">
      <c r="A159" s="3">
        <v>41376</v>
      </c>
      <c r="B159">
        <v>2462.11</v>
      </c>
      <c r="C159">
        <f t="shared" si="9"/>
        <v>0.99363568857248941</v>
      </c>
      <c r="D159">
        <f t="shared" si="10"/>
        <v>-6.3846499974017593E-3</v>
      </c>
      <c r="E159">
        <f t="shared" si="11"/>
        <v>4.4999185733437122E-5</v>
      </c>
      <c r="G159">
        <v>143</v>
      </c>
    </row>
    <row r="160" spans="1:7" x14ac:dyDescent="0.25">
      <c r="A160" s="3">
        <v>41375</v>
      </c>
      <c r="B160">
        <v>2477.88</v>
      </c>
      <c r="C160">
        <f t="shared" si="9"/>
        <v>0.99701043330610672</v>
      </c>
      <c r="D160">
        <f t="shared" si="10"/>
        <v>-2.994044374845968E-3</v>
      </c>
      <c r="E160">
        <f t="shared" si="11"/>
        <v>1.1006055845669444E-5</v>
      </c>
      <c r="G160">
        <v>144</v>
      </c>
    </row>
    <row r="161" spans="1:7" x14ac:dyDescent="0.25">
      <c r="A161" s="3">
        <v>41374</v>
      </c>
      <c r="B161">
        <v>2485.31</v>
      </c>
      <c r="C161">
        <f t="shared" si="9"/>
        <v>0.99834500267129422</v>
      </c>
      <c r="D161">
        <f t="shared" si="10"/>
        <v>-1.6563683496843018E-3</v>
      </c>
      <c r="E161">
        <f t="shared" si="11"/>
        <v>3.9198519260947218E-6</v>
      </c>
      <c r="G161">
        <v>145</v>
      </c>
    </row>
    <row r="162" spans="1:7" x14ac:dyDescent="0.25">
      <c r="A162" s="3">
        <v>41373</v>
      </c>
      <c r="B162">
        <v>2489.4299999999998</v>
      </c>
      <c r="C162">
        <f t="shared" si="9"/>
        <v>1.006928770780245</v>
      </c>
      <c r="D162">
        <f t="shared" si="10"/>
        <v>6.9048771534654619E-3</v>
      </c>
      <c r="E162">
        <f t="shared" si="11"/>
        <v>4.3314614177238478E-5</v>
      </c>
      <c r="G162">
        <v>146</v>
      </c>
    </row>
    <row r="163" spans="1:7" x14ac:dyDescent="0.25">
      <c r="A163" s="3">
        <v>41372</v>
      </c>
      <c r="B163">
        <v>2472.3000000000002</v>
      </c>
      <c r="C163">
        <f t="shared" si="9"/>
        <v>0.99547019387570213</v>
      </c>
      <c r="D163">
        <f t="shared" si="10"/>
        <v>-4.5400967842821041E-3</v>
      </c>
      <c r="E163">
        <f t="shared" si="11"/>
        <v>2.3654507953252676E-5</v>
      </c>
      <c r="G163">
        <v>147</v>
      </c>
    </row>
    <row r="164" spans="1:7" x14ac:dyDescent="0.25">
      <c r="A164" s="3">
        <v>41367</v>
      </c>
      <c r="B164">
        <v>2483.5500000000002</v>
      </c>
      <c r="C164">
        <f t="shared" si="9"/>
        <v>0.99885778176392293</v>
      </c>
      <c r="D164">
        <f t="shared" si="10"/>
        <v>-1.1428710644888465E-3</v>
      </c>
      <c r="E164">
        <f t="shared" si="11"/>
        <v>2.1502242822093289E-6</v>
      </c>
      <c r="G164">
        <v>148</v>
      </c>
    </row>
    <row r="165" spans="1:7" x14ac:dyDescent="0.25">
      <c r="A165" s="3">
        <v>41366</v>
      </c>
      <c r="B165">
        <v>2486.39</v>
      </c>
      <c r="C165">
        <f t="shared" si="9"/>
        <v>0.99727257048199291</v>
      </c>
      <c r="D165">
        <f t="shared" si="10"/>
        <v>-2.7311557307588782E-3</v>
      </c>
      <c r="E165">
        <f t="shared" si="11"/>
        <v>9.3308803527446883E-6</v>
      </c>
      <c r="G165">
        <v>149</v>
      </c>
    </row>
    <row r="166" spans="1:7" x14ac:dyDescent="0.25">
      <c r="A166" s="3">
        <v>41365</v>
      </c>
      <c r="B166">
        <v>2493.19</v>
      </c>
      <c r="C166">
        <f t="shared" si="9"/>
        <v>0.99924250925822022</v>
      </c>
      <c r="D166">
        <f t="shared" si="10"/>
        <v>-7.577777828548421E-4</v>
      </c>
      <c r="E166">
        <f t="shared" si="11"/>
        <v>1.1691470313031027E-6</v>
      </c>
      <c r="G166">
        <v>150</v>
      </c>
    </row>
    <row r="167" spans="1:7" x14ac:dyDescent="0.25">
      <c r="A167" s="3">
        <v>41362</v>
      </c>
      <c r="B167">
        <v>2495.08</v>
      </c>
      <c r="C167">
        <f t="shared" si="9"/>
        <v>0.99831152722762362</v>
      </c>
      <c r="D167">
        <f t="shared" si="10"/>
        <v>-1.6898998491409825E-3</v>
      </c>
      <c r="E167">
        <f t="shared" si="11"/>
        <v>4.0537517433877751E-6</v>
      </c>
      <c r="G167">
        <v>151</v>
      </c>
    </row>
    <row r="168" spans="1:7" x14ac:dyDescent="0.25">
      <c r="A168" s="3">
        <v>41361</v>
      </c>
      <c r="B168">
        <v>2499.3000000000002</v>
      </c>
      <c r="C168">
        <f t="shared" si="9"/>
        <v>0.96739732072009998</v>
      </c>
      <c r="D168">
        <f t="shared" si="10"/>
        <v>-3.314598816490013E-2</v>
      </c>
      <c r="E168">
        <f t="shared" si="11"/>
        <v>1.1202061857122222E-3</v>
      </c>
      <c r="G168">
        <v>152</v>
      </c>
    </row>
    <row r="169" spans="1:7" x14ac:dyDescent="0.25">
      <c r="A169" s="3">
        <v>41360</v>
      </c>
      <c r="B169">
        <v>2583.5300000000002</v>
      </c>
      <c r="C169">
        <f t="shared" si="9"/>
        <v>1.0032931399390304</v>
      </c>
      <c r="D169">
        <f t="shared" si="10"/>
        <v>3.2877294288254492E-3</v>
      </c>
      <c r="E169">
        <f t="shared" si="11"/>
        <v>8.7866961654942992E-6</v>
      </c>
      <c r="G169">
        <v>153</v>
      </c>
    </row>
    <row r="170" spans="1:7" x14ac:dyDescent="0.25">
      <c r="A170" s="3">
        <v>41359</v>
      </c>
      <c r="B170">
        <v>2575.0500000000002</v>
      </c>
      <c r="C170">
        <f t="shared" si="9"/>
        <v>0.98543875090888222</v>
      </c>
      <c r="D170">
        <f t="shared" si="10"/>
        <v>-1.4668304590803477E-2</v>
      </c>
      <c r="E170">
        <f t="shared" si="11"/>
        <v>2.247540022889403E-4</v>
      </c>
      <c r="G170">
        <v>154</v>
      </c>
    </row>
    <row r="171" spans="1:7" x14ac:dyDescent="0.25">
      <c r="A171" s="3">
        <v>41358</v>
      </c>
      <c r="B171">
        <v>2613.1</v>
      </c>
      <c r="C171">
        <f t="shared" si="9"/>
        <v>0.99801016686335842</v>
      </c>
      <c r="D171">
        <f t="shared" si="10"/>
        <v>-1.9918154847285473E-3</v>
      </c>
      <c r="E171">
        <f t="shared" si="11"/>
        <v>5.3606545045887484E-6</v>
      </c>
      <c r="G171">
        <v>155</v>
      </c>
    </row>
    <row r="172" spans="1:7" x14ac:dyDescent="0.25">
      <c r="A172" s="3">
        <v>41355</v>
      </c>
      <c r="B172">
        <v>2618.31</v>
      </c>
      <c r="C172">
        <f t="shared" si="9"/>
        <v>1.0012696033254429</v>
      </c>
      <c r="D172">
        <f t="shared" si="10"/>
        <v>1.2687980606467615E-3</v>
      </c>
      <c r="E172">
        <f t="shared" si="11"/>
        <v>8.9360119830995954E-7</v>
      </c>
      <c r="G172">
        <v>156</v>
      </c>
    </row>
    <row r="173" spans="1:7" x14ac:dyDescent="0.25">
      <c r="A173" s="3">
        <v>41354</v>
      </c>
      <c r="B173">
        <v>2614.9899999999998</v>
      </c>
      <c r="C173">
        <f t="shared" si="9"/>
        <v>1.0018466230168914</v>
      </c>
      <c r="D173">
        <f t="shared" si="10"/>
        <v>1.844920104710429E-3</v>
      </c>
      <c r="E173">
        <f t="shared" si="11"/>
        <v>2.3147396956045115E-6</v>
      </c>
      <c r="G173">
        <v>157</v>
      </c>
    </row>
    <row r="174" spans="1:7" x14ac:dyDescent="0.25">
      <c r="A174" s="3">
        <v>41353</v>
      </c>
      <c r="B174">
        <v>2610.17</v>
      </c>
      <c r="C174">
        <f t="shared" si="9"/>
        <v>1.0336897548611936</v>
      </c>
      <c r="D174">
        <f t="shared" si="10"/>
        <v>3.3134687409582503E-2</v>
      </c>
      <c r="E174">
        <f t="shared" si="11"/>
        <v>1.0765744626386974E-3</v>
      </c>
      <c r="G174">
        <v>158</v>
      </c>
    </row>
    <row r="175" spans="1:7" x14ac:dyDescent="0.25">
      <c r="A175" s="3">
        <v>41352</v>
      </c>
      <c r="B175">
        <v>2525.1</v>
      </c>
      <c r="C175">
        <f t="shared" si="9"/>
        <v>1.0090350011388658</v>
      </c>
      <c r="D175">
        <f t="shared" si="10"/>
        <v>8.9944297082446088E-3</v>
      </c>
      <c r="E175">
        <f t="shared" si="11"/>
        <v>7.5185139184710258E-5</v>
      </c>
      <c r="G175">
        <v>159</v>
      </c>
    </row>
    <row r="176" spans="1:7" x14ac:dyDescent="0.25">
      <c r="A176" s="3">
        <v>41351</v>
      </c>
      <c r="B176">
        <v>2502.4899999999998</v>
      </c>
      <c r="C176">
        <f t="shared" si="9"/>
        <v>0.98528271131987066</v>
      </c>
      <c r="D176">
        <f t="shared" si="10"/>
        <v>-1.4826662423027189E-2</v>
      </c>
      <c r="E176">
        <f t="shared" si="11"/>
        <v>2.2952721670415406E-4</v>
      </c>
      <c r="G176">
        <v>160</v>
      </c>
    </row>
    <row r="177" spans="1:7" x14ac:dyDescent="0.25">
      <c r="A177" s="3">
        <v>41348</v>
      </c>
      <c r="B177">
        <v>2539.87</v>
      </c>
      <c r="C177">
        <f t="shared" si="9"/>
        <v>1.002209709304849</v>
      </c>
      <c r="D177">
        <f t="shared" si="10"/>
        <v>2.2072714878271309E-3</v>
      </c>
      <c r="E177">
        <f t="shared" si="11"/>
        <v>3.548620475771235E-6</v>
      </c>
      <c r="G177">
        <v>161</v>
      </c>
    </row>
    <row r="178" spans="1:7" x14ac:dyDescent="0.25">
      <c r="A178" s="3">
        <v>41347</v>
      </c>
      <c r="B178">
        <v>2534.27</v>
      </c>
      <c r="C178">
        <f t="shared" si="9"/>
        <v>1.0026825031948694</v>
      </c>
      <c r="D178">
        <f t="shared" si="10"/>
        <v>2.6789117045299864E-3</v>
      </c>
      <c r="E178">
        <f t="shared" si="11"/>
        <v>5.5479961290253812E-6</v>
      </c>
      <c r="G178">
        <v>162</v>
      </c>
    </row>
    <row r="179" spans="1:7" x14ac:dyDescent="0.25">
      <c r="A179" s="3">
        <v>41346</v>
      </c>
      <c r="B179">
        <v>2527.4899999999998</v>
      </c>
      <c r="C179">
        <f t="shared" si="9"/>
        <v>0.98899675615606442</v>
      </c>
      <c r="D179">
        <f t="shared" si="10"/>
        <v>-1.1064227287893467E-2</v>
      </c>
      <c r="E179">
        <f t="shared" si="11"/>
        <v>1.2968017888920517E-4</v>
      </c>
      <c r="G179">
        <v>163</v>
      </c>
    </row>
    <row r="180" spans="1:7" x14ac:dyDescent="0.25">
      <c r="A180" s="3">
        <v>41345</v>
      </c>
      <c r="B180">
        <v>2555.61</v>
      </c>
      <c r="C180">
        <f t="shared" si="9"/>
        <v>0.98581992539645202</v>
      </c>
      <c r="D180">
        <f t="shared" si="10"/>
        <v>-1.4281572502415175E-2</v>
      </c>
      <c r="E180">
        <f t="shared" si="11"/>
        <v>2.1330794542722328E-4</v>
      </c>
      <c r="G180">
        <v>164</v>
      </c>
    </row>
    <row r="181" spans="1:7" x14ac:dyDescent="0.25">
      <c r="A181" s="3">
        <v>41344</v>
      </c>
      <c r="B181">
        <v>2592.37</v>
      </c>
      <c r="C181">
        <f t="shared" si="9"/>
        <v>0.99441488647566301</v>
      </c>
      <c r="D181">
        <f t="shared" si="10"/>
        <v>-5.6007685882940366E-3</v>
      </c>
      <c r="E181">
        <f t="shared" si="11"/>
        <v>3.5096878245452983E-5</v>
      </c>
      <c r="G181">
        <v>165</v>
      </c>
    </row>
    <row r="182" spans="1:7" x14ac:dyDescent="0.25">
      <c r="A182" s="3">
        <v>41341</v>
      </c>
      <c r="B182">
        <v>2606.9299999999998</v>
      </c>
      <c r="C182">
        <f t="shared" si="9"/>
        <v>0.99520897277322207</v>
      </c>
      <c r="D182">
        <f t="shared" si="10"/>
        <v>-4.8025409876030611E-3</v>
      </c>
      <c r="E182">
        <f t="shared" si="11"/>
        <v>2.6276226933076897E-5</v>
      </c>
      <c r="G182">
        <v>166</v>
      </c>
    </row>
    <row r="183" spans="1:7" x14ac:dyDescent="0.25">
      <c r="A183" s="3">
        <v>41340</v>
      </c>
      <c r="B183">
        <v>2619.48</v>
      </c>
      <c r="C183">
        <f t="shared" si="9"/>
        <v>0.98840842200588641</v>
      </c>
      <c r="D183">
        <f t="shared" si="10"/>
        <v>-1.1659284056264299E-2</v>
      </c>
      <c r="E183">
        <f t="shared" si="11"/>
        <v>1.4358695180320886E-4</v>
      </c>
      <c r="G183">
        <v>167</v>
      </c>
    </row>
    <row r="184" spans="1:7" x14ac:dyDescent="0.25">
      <c r="A184" s="3">
        <v>41339</v>
      </c>
      <c r="B184">
        <v>2650.2</v>
      </c>
      <c r="C184">
        <f t="shared" si="9"/>
        <v>1.0104429981584635</v>
      </c>
      <c r="D184">
        <f t="shared" si="10"/>
        <v>1.0388846729108336E-2</v>
      </c>
      <c r="E184">
        <f t="shared" si="11"/>
        <v>1.0131134080077941E-4</v>
      </c>
      <c r="G184">
        <v>168</v>
      </c>
    </row>
    <row r="185" spans="1:7" x14ac:dyDescent="0.25">
      <c r="A185" s="3">
        <v>41338</v>
      </c>
      <c r="B185">
        <v>2622.81</v>
      </c>
      <c r="C185">
        <f t="shared" si="9"/>
        <v>1.0302821991420896</v>
      </c>
      <c r="D185">
        <f t="shared" si="10"/>
        <v>2.98327444655484E-2</v>
      </c>
      <c r="E185">
        <f t="shared" si="11"/>
        <v>8.7079590771684098E-4</v>
      </c>
      <c r="G185">
        <v>169</v>
      </c>
    </row>
    <row r="186" spans="1:7" x14ac:dyDescent="0.25">
      <c r="A186" s="3">
        <v>41337</v>
      </c>
      <c r="B186">
        <v>2545.7199999999998</v>
      </c>
      <c r="C186">
        <f t="shared" si="9"/>
        <v>0.95386759790770514</v>
      </c>
      <c r="D186">
        <f t="shared" si="10"/>
        <v>-4.7230403425821868E-2</v>
      </c>
      <c r="E186">
        <f t="shared" si="11"/>
        <v>2.261373088386785E-3</v>
      </c>
      <c r="G186">
        <v>170</v>
      </c>
    </row>
    <row r="187" spans="1:7" x14ac:dyDescent="0.25">
      <c r="A187" s="3">
        <v>41334</v>
      </c>
      <c r="B187">
        <v>2668.84</v>
      </c>
      <c r="C187">
        <f t="shared" si="9"/>
        <v>0.99832044678359955</v>
      </c>
      <c r="D187">
        <f t="shared" si="10"/>
        <v>-1.6809652471791918E-3</v>
      </c>
      <c r="E187">
        <f t="shared" si="11"/>
        <v>4.0178538387586075E-6</v>
      </c>
      <c r="G187">
        <v>171</v>
      </c>
    </row>
    <row r="188" spans="1:7" x14ac:dyDescent="0.25">
      <c r="A188" s="3">
        <v>41333</v>
      </c>
      <c r="B188">
        <v>2673.33</v>
      </c>
      <c r="C188">
        <f t="shared" si="9"/>
        <v>1.0303120230625742</v>
      </c>
      <c r="D188">
        <f t="shared" si="10"/>
        <v>2.9861691378206181E-2</v>
      </c>
      <c r="E188">
        <f t="shared" si="11"/>
        <v>8.7250514907606604E-4</v>
      </c>
      <c r="G188">
        <v>172</v>
      </c>
    </row>
    <row r="189" spans="1:7" x14ac:dyDescent="0.25">
      <c r="A189" s="3">
        <v>41332</v>
      </c>
      <c r="B189">
        <v>2594.6799999999998</v>
      </c>
      <c r="C189">
        <f t="shared" si="9"/>
        <v>1.0105507499250268</v>
      </c>
      <c r="D189">
        <f t="shared" si="10"/>
        <v>1.049547918828104E-2</v>
      </c>
      <c r="E189">
        <f t="shared" si="11"/>
        <v>1.0346929807146613E-4</v>
      </c>
      <c r="G189">
        <v>173</v>
      </c>
    </row>
    <row r="190" spans="1:7" x14ac:dyDescent="0.25">
      <c r="A190" s="3">
        <v>41331</v>
      </c>
      <c r="B190">
        <v>2567.59</v>
      </c>
      <c r="C190">
        <f t="shared" si="9"/>
        <v>0.98565429027701001</v>
      </c>
      <c r="D190">
        <f t="shared" si="10"/>
        <v>-1.444960424081166E-2</v>
      </c>
      <c r="E190">
        <f t="shared" si="11"/>
        <v>2.1824440926551821E-4</v>
      </c>
      <c r="G190">
        <v>174</v>
      </c>
    </row>
    <row r="191" spans="1:7" x14ac:dyDescent="0.25">
      <c r="A191" s="3">
        <v>41330</v>
      </c>
      <c r="B191">
        <v>2604.96</v>
      </c>
      <c r="C191">
        <f t="shared" si="9"/>
        <v>1.0032195948548102</v>
      </c>
      <c r="D191">
        <f t="shared" si="10"/>
        <v>3.2144230570513516E-3</v>
      </c>
      <c r="E191">
        <f t="shared" si="11"/>
        <v>8.3574751899048791E-6</v>
      </c>
      <c r="G191">
        <v>175</v>
      </c>
    </row>
    <row r="192" spans="1:7" x14ac:dyDescent="0.25">
      <c r="A192" s="3">
        <v>41327</v>
      </c>
      <c r="B192">
        <v>2596.6</v>
      </c>
      <c r="C192">
        <f t="shared" si="9"/>
        <v>0.99465629848116288</v>
      </c>
      <c r="D192">
        <f t="shared" si="10"/>
        <v>-5.3580301599149768E-3</v>
      </c>
      <c r="E192">
        <f t="shared" si="11"/>
        <v>3.2279708177607431E-5</v>
      </c>
      <c r="G192">
        <v>176</v>
      </c>
    </row>
    <row r="193" spans="1:7" x14ac:dyDescent="0.25">
      <c r="A193" s="3">
        <v>41326</v>
      </c>
      <c r="B193">
        <v>2610.5500000000002</v>
      </c>
      <c r="C193">
        <f t="shared" si="9"/>
        <v>0.96592590948110002</v>
      </c>
      <c r="D193">
        <f t="shared" si="10"/>
        <v>-3.466814597081181E-2</v>
      </c>
      <c r="E193">
        <f t="shared" si="11"/>
        <v>1.2244148148679516E-3</v>
      </c>
      <c r="G193">
        <v>177</v>
      </c>
    </row>
    <row r="194" spans="1:7" x14ac:dyDescent="0.25">
      <c r="A194" s="3">
        <v>41325</v>
      </c>
      <c r="B194">
        <v>2702.64</v>
      </c>
      <c r="C194">
        <f t="shared" si="9"/>
        <v>1.0063412036743979</v>
      </c>
      <c r="D194">
        <f t="shared" si="10"/>
        <v>6.3211828352822399E-3</v>
      </c>
      <c r="E194">
        <f t="shared" si="11"/>
        <v>3.5972280445648489E-5</v>
      </c>
      <c r="G194">
        <v>178</v>
      </c>
    </row>
    <row r="195" spans="1:7" x14ac:dyDescent="0.25">
      <c r="A195" s="3">
        <v>41324</v>
      </c>
      <c r="B195">
        <v>2685.61</v>
      </c>
      <c r="C195">
        <f t="shared" si="9"/>
        <v>0.98105550015159992</v>
      </c>
      <c r="D195">
        <f t="shared" si="10"/>
        <v>-1.9126245938999829E-2</v>
      </c>
      <c r="E195">
        <f t="shared" si="11"/>
        <v>3.7829235424691855E-4</v>
      </c>
      <c r="G195">
        <v>179</v>
      </c>
    </row>
    <row r="196" spans="1:7" x14ac:dyDescent="0.25">
      <c r="A196" s="3">
        <v>41323</v>
      </c>
      <c r="B196">
        <v>2737.47</v>
      </c>
      <c r="C196">
        <f t="shared" si="9"/>
        <v>0.98764305196773128</v>
      </c>
      <c r="D196">
        <f t="shared" si="10"/>
        <v>-1.243392994632244E-2</v>
      </c>
      <c r="E196">
        <f t="shared" si="11"/>
        <v>1.627518464308711E-4</v>
      </c>
      <c r="G196">
        <v>180</v>
      </c>
    </row>
    <row r="197" spans="1:7" x14ac:dyDescent="0.25">
      <c r="A197" s="3">
        <v>41313</v>
      </c>
      <c r="B197">
        <v>2771.72</v>
      </c>
      <c r="C197">
        <f t="shared" si="9"/>
        <v>1.0042936804994438</v>
      </c>
      <c r="D197">
        <f t="shared" si="10"/>
        <v>4.2844889543076784E-3</v>
      </c>
      <c r="E197">
        <f t="shared" si="11"/>
        <v>1.5689487025181277E-5</v>
      </c>
      <c r="G197">
        <v>181</v>
      </c>
    </row>
    <row r="198" spans="1:7" x14ac:dyDescent="0.25">
      <c r="A198" s="3">
        <v>41312</v>
      </c>
      <c r="B198">
        <v>2759.87</v>
      </c>
      <c r="C198">
        <f t="shared" si="9"/>
        <v>0.99424678655830301</v>
      </c>
      <c r="D198">
        <f t="shared" si="10"/>
        <v>-5.7698269254056554E-3</v>
      </c>
      <c r="E198">
        <f t="shared" si="11"/>
        <v>3.7128550674416908E-5</v>
      </c>
      <c r="G198">
        <v>182</v>
      </c>
    </row>
    <row r="199" spans="1:7" x14ac:dyDescent="0.25">
      <c r="A199" s="3">
        <v>41311</v>
      </c>
      <c r="B199">
        <v>2775.84</v>
      </c>
      <c r="C199">
        <f t="shared" si="9"/>
        <v>1.0015045081124376</v>
      </c>
      <c r="D199">
        <f t="shared" si="10"/>
        <v>1.5033774740018343E-3</v>
      </c>
      <c r="E199">
        <f t="shared" si="11"/>
        <v>1.3921267986214369E-6</v>
      </c>
      <c r="G199">
        <v>183</v>
      </c>
    </row>
    <row r="200" spans="1:7" x14ac:dyDescent="0.25">
      <c r="A200" s="3">
        <v>41310</v>
      </c>
      <c r="B200">
        <v>2771.67</v>
      </c>
      <c r="C200">
        <f t="shared" si="9"/>
        <v>1.0086025261732949</v>
      </c>
      <c r="D200">
        <f t="shared" si="10"/>
        <v>8.5657352907985707E-3</v>
      </c>
      <c r="E200">
        <f t="shared" si="11"/>
        <v>6.7934553974880512E-5</v>
      </c>
      <c r="G200">
        <v>184</v>
      </c>
    </row>
    <row r="201" spans="1:7" x14ac:dyDescent="0.25">
      <c r="A201" s="3">
        <v>41309</v>
      </c>
      <c r="B201">
        <v>2748.03</v>
      </c>
      <c r="C201">
        <f t="shared" si="9"/>
        <v>1.0017168977735007</v>
      </c>
      <c r="D201">
        <f t="shared" si="10"/>
        <v>1.7154255893373162E-3</v>
      </c>
      <c r="E201">
        <f t="shared" si="11"/>
        <v>1.9374756568445743E-6</v>
      </c>
      <c r="G201">
        <v>185</v>
      </c>
    </row>
    <row r="202" spans="1:7" x14ac:dyDescent="0.25">
      <c r="A202" s="3">
        <v>41306</v>
      </c>
      <c r="B202">
        <v>2743.32</v>
      </c>
      <c r="C202">
        <f t="shared" si="9"/>
        <v>1.0210057762162805</v>
      </c>
      <c r="D202">
        <f t="shared" si="10"/>
        <v>2.0788196577182151E-2</v>
      </c>
      <c r="E202">
        <f t="shared" si="11"/>
        <v>4.1880408255703391E-4</v>
      </c>
      <c r="G202">
        <v>186</v>
      </c>
    </row>
    <row r="203" spans="1:7" x14ac:dyDescent="0.25">
      <c r="A203" s="3">
        <v>41305</v>
      </c>
      <c r="B203">
        <v>2686.88</v>
      </c>
      <c r="C203">
        <f t="shared" si="9"/>
        <v>0.99931937620643363</v>
      </c>
      <c r="D203">
        <f t="shared" si="10"/>
        <v>-6.8085552309360756E-4</v>
      </c>
      <c r="E203">
        <f t="shared" si="11"/>
        <v>1.0087164439072348E-6</v>
      </c>
      <c r="G203">
        <v>187</v>
      </c>
    </row>
    <row r="204" spans="1:7" x14ac:dyDescent="0.25">
      <c r="A204" s="3">
        <v>41304</v>
      </c>
      <c r="B204">
        <v>2688.71</v>
      </c>
      <c r="C204">
        <f t="shared" si="9"/>
        <v>1.0047984393860689</v>
      </c>
      <c r="D204">
        <f t="shared" si="10"/>
        <v>4.7869635718220584E-3</v>
      </c>
      <c r="E204">
        <f t="shared" si="11"/>
        <v>1.9922567376481626E-5</v>
      </c>
      <c r="G204">
        <v>188</v>
      </c>
    </row>
    <row r="205" spans="1:7" x14ac:dyDescent="0.25">
      <c r="A205" s="3">
        <v>41303</v>
      </c>
      <c r="B205">
        <v>2675.87</v>
      </c>
      <c r="C205">
        <f t="shared" si="9"/>
        <v>1.0090540224597075</v>
      </c>
      <c r="D205">
        <f t="shared" si="10"/>
        <v>9.0132805325837603E-3</v>
      </c>
      <c r="E205">
        <f t="shared" si="11"/>
        <v>7.551240313861394E-5</v>
      </c>
      <c r="G205">
        <v>189</v>
      </c>
    </row>
    <row r="206" spans="1:7" x14ac:dyDescent="0.25">
      <c r="A206" s="3">
        <v>41302</v>
      </c>
      <c r="B206">
        <v>2651.86</v>
      </c>
      <c r="C206">
        <f t="shared" si="9"/>
        <v>1.0311820723498739</v>
      </c>
      <c r="D206">
        <f t="shared" si="10"/>
        <v>3.070578726079436E-2</v>
      </c>
      <c r="E206">
        <f t="shared" si="11"/>
        <v>9.2308378978511025E-4</v>
      </c>
      <c r="G206">
        <v>190</v>
      </c>
    </row>
    <row r="207" spans="1:7" x14ac:dyDescent="0.25">
      <c r="A207" s="3">
        <v>41299</v>
      </c>
      <c r="B207">
        <v>2571.67</v>
      </c>
      <c r="C207">
        <f t="shared" si="9"/>
        <v>0.99570999903203949</v>
      </c>
      <c r="D207">
        <f t="shared" si="10"/>
        <v>-4.2992294249633283E-3</v>
      </c>
      <c r="E207">
        <f t="shared" si="11"/>
        <v>2.1369564864687886E-5</v>
      </c>
      <c r="G207">
        <v>191</v>
      </c>
    </row>
    <row r="208" spans="1:7" x14ac:dyDescent="0.25">
      <c r="A208" s="3">
        <v>41298</v>
      </c>
      <c r="B208">
        <v>2582.75</v>
      </c>
      <c r="C208">
        <f t="shared" si="9"/>
        <v>0.99052334455753877</v>
      </c>
      <c r="D208">
        <f t="shared" si="10"/>
        <v>-9.5218446633744628E-3</v>
      </c>
      <c r="E208">
        <f t="shared" si="11"/>
        <v>9.6930678490237906E-5</v>
      </c>
      <c r="G208">
        <v>192</v>
      </c>
    </row>
    <row r="209" spans="1:7" x14ac:dyDescent="0.25">
      <c r="A209" s="3">
        <v>41297</v>
      </c>
      <c r="B209">
        <v>2607.46</v>
      </c>
      <c r="C209">
        <f t="shared" si="9"/>
        <v>1.0040663868458546</v>
      </c>
      <c r="D209">
        <f t="shared" si="10"/>
        <v>4.0581414399796746E-3</v>
      </c>
      <c r="E209">
        <f t="shared" si="11"/>
        <v>1.3947597155376509E-5</v>
      </c>
      <c r="G209">
        <v>193</v>
      </c>
    </row>
    <row r="210" spans="1:7" x14ac:dyDescent="0.25">
      <c r="A210" s="3">
        <v>41296</v>
      </c>
      <c r="B210">
        <v>2596.9</v>
      </c>
      <c r="C210">
        <f t="shared" ref="C210:C253" si="12">B210/B211</f>
        <v>0.99463786433796775</v>
      </c>
      <c r="D210">
        <f t="shared" ref="D210:D253" si="13">LN(C210)</f>
        <v>-5.3765635106282142E-3</v>
      </c>
      <c r="E210">
        <f t="shared" ref="E210:E253" si="14">(D210-$D$7)^2</f>
        <v>3.249064699431861E-5</v>
      </c>
      <c r="G210">
        <v>194</v>
      </c>
    </row>
    <row r="211" spans="1:7" x14ac:dyDescent="0.25">
      <c r="A211" s="3">
        <v>41295</v>
      </c>
      <c r="B211">
        <v>2610.9</v>
      </c>
      <c r="C211">
        <f t="shared" si="12"/>
        <v>1.0059566008075702</v>
      </c>
      <c r="D211">
        <f t="shared" si="13"/>
        <v>5.9389303966479656E-3</v>
      </c>
      <c r="E211">
        <f t="shared" si="14"/>
        <v>3.1533134426830051E-5</v>
      </c>
      <c r="G211">
        <v>195</v>
      </c>
    </row>
    <row r="212" spans="1:7" x14ac:dyDescent="0.25">
      <c r="A212" s="3">
        <v>41292</v>
      </c>
      <c r="B212">
        <v>2595.44</v>
      </c>
      <c r="C212">
        <f t="shared" si="12"/>
        <v>1.0167191588711826</v>
      </c>
      <c r="D212">
        <f t="shared" si="13"/>
        <v>1.6580932294914461E-2</v>
      </c>
      <c r="E212">
        <f t="shared" si="14"/>
        <v>2.6430432452746635E-4</v>
      </c>
      <c r="G212">
        <v>196</v>
      </c>
    </row>
    <row r="213" spans="1:7" x14ac:dyDescent="0.25">
      <c r="A213" s="3">
        <v>41291</v>
      </c>
      <c r="B213">
        <v>2552.7600000000002</v>
      </c>
      <c r="C213">
        <f t="shared" si="12"/>
        <v>0.9905591190063211</v>
      </c>
      <c r="D213">
        <f t="shared" si="13"/>
        <v>-9.4857286011264894E-3</v>
      </c>
      <c r="E213">
        <f t="shared" si="14"/>
        <v>9.6220833186833976E-5</v>
      </c>
      <c r="G213">
        <v>197</v>
      </c>
    </row>
    <row r="214" spans="1:7" x14ac:dyDescent="0.25">
      <c r="A214" s="3">
        <v>41290</v>
      </c>
      <c r="B214">
        <v>2577.09</v>
      </c>
      <c r="C214">
        <f t="shared" si="12"/>
        <v>0.99276925566093699</v>
      </c>
      <c r="D214">
        <f t="shared" si="13"/>
        <v>-7.2570128748857309E-3</v>
      </c>
      <c r="E214">
        <f t="shared" si="14"/>
        <v>5.7464073002951893E-5</v>
      </c>
      <c r="G214">
        <v>198</v>
      </c>
    </row>
    <row r="215" spans="1:7" x14ac:dyDescent="0.25">
      <c r="A215" s="3">
        <v>41289</v>
      </c>
      <c r="B215">
        <v>2595.86</v>
      </c>
      <c r="C215">
        <f t="shared" si="12"/>
        <v>1.007033320014121</v>
      </c>
      <c r="D215">
        <f t="shared" si="13"/>
        <v>7.0087015843699361E-3</v>
      </c>
      <c r="E215">
        <f t="shared" si="14"/>
        <v>4.4692010567831805E-5</v>
      </c>
      <c r="G215">
        <v>199</v>
      </c>
    </row>
    <row r="216" spans="1:7" x14ac:dyDescent="0.25">
      <c r="A216" s="3">
        <v>41288</v>
      </c>
      <c r="B216">
        <v>2577.73</v>
      </c>
      <c r="C216">
        <f t="shared" si="12"/>
        <v>1.0380552747832461</v>
      </c>
      <c r="D216">
        <f t="shared" si="13"/>
        <v>3.7349034562168072E-2</v>
      </c>
      <c r="E216">
        <f t="shared" si="14"/>
        <v>1.3708907099791372E-3</v>
      </c>
      <c r="G216">
        <v>200</v>
      </c>
    </row>
    <row r="217" spans="1:7" x14ac:dyDescent="0.25">
      <c r="A217" s="3">
        <v>41285</v>
      </c>
      <c r="B217">
        <v>2483.23</v>
      </c>
      <c r="C217">
        <f t="shared" si="12"/>
        <v>0.98129275222578305</v>
      </c>
      <c r="D217">
        <f t="shared" si="13"/>
        <v>-1.8884441687331766E-2</v>
      </c>
      <c r="E217">
        <f t="shared" si="14"/>
        <v>3.6894476428696955E-4</v>
      </c>
      <c r="G217">
        <v>201</v>
      </c>
    </row>
    <row r="218" spans="1:7" x14ac:dyDescent="0.25">
      <c r="A218" s="3">
        <v>41284</v>
      </c>
      <c r="B218">
        <v>2530.5700000000002</v>
      </c>
      <c r="C218">
        <f t="shared" si="12"/>
        <v>1.0017576292589851</v>
      </c>
      <c r="D218">
        <f t="shared" si="13"/>
        <v>1.7560864362215431E-3</v>
      </c>
      <c r="E218">
        <f t="shared" si="14"/>
        <v>2.0523232573310486E-6</v>
      </c>
      <c r="G218">
        <v>202</v>
      </c>
    </row>
    <row r="219" spans="1:7" x14ac:dyDescent="0.25">
      <c r="A219" s="3">
        <v>41283</v>
      </c>
      <c r="B219">
        <v>2526.13</v>
      </c>
      <c r="C219">
        <f t="shared" si="12"/>
        <v>1.0003167902808743</v>
      </c>
      <c r="D219">
        <f t="shared" si="13"/>
        <v>3.1674011342801127E-4</v>
      </c>
      <c r="E219">
        <f t="shared" si="14"/>
        <v>4.5604758703292108E-11</v>
      </c>
      <c r="G219">
        <v>203</v>
      </c>
    </row>
    <row r="220" spans="1:7" x14ac:dyDescent="0.25">
      <c r="A220" s="3">
        <v>41282</v>
      </c>
      <c r="B220">
        <v>2525.33</v>
      </c>
      <c r="C220">
        <f t="shared" si="12"/>
        <v>0.99579651339319164</v>
      </c>
      <c r="D220">
        <f t="shared" si="13"/>
        <v>-4.2123460925044135E-3</v>
      </c>
      <c r="E220">
        <f t="shared" si="14"/>
        <v>2.0573838477299037E-5</v>
      </c>
      <c r="G220">
        <v>204</v>
      </c>
    </row>
    <row r="221" spans="1:7" x14ac:dyDescent="0.25">
      <c r="A221" s="3">
        <v>41281</v>
      </c>
      <c r="B221">
        <v>2535.9899999999998</v>
      </c>
      <c r="C221">
        <f t="shared" si="12"/>
        <v>1.0045872104769036</v>
      </c>
      <c r="D221">
        <f t="shared" si="13"/>
        <v>4.5767212920906145E-3</v>
      </c>
      <c r="E221">
        <f t="shared" si="14"/>
        <v>1.8089948837768147E-5</v>
      </c>
      <c r="G221">
        <v>205</v>
      </c>
    </row>
    <row r="222" spans="1:7" x14ac:dyDescent="0.25">
      <c r="A222" s="3">
        <v>41278</v>
      </c>
      <c r="B222">
        <v>2524.41</v>
      </c>
      <c r="C222">
        <f t="shared" si="12"/>
        <v>1.000578687647397</v>
      </c>
      <c r="D222">
        <f t="shared" si="13"/>
        <v>5.785202722691996E-4</v>
      </c>
      <c r="E222">
        <f t="shared" si="14"/>
        <v>6.5038785669684966E-8</v>
      </c>
      <c r="G222">
        <v>206</v>
      </c>
    </row>
    <row r="223" spans="1:7" x14ac:dyDescent="0.25">
      <c r="A223" s="3">
        <v>41274</v>
      </c>
      <c r="B223">
        <v>2522.9499999999998</v>
      </c>
      <c r="C223">
        <f t="shared" si="12"/>
        <v>1.0172980383460009</v>
      </c>
      <c r="D223">
        <f t="shared" si="13"/>
        <v>1.7150130521202185E-2</v>
      </c>
      <c r="E223">
        <f t="shared" si="14"/>
        <v>2.8313572209296279E-4</v>
      </c>
      <c r="G223">
        <v>207</v>
      </c>
    </row>
    <row r="224" spans="1:7" x14ac:dyDescent="0.25">
      <c r="A224" s="3">
        <v>41271</v>
      </c>
      <c r="B224">
        <v>2480.0500000000002</v>
      </c>
      <c r="C224">
        <f t="shared" si="12"/>
        <v>1.0145054998997787</v>
      </c>
      <c r="D224">
        <f t="shared" si="13"/>
        <v>1.4401301560095564E-2</v>
      </c>
      <c r="E224">
        <f t="shared" si="14"/>
        <v>1.9818468701353703E-4</v>
      </c>
      <c r="G224">
        <v>208</v>
      </c>
    </row>
    <row r="225" spans="1:7" x14ac:dyDescent="0.25">
      <c r="A225" s="3">
        <v>41270</v>
      </c>
      <c r="B225">
        <v>2444.59</v>
      </c>
      <c r="C225">
        <f t="shared" si="12"/>
        <v>0.99469812257387236</v>
      </c>
      <c r="D225">
        <f t="shared" si="13"/>
        <v>-5.315982255054006E-3</v>
      </c>
      <c r="E225">
        <f t="shared" si="14"/>
        <v>3.1803683892890283E-5</v>
      </c>
      <c r="G225">
        <v>209</v>
      </c>
    </row>
    <row r="226" spans="1:7" x14ac:dyDescent="0.25">
      <c r="A226" s="3">
        <v>41269</v>
      </c>
      <c r="B226">
        <v>2457.62</v>
      </c>
      <c r="C226">
        <f t="shared" si="12"/>
        <v>1.0037657245548113</v>
      </c>
      <c r="D226">
        <f t="shared" si="13"/>
        <v>3.7586519641580494E-3</v>
      </c>
      <c r="E226">
        <f t="shared" si="14"/>
        <v>1.1800315439707309E-5</v>
      </c>
      <c r="G226">
        <v>210</v>
      </c>
    </row>
    <row r="227" spans="1:7" x14ac:dyDescent="0.25">
      <c r="A227" s="3">
        <v>41268</v>
      </c>
      <c r="B227">
        <v>2448.4</v>
      </c>
      <c r="C227">
        <f t="shared" si="12"/>
        <v>1.0282124289229893</v>
      </c>
      <c r="D227">
        <f t="shared" si="13"/>
        <v>2.7821788606461548E-2</v>
      </c>
      <c r="E227">
        <f t="shared" si="14"/>
        <v>7.5615624789744456E-4</v>
      </c>
      <c r="G227">
        <v>211</v>
      </c>
    </row>
    <row r="228" spans="1:7" x14ac:dyDescent="0.25">
      <c r="A228" s="3">
        <v>41267</v>
      </c>
      <c r="B228">
        <v>2381.2199999999998</v>
      </c>
      <c r="C228">
        <f t="shared" si="12"/>
        <v>1.0038870151770656</v>
      </c>
      <c r="D228">
        <f t="shared" si="13"/>
        <v>3.8794802528371594E-3</v>
      </c>
      <c r="E228">
        <f t="shared" si="14"/>
        <v>1.2645043614295322E-5</v>
      </c>
      <c r="G228">
        <v>212</v>
      </c>
    </row>
    <row r="229" spans="1:7" x14ac:dyDescent="0.25">
      <c r="A229" s="3">
        <v>41264</v>
      </c>
      <c r="B229">
        <v>2372</v>
      </c>
      <c r="C229">
        <f t="shared" si="12"/>
        <v>0.9946243322347178</v>
      </c>
      <c r="D229">
        <f t="shared" si="13"/>
        <v>-5.3901686585805259E-3</v>
      </c>
      <c r="E229">
        <f t="shared" si="14"/>
        <v>3.264593232530816E-5</v>
      </c>
      <c r="G229">
        <v>213</v>
      </c>
    </row>
    <row r="230" spans="1:7" x14ac:dyDescent="0.25">
      <c r="A230" s="3">
        <v>41263</v>
      </c>
      <c r="B230">
        <v>2384.8200000000002</v>
      </c>
      <c r="C230">
        <f t="shared" si="12"/>
        <v>1.0057821020534687</v>
      </c>
      <c r="D230">
        <f t="shared" si="13"/>
        <v>5.7654498603427889E-3</v>
      </c>
      <c r="E230">
        <f t="shared" si="14"/>
        <v>2.9614891825293019E-5</v>
      </c>
      <c r="G230">
        <v>214</v>
      </c>
    </row>
    <row r="231" spans="1:7" x14ac:dyDescent="0.25">
      <c r="A231" s="3">
        <v>41262</v>
      </c>
      <c r="B231">
        <v>2371.11</v>
      </c>
      <c r="C231">
        <f t="shared" si="12"/>
        <v>1.0012626049355609</v>
      </c>
      <c r="D231">
        <f t="shared" si="13"/>
        <v>1.2618085202506474E-3</v>
      </c>
      <c r="E231">
        <f t="shared" si="14"/>
        <v>8.804355595654181E-7</v>
      </c>
      <c r="G231">
        <v>215</v>
      </c>
    </row>
    <row r="232" spans="1:7" x14ac:dyDescent="0.25">
      <c r="A232" s="3">
        <v>41261</v>
      </c>
      <c r="B232">
        <v>2368.12</v>
      </c>
      <c r="C232">
        <f t="shared" si="12"/>
        <v>1.0005999915494148</v>
      </c>
      <c r="D232">
        <f t="shared" si="13"/>
        <v>5.9981162644970397E-4</v>
      </c>
      <c r="E232">
        <f t="shared" si="14"/>
        <v>7.6351849045055538E-8</v>
      </c>
      <c r="G232">
        <v>216</v>
      </c>
    </row>
    <row r="233" spans="1:7" x14ac:dyDescent="0.25">
      <c r="A233" s="3">
        <v>41260</v>
      </c>
      <c r="B233">
        <v>2366.6999999999998</v>
      </c>
      <c r="C233">
        <f t="shared" si="12"/>
        <v>1.0045970278495842</v>
      </c>
      <c r="D233">
        <f t="shared" si="13"/>
        <v>4.5864937883041343E-3</v>
      </c>
      <c r="E233">
        <f t="shared" si="14"/>
        <v>1.8173173649460791E-5</v>
      </c>
      <c r="G233">
        <v>217</v>
      </c>
    </row>
    <row r="234" spans="1:7" x14ac:dyDescent="0.25">
      <c r="A234" s="3">
        <v>41257</v>
      </c>
      <c r="B234">
        <v>2355.87</v>
      </c>
      <c r="C234">
        <f t="shared" si="12"/>
        <v>1.050489601541041</v>
      </c>
      <c r="D234">
        <f t="shared" si="13"/>
        <v>4.9256342673289925E-2</v>
      </c>
      <c r="E234">
        <f t="shared" si="14"/>
        <v>2.3944237533696914E-3</v>
      </c>
      <c r="G234">
        <v>218</v>
      </c>
    </row>
    <row r="235" spans="1:7" x14ac:dyDescent="0.25">
      <c r="A235" s="3">
        <v>41256</v>
      </c>
      <c r="B235">
        <v>2242.64</v>
      </c>
      <c r="C235">
        <f t="shared" si="12"/>
        <v>0.98891862931426022</v>
      </c>
      <c r="D235">
        <f t="shared" si="13"/>
        <v>-1.114322646290241E-2</v>
      </c>
      <c r="E235">
        <f t="shared" si="14"/>
        <v>1.3148566081319958E-4</v>
      </c>
      <c r="G235">
        <v>219</v>
      </c>
    </row>
    <row r="236" spans="1:7" x14ac:dyDescent="0.25">
      <c r="A236" s="3">
        <v>41255</v>
      </c>
      <c r="B236">
        <v>2267.77</v>
      </c>
      <c r="C236">
        <f t="shared" si="12"/>
        <v>1.0041044941332742</v>
      </c>
      <c r="D236">
        <f t="shared" si="13"/>
        <v>4.0960936758029443E-3</v>
      </c>
      <c r="E236">
        <f t="shared" si="14"/>
        <v>1.4232514025759695E-5</v>
      </c>
      <c r="G236">
        <v>220</v>
      </c>
    </row>
    <row r="237" spans="1:7" x14ac:dyDescent="0.25">
      <c r="A237" s="3">
        <v>41254</v>
      </c>
      <c r="B237">
        <v>2258.5</v>
      </c>
      <c r="C237">
        <f t="shared" si="12"/>
        <v>0.99447392175425453</v>
      </c>
      <c r="D237">
        <f t="shared" si="13"/>
        <v>-5.5414035012518884E-3</v>
      </c>
      <c r="E237">
        <f t="shared" si="14"/>
        <v>3.4397013820464761E-5</v>
      </c>
      <c r="G237">
        <v>221</v>
      </c>
    </row>
    <row r="238" spans="1:7" x14ac:dyDescent="0.25">
      <c r="A238" s="3">
        <v>41253</v>
      </c>
      <c r="B238">
        <v>2271.0500000000002</v>
      </c>
      <c r="C238">
        <f t="shared" si="12"/>
        <v>1.0108111235735013</v>
      </c>
      <c r="D238">
        <f t="shared" si="13"/>
        <v>1.0753101193848947E-2</v>
      </c>
      <c r="E238">
        <f t="shared" si="14"/>
        <v>1.087767220088946E-4</v>
      </c>
      <c r="G238">
        <v>222</v>
      </c>
    </row>
    <row r="239" spans="1:7" x14ac:dyDescent="0.25">
      <c r="A239" s="3">
        <v>41250</v>
      </c>
      <c r="B239">
        <v>2246.7600000000002</v>
      </c>
      <c r="C239">
        <f t="shared" si="12"/>
        <v>1.0195861317843531</v>
      </c>
      <c r="D239">
        <f t="shared" si="13"/>
        <v>1.9396791803500363E-2</v>
      </c>
      <c r="E239">
        <f t="shared" si="14"/>
        <v>3.6379071797886864E-4</v>
      </c>
      <c r="G239">
        <v>223</v>
      </c>
    </row>
    <row r="240" spans="1:7" x14ac:dyDescent="0.25">
      <c r="A240" s="3">
        <v>41249</v>
      </c>
      <c r="B240">
        <v>2203.6</v>
      </c>
      <c r="C240">
        <f t="shared" si="12"/>
        <v>0.99806148884903156</v>
      </c>
      <c r="D240">
        <f t="shared" si="13"/>
        <v>-1.940392495440981E-3</v>
      </c>
      <c r="E240">
        <f t="shared" si="14"/>
        <v>5.1251786366116125E-6</v>
      </c>
      <c r="G240">
        <v>224</v>
      </c>
    </row>
    <row r="241" spans="1:7" x14ac:dyDescent="0.25">
      <c r="A241" s="3">
        <v>41248</v>
      </c>
      <c r="B241">
        <v>2207.88</v>
      </c>
      <c r="C241">
        <f t="shared" si="12"/>
        <v>1.0358484989232783</v>
      </c>
      <c r="D241">
        <f t="shared" si="13"/>
        <v>3.5220896583140822E-2</v>
      </c>
      <c r="E241">
        <f t="shared" si="14"/>
        <v>1.2178287598860881E-3</v>
      </c>
      <c r="G241">
        <v>225</v>
      </c>
    </row>
    <row r="242" spans="1:7" x14ac:dyDescent="0.25">
      <c r="A242" s="3">
        <v>41247</v>
      </c>
      <c r="B242">
        <v>2131.4699999999998</v>
      </c>
      <c r="C242">
        <f t="shared" si="12"/>
        <v>1.010726225193826</v>
      </c>
      <c r="D242">
        <f t="shared" si="13"/>
        <v>1.0669107316835522E-2</v>
      </c>
      <c r="E242">
        <f t="shared" si="14"/>
        <v>1.0703173056522278E-4</v>
      </c>
      <c r="G242">
        <v>226</v>
      </c>
    </row>
    <row r="243" spans="1:7" x14ac:dyDescent="0.25">
      <c r="A243" s="3">
        <v>41246</v>
      </c>
      <c r="B243">
        <v>2108.85</v>
      </c>
      <c r="C243">
        <f t="shared" si="12"/>
        <v>0.98560051596982701</v>
      </c>
      <c r="D243">
        <f t="shared" si="13"/>
        <v>-1.4504162694671545E-2</v>
      </c>
      <c r="E243">
        <f t="shared" si="14"/>
        <v>2.1985938060527951E-4</v>
      </c>
      <c r="G243">
        <v>227</v>
      </c>
    </row>
    <row r="244" spans="1:7" x14ac:dyDescent="0.25">
      <c r="A244" s="3">
        <v>41243</v>
      </c>
      <c r="B244">
        <v>2139.66</v>
      </c>
      <c r="C244">
        <f t="shared" si="12"/>
        <v>1.011334417303184</v>
      </c>
      <c r="D244">
        <f t="shared" si="13"/>
        <v>1.1270664080185051E-2</v>
      </c>
      <c r="E244">
        <f t="shared" si="14"/>
        <v>1.1984054933902187E-4</v>
      </c>
      <c r="G244">
        <v>228</v>
      </c>
    </row>
    <row r="245" spans="1:7" x14ac:dyDescent="0.25">
      <c r="A245" s="3">
        <v>41242</v>
      </c>
      <c r="B245">
        <v>2115.6799999999998</v>
      </c>
      <c r="C245">
        <f t="shared" si="12"/>
        <v>0.99366886471660187</v>
      </c>
      <c r="D245">
        <f t="shared" si="13"/>
        <v>-6.3512619149755992E-3</v>
      </c>
      <c r="E245">
        <f t="shared" si="14"/>
        <v>4.4552356418612719E-5</v>
      </c>
      <c r="G245">
        <v>229</v>
      </c>
    </row>
    <row r="246" spans="1:7" x14ac:dyDescent="0.25">
      <c r="A246" s="3">
        <v>41241</v>
      </c>
      <c r="B246">
        <v>2129.16</v>
      </c>
      <c r="C246">
        <f t="shared" si="12"/>
        <v>0.99001227541569026</v>
      </c>
      <c r="D246">
        <f t="shared" si="13"/>
        <v>-1.0037936520585348E-2</v>
      </c>
      <c r="E246">
        <f t="shared" si="14"/>
        <v>1.0735922674523244E-4</v>
      </c>
      <c r="G246">
        <v>230</v>
      </c>
    </row>
    <row r="247" spans="1:7" x14ac:dyDescent="0.25">
      <c r="A247" s="3">
        <v>41240</v>
      </c>
      <c r="B247">
        <v>2150.64</v>
      </c>
      <c r="C247">
        <f t="shared" si="12"/>
        <v>0.98852730281301704</v>
      </c>
      <c r="D247">
        <f t="shared" si="13"/>
        <v>-1.1539016304731999E-2</v>
      </c>
      <c r="E247">
        <f t="shared" si="14"/>
        <v>1.4071913276948343E-4</v>
      </c>
      <c r="G247">
        <v>231</v>
      </c>
    </row>
    <row r="248" spans="1:7" x14ac:dyDescent="0.25">
      <c r="A248" s="3">
        <v>41239</v>
      </c>
      <c r="B248">
        <v>2175.6</v>
      </c>
      <c r="C248">
        <f t="shared" si="12"/>
        <v>0.9922104456646661</v>
      </c>
      <c r="D248">
        <f t="shared" si="13"/>
        <v>-7.8200513892445252E-3</v>
      </c>
      <c r="E248">
        <f t="shared" si="14"/>
        <v>6.6317319176981457E-5</v>
      </c>
      <c r="G248">
        <v>232</v>
      </c>
    </row>
    <row r="249" spans="1:7" x14ac:dyDescent="0.25">
      <c r="A249" s="3">
        <v>41236</v>
      </c>
      <c r="B249">
        <v>2192.6799999999998</v>
      </c>
      <c r="C249">
        <f t="shared" si="12"/>
        <v>1.0069481757020504</v>
      </c>
      <c r="D249">
        <f t="shared" si="13"/>
        <v>6.9241483625032399E-3</v>
      </c>
      <c r="E249">
        <f t="shared" si="14"/>
        <v>4.3568648006930044E-5</v>
      </c>
      <c r="G249">
        <v>233</v>
      </c>
    </row>
    <row r="250" spans="1:7" x14ac:dyDescent="0.25">
      <c r="A250" s="3">
        <v>41235</v>
      </c>
      <c r="B250">
        <v>2177.5500000000002</v>
      </c>
      <c r="C250">
        <f t="shared" si="12"/>
        <v>0.99209531185931021</v>
      </c>
      <c r="D250">
        <f t="shared" si="13"/>
        <v>-7.9360958093632767E-3</v>
      </c>
      <c r="E250">
        <f t="shared" si="14"/>
        <v>6.822081131353676E-5</v>
      </c>
      <c r="G250">
        <v>234</v>
      </c>
    </row>
    <row r="251" spans="1:7" x14ac:dyDescent="0.25">
      <c r="A251" s="3">
        <v>41234</v>
      </c>
      <c r="B251">
        <v>2194.9</v>
      </c>
      <c r="C251">
        <f t="shared" si="12"/>
        <v>1.013866819408004</v>
      </c>
      <c r="D251">
        <f t="shared" si="13"/>
        <v>1.3771554736198887E-2</v>
      </c>
      <c r="E251">
        <f t="shared" si="14"/>
        <v>1.8085035792548149E-4</v>
      </c>
      <c r="G251">
        <v>235</v>
      </c>
    </row>
    <row r="252" spans="1:7" x14ac:dyDescent="0.25">
      <c r="A252" s="3">
        <v>41233</v>
      </c>
      <c r="B252">
        <v>2164.88</v>
      </c>
      <c r="C252">
        <f t="shared" si="12"/>
        <v>0.99535627913819902</v>
      </c>
      <c r="D252">
        <f t="shared" si="13"/>
        <v>-4.6545364294963603E-3</v>
      </c>
      <c r="E252">
        <f t="shared" si="14"/>
        <v>2.4780779420023656E-5</v>
      </c>
      <c r="G252">
        <v>236</v>
      </c>
    </row>
    <row r="253" spans="1:7" x14ac:dyDescent="0.25">
      <c r="A253" s="3">
        <v>41232</v>
      </c>
      <c r="B253">
        <v>2174.98</v>
      </c>
      <c r="C253">
        <f t="shared" si="12"/>
        <v>0.99896198857268848</v>
      </c>
      <c r="D253">
        <f t="shared" si="13"/>
        <v>-1.0385505342715513E-3</v>
      </c>
      <c r="E253">
        <f t="shared" si="14"/>
        <v>1.8551632511410715E-6</v>
      </c>
      <c r="G253">
        <v>237</v>
      </c>
    </row>
    <row r="254" spans="1:7" x14ac:dyDescent="0.25">
      <c r="A254" s="3">
        <v>41229</v>
      </c>
      <c r="B254">
        <v>2177.2399999999998</v>
      </c>
      <c r="G254">
        <v>238</v>
      </c>
    </row>
  </sheetData>
  <mergeCells count="3">
    <mergeCell ref="B4:C4"/>
    <mergeCell ref="D4:E4"/>
    <mergeCell ref="E15:F1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180"/>
  <sheetViews>
    <sheetView workbookViewId="0">
      <selection activeCell="M24" sqref="M24"/>
    </sheetView>
  </sheetViews>
  <sheetFormatPr defaultRowHeight="15" x14ac:dyDescent="0.25"/>
  <cols>
    <col min="1" max="1" width="28.625" customWidth="1"/>
    <col min="2" max="2" width="16" customWidth="1"/>
    <col min="3" max="3" width="16.75" customWidth="1"/>
    <col min="5" max="5" width="13" customWidth="1"/>
    <col min="6" max="6" width="11.125" customWidth="1"/>
    <col min="7" max="7" width="12" customWidth="1"/>
    <col min="10" max="10" width="17.875" customWidth="1"/>
    <col min="11" max="11" width="21.75" customWidth="1"/>
  </cols>
  <sheetData>
    <row r="1" spans="1:7" x14ac:dyDescent="0.25">
      <c r="A1" t="s">
        <v>21</v>
      </c>
    </row>
    <row r="4" spans="1:7" x14ac:dyDescent="0.25">
      <c r="A4" t="s">
        <v>42</v>
      </c>
      <c r="B4" t="s">
        <v>28</v>
      </c>
      <c r="C4" t="s">
        <v>29</v>
      </c>
    </row>
    <row r="5" spans="1:7" x14ac:dyDescent="0.25">
      <c r="A5" t="s">
        <v>22</v>
      </c>
      <c r="B5">
        <f>F6</f>
        <v>200</v>
      </c>
      <c r="E5" t="s">
        <v>61</v>
      </c>
      <c r="F5">
        <v>1</v>
      </c>
    </row>
    <row r="6" spans="1:7" x14ac:dyDescent="0.25">
      <c r="A6" t="s">
        <v>23</v>
      </c>
      <c r="B6">
        <f>$B$5-1</f>
        <v>199</v>
      </c>
      <c r="E6" t="s">
        <v>62</v>
      </c>
      <c r="F6">
        <v>200</v>
      </c>
    </row>
    <row r="7" spans="1:7" x14ac:dyDescent="0.25">
      <c r="A7" t="s">
        <v>24</v>
      </c>
      <c r="B7">
        <f>SUM(E17:E2165)/B6</f>
        <v>-4.6323240435008629E-4</v>
      </c>
      <c r="C7">
        <f>AVERAGE(G17:G2165)</f>
        <v>-4.6323240435008629E-4</v>
      </c>
    </row>
    <row r="8" spans="1:7" x14ac:dyDescent="0.25">
      <c r="A8" t="s">
        <v>25</v>
      </c>
      <c r="B8">
        <f>SUM(F17:F2165)/(B6-1)</f>
        <v>2.0653241712569864E-4</v>
      </c>
      <c r="C8">
        <f>_xlfn.VAR.S(G17:G2165)</f>
        <v>2.0653241712569853E-4</v>
      </c>
    </row>
    <row r="9" spans="1:7" x14ac:dyDescent="0.25">
      <c r="A9" t="s">
        <v>26</v>
      </c>
      <c r="B9">
        <f>SQRT(B8)</f>
        <v>1.4371235754996808E-2</v>
      </c>
      <c r="C9">
        <f>SQRT(C8)</f>
        <v>1.4371235754996802E-2</v>
      </c>
    </row>
    <row r="10" spans="1:7" x14ac:dyDescent="0.25">
      <c r="A10" t="s">
        <v>27</v>
      </c>
      <c r="B10">
        <f>B9*SQRT(B5)</f>
        <v>0.20323996512777631</v>
      </c>
      <c r="C10">
        <f>C9*SQRT(B5)</f>
        <v>0.20323996512777626</v>
      </c>
    </row>
    <row r="14" spans="1:7" x14ac:dyDescent="0.25">
      <c r="E14" s="21" t="s">
        <v>37</v>
      </c>
      <c r="F14" s="21"/>
      <c r="G14" s="7" t="s">
        <v>38</v>
      </c>
    </row>
    <row r="15" spans="1:7" x14ac:dyDescent="0.25">
      <c r="A15" s="8" t="s">
        <v>30</v>
      </c>
      <c r="B15" s="8" t="s">
        <v>31</v>
      </c>
      <c r="C15" s="8" t="s">
        <v>32</v>
      </c>
      <c r="D15" s="9" t="s">
        <v>35</v>
      </c>
      <c r="E15" s="8" t="s">
        <v>33</v>
      </c>
      <c r="F15" s="8" t="s">
        <v>34</v>
      </c>
      <c r="G15" s="8" t="s">
        <v>36</v>
      </c>
    </row>
    <row r="16" spans="1:7" x14ac:dyDescent="0.25">
      <c r="A16" s="10"/>
      <c r="B16" s="10" t="s">
        <v>32</v>
      </c>
      <c r="C16" s="10" t="s">
        <v>39</v>
      </c>
      <c r="D16" s="9"/>
      <c r="E16" s="10" t="s">
        <v>40</v>
      </c>
      <c r="F16" s="10" t="s">
        <v>41</v>
      </c>
      <c r="G16" s="10"/>
    </row>
    <row r="17" spans="1:16" x14ac:dyDescent="0.25">
      <c r="A17" s="3">
        <v>41593</v>
      </c>
      <c r="B17">
        <v>2350.73</v>
      </c>
      <c r="C17">
        <f>B17/B18</f>
        <v>1.020060750705142</v>
      </c>
      <c r="D17">
        <v>1</v>
      </c>
      <c r="E17">
        <f>IF(D17&gt;$B$6,0,LN(C17))</f>
        <v>1.9862185037427347E-2</v>
      </c>
      <c r="F17">
        <f>IF(D17&gt;$B$6,0,(E17-$B$7)^2)</f>
        <v>4.1312259418251025E-4</v>
      </c>
      <c r="G17">
        <f>IF(D17&lt;=$B$6,E17,"extra")</f>
        <v>1.9862185037427347E-2</v>
      </c>
    </row>
    <row r="18" spans="1:16" x14ac:dyDescent="0.25">
      <c r="A18" s="3">
        <v>41592</v>
      </c>
      <c r="B18">
        <v>2304.5</v>
      </c>
      <c r="C18">
        <f t="shared" ref="C18:C81" si="0">B18/B19</f>
        <v>1.0071587154519868</v>
      </c>
      <c r="D18">
        <v>2</v>
      </c>
      <c r="E18">
        <f t="shared" ref="E18:E81" si="1">IF(D18&gt;$B$6,0,LN(C18))</f>
        <v>7.1332134837516657E-3</v>
      </c>
      <c r="F18">
        <f t="shared" ref="F18:F81" si="2">IF(D18&gt;$B$6,0,(E18-$B$7)^2)</f>
        <v>5.7705990130858017E-5</v>
      </c>
      <c r="G18">
        <f t="shared" ref="G18:G81" si="3">IF(D18&lt;=$B$6,E18,"extra")</f>
        <v>7.1332134837516657E-3</v>
      </c>
    </row>
    <row r="19" spans="1:16" x14ac:dyDescent="0.25">
      <c r="A19" s="3">
        <v>41591</v>
      </c>
      <c r="B19">
        <v>2288.12</v>
      </c>
      <c r="C19">
        <f t="shared" si="0"/>
        <v>0.97782905982905977</v>
      </c>
      <c r="D19">
        <v>3</v>
      </c>
      <c r="E19">
        <f t="shared" si="1"/>
        <v>-2.2420409674935898E-2</v>
      </c>
      <c r="F19">
        <f t="shared" si="2"/>
        <v>4.8211763369193021E-4</v>
      </c>
      <c r="G19">
        <f t="shared" si="3"/>
        <v>-2.2420409674935898E-2</v>
      </c>
      <c r="I19" s="24" t="s">
        <v>64</v>
      </c>
      <c r="J19" s="24"/>
      <c r="K19" s="24"/>
      <c r="L19" s="24"/>
      <c r="M19" s="24"/>
      <c r="N19" s="24"/>
      <c r="O19" s="24"/>
      <c r="P19" s="24"/>
    </row>
    <row r="20" spans="1:16" x14ac:dyDescent="0.25">
      <c r="A20" s="3">
        <v>41590</v>
      </c>
      <c r="B20">
        <v>2340</v>
      </c>
      <c r="C20">
        <f t="shared" si="0"/>
        <v>1.0104106844452889</v>
      </c>
      <c r="D20">
        <v>4</v>
      </c>
      <c r="E20">
        <f t="shared" si="1"/>
        <v>1.0356866469027656E-2</v>
      </c>
      <c r="F20">
        <f t="shared" si="2"/>
        <v>1.1707453962967028E-4</v>
      </c>
      <c r="G20">
        <f t="shared" si="3"/>
        <v>1.0356866469027656E-2</v>
      </c>
      <c r="I20" s="24"/>
      <c r="J20" s="24"/>
      <c r="K20" s="24"/>
      <c r="L20" s="24"/>
      <c r="M20" s="24"/>
      <c r="N20" s="24"/>
      <c r="O20" s="24"/>
      <c r="P20" s="24"/>
    </row>
    <row r="21" spans="1:16" x14ac:dyDescent="0.25">
      <c r="A21" s="3">
        <v>41589</v>
      </c>
      <c r="B21">
        <v>2315.89</v>
      </c>
      <c r="C21">
        <f t="shared" si="0"/>
        <v>1.0034402825017874</v>
      </c>
      <c r="D21">
        <v>5</v>
      </c>
      <c r="E21">
        <f t="shared" si="1"/>
        <v>3.434378267555392E-3</v>
      </c>
      <c r="F21">
        <f t="shared" si="2"/>
        <v>1.5191368949751475E-5</v>
      </c>
      <c r="G21">
        <f t="shared" si="3"/>
        <v>3.434378267555392E-3</v>
      </c>
      <c r="I21" s="24"/>
      <c r="J21" s="24"/>
      <c r="K21" s="24"/>
      <c r="L21" s="24"/>
      <c r="M21" s="24"/>
      <c r="N21" s="24"/>
      <c r="O21" s="24"/>
      <c r="P21" s="24"/>
    </row>
    <row r="22" spans="1:16" x14ac:dyDescent="0.25">
      <c r="A22" s="3">
        <v>41586</v>
      </c>
      <c r="B22">
        <v>2307.9499999999998</v>
      </c>
      <c r="C22">
        <f t="shared" si="0"/>
        <v>0.98607164982589546</v>
      </c>
      <c r="D22">
        <v>6</v>
      </c>
      <c r="E22">
        <f t="shared" si="1"/>
        <v>-1.4026259853409686E-2</v>
      </c>
      <c r="F22">
        <f t="shared" si="2"/>
        <v>1.8395571358394418E-4</v>
      </c>
      <c r="G22">
        <f t="shared" si="3"/>
        <v>-1.4026259853409686E-2</v>
      </c>
      <c r="I22" s="24"/>
      <c r="J22" s="24"/>
      <c r="K22" s="24"/>
      <c r="L22" s="24"/>
      <c r="M22" s="24"/>
      <c r="N22" s="24"/>
      <c r="O22" s="24"/>
      <c r="P22" s="24"/>
    </row>
    <row r="23" spans="1:16" x14ac:dyDescent="0.25">
      <c r="A23" s="3">
        <v>41585</v>
      </c>
      <c r="B23">
        <v>2340.5500000000002</v>
      </c>
      <c r="C23">
        <f t="shared" si="0"/>
        <v>0.9944679784327638</v>
      </c>
      <c r="D23">
        <v>7</v>
      </c>
      <c r="E23">
        <f t="shared" si="1"/>
        <v>-5.5473798663635988E-3</v>
      </c>
      <c r="F23">
        <f t="shared" si="2"/>
        <v>2.5848555415498438E-5</v>
      </c>
      <c r="G23">
        <f t="shared" si="3"/>
        <v>-5.5473798663635988E-3</v>
      </c>
      <c r="I23" s="24"/>
      <c r="J23" s="24"/>
      <c r="K23" s="24"/>
      <c r="L23" s="24"/>
      <c r="M23" s="24"/>
      <c r="N23" s="24"/>
      <c r="O23" s="24"/>
      <c r="P23" s="24"/>
    </row>
    <row r="24" spans="1:16" x14ac:dyDescent="0.25">
      <c r="A24" s="3">
        <v>41584</v>
      </c>
      <c r="B24">
        <v>2353.5700000000002</v>
      </c>
      <c r="C24">
        <f t="shared" si="0"/>
        <v>0.98733099250347145</v>
      </c>
      <c r="D24">
        <v>8</v>
      </c>
      <c r="E24">
        <f t="shared" si="1"/>
        <v>-1.2749943686078052E-2</v>
      </c>
      <c r="F24">
        <f t="shared" si="2"/>
        <v>1.5096327412054129E-4</v>
      </c>
      <c r="G24">
        <f t="shared" si="3"/>
        <v>-1.2749943686078052E-2</v>
      </c>
    </row>
    <row r="25" spans="1:16" x14ac:dyDescent="0.25">
      <c r="A25" s="3">
        <v>41583</v>
      </c>
      <c r="B25">
        <v>2383.77</v>
      </c>
      <c r="C25">
        <f t="shared" si="0"/>
        <v>1.0013946942804932</v>
      </c>
      <c r="D25">
        <v>9</v>
      </c>
      <c r="E25">
        <f t="shared" si="1"/>
        <v>1.3937225977871416E-3</v>
      </c>
      <c r="F25">
        <f t="shared" si="2"/>
        <v>3.4482818799624718E-6</v>
      </c>
      <c r="G25">
        <f t="shared" si="3"/>
        <v>1.3937225977871416E-3</v>
      </c>
    </row>
    <row r="26" spans="1:16" x14ac:dyDescent="0.25">
      <c r="A26" s="3">
        <v>41582</v>
      </c>
      <c r="B26">
        <v>2380.4499999999998</v>
      </c>
      <c r="C26">
        <f t="shared" si="0"/>
        <v>0.99810898295988182</v>
      </c>
      <c r="D26">
        <v>10</v>
      </c>
      <c r="E26">
        <f t="shared" si="1"/>
        <v>-1.8928072701008046E-3</v>
      </c>
      <c r="F26">
        <f t="shared" si="2"/>
        <v>2.0436842967861844E-6</v>
      </c>
      <c r="G26">
        <f t="shared" si="3"/>
        <v>-1.8928072701008046E-3</v>
      </c>
    </row>
    <row r="27" spans="1:16" x14ac:dyDescent="0.25">
      <c r="A27" s="3">
        <v>41579</v>
      </c>
      <c r="B27">
        <v>2384.96</v>
      </c>
      <c r="C27">
        <f t="shared" si="0"/>
        <v>1.0047351835936842</v>
      </c>
      <c r="D27">
        <v>11</v>
      </c>
      <c r="E27">
        <f t="shared" si="1"/>
        <v>4.724007877344203E-3</v>
      </c>
      <c r="F27">
        <f t="shared" si="2"/>
        <v>2.6907461740031852E-5</v>
      </c>
      <c r="G27">
        <f t="shared" si="3"/>
        <v>4.724007877344203E-3</v>
      </c>
    </row>
    <row r="28" spans="1:16" x14ac:dyDescent="0.25">
      <c r="A28" s="3">
        <v>41578</v>
      </c>
      <c r="B28">
        <v>2373.7199999999998</v>
      </c>
      <c r="C28">
        <f t="shared" si="0"/>
        <v>0.98598113372129248</v>
      </c>
      <c r="D28">
        <v>12</v>
      </c>
      <c r="E28">
        <f t="shared" si="1"/>
        <v>-1.411805871946613E-2</v>
      </c>
      <c r="F28">
        <f t="shared" si="2"/>
        <v>1.8645428169598562E-4</v>
      </c>
      <c r="G28">
        <f t="shared" si="3"/>
        <v>-1.411805871946613E-2</v>
      </c>
    </row>
    <row r="29" spans="1:16" x14ac:dyDescent="0.25">
      <c r="A29" s="3">
        <v>41577</v>
      </c>
      <c r="B29">
        <v>2407.4699999999998</v>
      </c>
      <c r="C29">
        <f t="shared" si="0"/>
        <v>1.0149322316140046</v>
      </c>
      <c r="D29">
        <v>13</v>
      </c>
      <c r="E29">
        <f t="shared" si="1"/>
        <v>1.4821843381989021E-2</v>
      </c>
      <c r="F29">
        <f t="shared" si="2"/>
        <v>2.3363354179413009E-4</v>
      </c>
      <c r="G29">
        <f t="shared" si="3"/>
        <v>1.4821843381989021E-2</v>
      </c>
    </row>
    <row r="30" spans="1:16" x14ac:dyDescent="0.25">
      <c r="A30" s="3">
        <v>41576</v>
      </c>
      <c r="B30">
        <v>2372.0500000000002</v>
      </c>
      <c r="C30">
        <f t="shared" si="0"/>
        <v>1.0025782455250536</v>
      </c>
      <c r="D30">
        <v>14</v>
      </c>
      <c r="E30">
        <f t="shared" si="1"/>
        <v>2.5749275518692351E-3</v>
      </c>
      <c r="F30">
        <f t="shared" si="2"/>
        <v>9.2304159195745903E-6</v>
      </c>
      <c r="G30">
        <f t="shared" si="3"/>
        <v>2.5749275518692351E-3</v>
      </c>
    </row>
    <row r="31" spans="1:16" x14ac:dyDescent="0.25">
      <c r="A31" s="3">
        <v>41575</v>
      </c>
      <c r="B31">
        <v>2365.9499999999998</v>
      </c>
      <c r="C31">
        <f t="shared" si="0"/>
        <v>0.99889806464687403</v>
      </c>
      <c r="D31">
        <v>15</v>
      </c>
      <c r="E31">
        <f t="shared" si="1"/>
        <v>-1.1025429302687051E-3</v>
      </c>
      <c r="F31">
        <f t="shared" si="2"/>
        <v>4.0871794855034112E-7</v>
      </c>
      <c r="G31">
        <f t="shared" si="3"/>
        <v>-1.1025429302687051E-3</v>
      </c>
    </row>
    <row r="32" spans="1:16" ht="15.75" thickBot="1" x14ac:dyDescent="0.3">
      <c r="A32" s="3">
        <v>41572</v>
      </c>
      <c r="B32">
        <v>2368.56</v>
      </c>
      <c r="C32">
        <f t="shared" si="0"/>
        <v>0.98669032830523506</v>
      </c>
      <c r="D32">
        <v>16</v>
      </c>
      <c r="E32">
        <f t="shared" si="1"/>
        <v>-1.3399039229248689E-2</v>
      </c>
      <c r="F32">
        <f t="shared" si="2"/>
        <v>1.6733509821109329E-4</v>
      </c>
      <c r="G32">
        <f t="shared" si="3"/>
        <v>-1.3399039229248689E-2</v>
      </c>
      <c r="J32" s="12" t="s">
        <v>43</v>
      </c>
      <c r="K32" s="12" t="s">
        <v>44</v>
      </c>
    </row>
    <row r="33" spans="1:11" x14ac:dyDescent="0.25">
      <c r="A33" s="3">
        <v>41571</v>
      </c>
      <c r="B33">
        <v>2400.5100000000002</v>
      </c>
      <c r="C33">
        <f t="shared" si="0"/>
        <v>0.99256560911974023</v>
      </c>
      <c r="D33">
        <v>17</v>
      </c>
      <c r="E33">
        <f t="shared" si="1"/>
        <v>-7.4621636990853451E-3</v>
      </c>
      <c r="F33">
        <f t="shared" si="2"/>
        <v>4.8985039268424564E-5</v>
      </c>
      <c r="G33">
        <f t="shared" si="3"/>
        <v>-7.4621636990853451E-3</v>
      </c>
      <c r="K33" s="11">
        <f>C10</f>
        <v>0.20323996512777626</v>
      </c>
    </row>
    <row r="34" spans="1:11" x14ac:dyDescent="0.25">
      <c r="A34" s="3">
        <v>41570</v>
      </c>
      <c r="B34">
        <v>2418.4899999999998</v>
      </c>
      <c r="C34">
        <f t="shared" si="0"/>
        <v>0.98879753382204427</v>
      </c>
      <c r="D34">
        <v>18</v>
      </c>
      <c r="E34">
        <f t="shared" si="1"/>
        <v>-1.1265686393831272E-2</v>
      </c>
      <c r="F34">
        <f t="shared" si="2"/>
        <v>1.16693012194858E-4</v>
      </c>
      <c r="G34">
        <f t="shared" si="3"/>
        <v>-1.1265686393831272E-2</v>
      </c>
      <c r="J34">
        <v>3</v>
      </c>
      <c r="K34">
        <f t="dataTable" ref="K34:K2180" dt2D="0" dtr="0" r1="B5"/>
        <v>1.5589742628453716E-2</v>
      </c>
    </row>
    <row r="35" spans="1:11" x14ac:dyDescent="0.25">
      <c r="A35" s="3">
        <v>41569</v>
      </c>
      <c r="B35">
        <v>2445.89</v>
      </c>
      <c r="C35">
        <f t="shared" si="0"/>
        <v>0.98970995257595118</v>
      </c>
      <c r="D35">
        <v>19</v>
      </c>
      <c r="E35">
        <f t="shared" si="1"/>
        <v>-1.0343355975713512E-2</v>
      </c>
      <c r="F35">
        <f t="shared" si="2"/>
        <v>9.7616841785411188E-5</v>
      </c>
      <c r="G35">
        <f t="shared" si="3"/>
        <v>-1.0343355975713512E-2</v>
      </c>
      <c r="J35">
        <v>4</v>
      </c>
      <c r="K35">
        <v>4.3384030658219289E-2</v>
      </c>
    </row>
    <row r="36" spans="1:11" x14ac:dyDescent="0.25">
      <c r="A36" s="3">
        <v>41568</v>
      </c>
      <c r="B36">
        <v>2471.3200000000002</v>
      </c>
      <c r="C36">
        <f t="shared" si="0"/>
        <v>1.0186599616660827</v>
      </c>
      <c r="D36">
        <v>20</v>
      </c>
      <c r="E36">
        <f t="shared" si="1"/>
        <v>1.8488000480420954E-2</v>
      </c>
      <c r="F36">
        <f t="shared" si="2"/>
        <v>3.5914922785282728E-4</v>
      </c>
      <c r="G36">
        <f t="shared" si="3"/>
        <v>1.8488000480420954E-2</v>
      </c>
      <c r="J36">
        <v>5</v>
      </c>
      <c r="K36">
        <v>4.0816428602666911E-2</v>
      </c>
    </row>
    <row r="37" spans="1:11" x14ac:dyDescent="0.25">
      <c r="A37" s="3">
        <v>41565</v>
      </c>
      <c r="B37">
        <v>2426.0500000000002</v>
      </c>
      <c r="C37">
        <f t="shared" si="0"/>
        <v>1.0052707255120519</v>
      </c>
      <c r="D37">
        <v>21</v>
      </c>
      <c r="E37">
        <f t="shared" si="1"/>
        <v>5.2568838540904793E-3</v>
      </c>
      <c r="F37">
        <f t="shared" si="2"/>
        <v>3.2719730010076094E-5</v>
      </c>
      <c r="G37">
        <f t="shared" si="3"/>
        <v>5.2568838540904793E-3</v>
      </c>
      <c r="J37">
        <v>6</v>
      </c>
      <c r="K37">
        <v>3.8723245518600555E-2</v>
      </c>
    </row>
    <row r="38" spans="1:11" x14ac:dyDescent="0.25">
      <c r="A38" s="3">
        <v>41564</v>
      </c>
      <c r="B38">
        <v>2413.33</v>
      </c>
      <c r="C38">
        <f t="shared" si="0"/>
        <v>0.99667956570040928</v>
      </c>
      <c r="D38">
        <v>22</v>
      </c>
      <c r="E38">
        <f t="shared" si="1"/>
        <v>-3.3259591749401603E-3</v>
      </c>
      <c r="F38">
        <f t="shared" si="2"/>
        <v>8.195204563053073E-6</v>
      </c>
      <c r="G38">
        <f t="shared" si="3"/>
        <v>-3.3259591749401603E-3</v>
      </c>
      <c r="J38">
        <v>7</v>
      </c>
      <c r="K38">
        <v>4.2012002835121375E-2</v>
      </c>
    </row>
    <row r="39" spans="1:11" x14ac:dyDescent="0.25">
      <c r="A39" s="3">
        <v>41563</v>
      </c>
      <c r="B39">
        <v>2421.37</v>
      </c>
      <c r="C39">
        <f t="shared" si="0"/>
        <v>0.98129701076384379</v>
      </c>
      <c r="D39">
        <v>23</v>
      </c>
      <c r="E39">
        <f t="shared" si="1"/>
        <v>-1.8880101974426855E-2</v>
      </c>
      <c r="F39">
        <f t="shared" si="2"/>
        <v>3.3918108476121967E-4</v>
      </c>
      <c r="G39">
        <f t="shared" si="3"/>
        <v>-1.8880101974426855E-2</v>
      </c>
      <c r="J39">
        <v>8</v>
      </c>
      <c r="K39">
        <v>4.154394723162879E-2</v>
      </c>
    </row>
    <row r="40" spans="1:11" x14ac:dyDescent="0.25">
      <c r="A40" s="3">
        <v>41562</v>
      </c>
      <c r="B40">
        <v>2467.52</v>
      </c>
      <c r="C40">
        <f t="shared" si="0"/>
        <v>0.99796969917574641</v>
      </c>
      <c r="D40">
        <v>24</v>
      </c>
      <c r="E40">
        <f t="shared" si="1"/>
        <v>-2.0323646789424769E-3</v>
      </c>
      <c r="F40">
        <f t="shared" si="2"/>
        <v>2.4621760951674899E-6</v>
      </c>
      <c r="G40">
        <f t="shared" si="3"/>
        <v>-2.0323646789424769E-3</v>
      </c>
      <c r="J40">
        <v>9</v>
      </c>
      <c r="K40">
        <v>4.2921169162034437E-2</v>
      </c>
    </row>
    <row r="41" spans="1:11" x14ac:dyDescent="0.25">
      <c r="A41" s="3">
        <v>41561</v>
      </c>
      <c r="B41">
        <v>2472.54</v>
      </c>
      <c r="C41">
        <f t="shared" si="0"/>
        <v>1.0016325637732881</v>
      </c>
      <c r="D41">
        <v>25</v>
      </c>
      <c r="E41">
        <f t="shared" si="1"/>
        <v>1.6312325896823548E-3</v>
      </c>
      <c r="F41">
        <f t="shared" si="2"/>
        <v>4.386783611227314E-6</v>
      </c>
      <c r="G41">
        <f t="shared" si="3"/>
        <v>1.6312325896823548E-3</v>
      </c>
      <c r="J41">
        <v>10</v>
      </c>
      <c r="K41">
        <v>4.2449943293634287E-2</v>
      </c>
    </row>
    <row r="42" spans="1:11" x14ac:dyDescent="0.25">
      <c r="A42" s="3">
        <v>41558</v>
      </c>
      <c r="B42">
        <v>2468.5100000000002</v>
      </c>
      <c r="C42">
        <f t="shared" si="0"/>
        <v>1.0161320863451502</v>
      </c>
      <c r="D42">
        <v>26</v>
      </c>
      <c r="E42">
        <f t="shared" si="1"/>
        <v>1.600334695143717E-2</v>
      </c>
      <c r="F42">
        <f t="shared" si="2"/>
        <v>2.7114823568043906E-4</v>
      </c>
      <c r="G42">
        <f t="shared" si="3"/>
        <v>1.600334695143717E-2</v>
      </c>
      <c r="J42">
        <v>11</v>
      </c>
      <c r="K42">
        <v>4.1978861789012445E-2</v>
      </c>
    </row>
    <row r="43" spans="1:11" x14ac:dyDescent="0.25">
      <c r="A43" s="3">
        <v>41557</v>
      </c>
      <c r="B43">
        <v>2429.3200000000002</v>
      </c>
      <c r="C43">
        <f t="shared" si="0"/>
        <v>0.99011240717645244</v>
      </c>
      <c r="D43">
        <v>27</v>
      </c>
      <c r="E43">
        <f t="shared" si="1"/>
        <v>-9.9367996964976352E-3</v>
      </c>
      <c r="F43">
        <f t="shared" si="2"/>
        <v>8.9748477238847855E-5</v>
      </c>
      <c r="G43">
        <f t="shared" si="3"/>
        <v>-9.9367996964976352E-3</v>
      </c>
      <c r="J43">
        <v>12</v>
      </c>
      <c r="K43">
        <v>4.2091678523987562E-2</v>
      </c>
    </row>
    <row r="44" spans="1:11" x14ac:dyDescent="0.25">
      <c r="A44" s="3">
        <v>41556</v>
      </c>
      <c r="B44">
        <v>2453.58</v>
      </c>
      <c r="C44">
        <f t="shared" si="0"/>
        <v>1.0048201948554556</v>
      </c>
      <c r="D44">
        <v>28</v>
      </c>
      <c r="E44">
        <f t="shared" si="1"/>
        <v>4.8086149130435376E-3</v>
      </c>
      <c r="F44">
        <f t="shared" si="2"/>
        <v>2.7792374137910351E-5</v>
      </c>
      <c r="G44">
        <f t="shared" si="3"/>
        <v>4.8086149130435376E-3</v>
      </c>
      <c r="J44">
        <v>13</v>
      </c>
      <c r="K44">
        <v>4.3983845785379498E-2</v>
      </c>
    </row>
    <row r="45" spans="1:11" x14ac:dyDescent="0.25">
      <c r="A45" s="3">
        <v>41555</v>
      </c>
      <c r="B45">
        <v>2441.81</v>
      </c>
      <c r="C45">
        <f t="shared" si="0"/>
        <v>1.0136029289675554</v>
      </c>
      <c r="D45">
        <v>29</v>
      </c>
      <c r="E45">
        <f t="shared" si="1"/>
        <v>1.3511239688686852E-2</v>
      </c>
      <c r="F45">
        <f t="shared" si="2"/>
        <v>1.9528587027906817E-4</v>
      </c>
      <c r="G45">
        <f t="shared" si="3"/>
        <v>1.3511239688686852E-2</v>
      </c>
      <c r="J45">
        <v>14</v>
      </c>
      <c r="K45">
        <v>4.705387139648546E-2</v>
      </c>
    </row>
    <row r="46" spans="1:11" x14ac:dyDescent="0.25">
      <c r="A46" s="3">
        <v>41547</v>
      </c>
      <c r="B46">
        <v>2409.04</v>
      </c>
      <c r="C46">
        <f t="shared" si="0"/>
        <v>1.0058748126281332</v>
      </c>
      <c r="D46">
        <v>30</v>
      </c>
      <c r="E46">
        <f t="shared" si="1"/>
        <v>5.8576232066559061E-3</v>
      </c>
      <c r="F46">
        <f t="shared" si="2"/>
        <v>3.9953215655185938E-5</v>
      </c>
      <c r="G46">
        <f t="shared" si="3"/>
        <v>5.8576232066559061E-3</v>
      </c>
      <c r="J46">
        <v>15</v>
      </c>
      <c r="K46">
        <v>4.691683229985974E-2</v>
      </c>
    </row>
    <row r="47" spans="1:11" x14ac:dyDescent="0.25">
      <c r="A47" s="3">
        <v>41544</v>
      </c>
      <c r="B47">
        <v>2394.9699999999998</v>
      </c>
      <c r="C47">
        <f t="shared" si="0"/>
        <v>1.0044161312509434</v>
      </c>
      <c r="D47">
        <v>31</v>
      </c>
      <c r="E47">
        <f t="shared" si="1"/>
        <v>4.4064087566952747E-3</v>
      </c>
      <c r="F47">
        <f t="shared" si="2"/>
        <v>2.3713405037347213E-5</v>
      </c>
      <c r="G47">
        <f t="shared" si="3"/>
        <v>4.4064087566952747E-3</v>
      </c>
      <c r="J47">
        <v>16</v>
      </c>
      <c r="K47">
        <v>4.6697585489763646E-2</v>
      </c>
    </row>
    <row r="48" spans="1:11" x14ac:dyDescent="0.25">
      <c r="A48" s="3">
        <v>41543</v>
      </c>
      <c r="B48">
        <v>2384.44</v>
      </c>
      <c r="C48">
        <f t="shared" si="0"/>
        <v>0.98164287802126771</v>
      </c>
      <c r="D48">
        <v>32</v>
      </c>
      <c r="E48">
        <f t="shared" si="1"/>
        <v>-1.8527704773698271E-2</v>
      </c>
      <c r="F48">
        <f t="shared" si="2"/>
        <v>3.2632516198294407E-4</v>
      </c>
      <c r="G48">
        <f t="shared" si="3"/>
        <v>-1.8527704773698271E-2</v>
      </c>
      <c r="J48">
        <v>17</v>
      </c>
      <c r="K48">
        <v>4.8365005816840501E-2</v>
      </c>
    </row>
    <row r="49" spans="1:11" x14ac:dyDescent="0.25">
      <c r="A49" s="3">
        <v>41542</v>
      </c>
      <c r="B49">
        <v>2429.0300000000002</v>
      </c>
      <c r="C49">
        <f t="shared" si="0"/>
        <v>0.99391952992974331</v>
      </c>
      <c r="D49">
        <v>33</v>
      </c>
      <c r="E49">
        <f t="shared" si="1"/>
        <v>-6.0990314077482895E-3</v>
      </c>
      <c r="F49">
        <f t="shared" si="2"/>
        <v>3.1762230406704178E-5</v>
      </c>
      <c r="G49">
        <f t="shared" si="3"/>
        <v>-6.0990314077482895E-3</v>
      </c>
      <c r="J49">
        <v>18</v>
      </c>
      <c r="K49">
        <v>4.8600960352603487E-2</v>
      </c>
    </row>
    <row r="50" spans="1:11" x14ac:dyDescent="0.25">
      <c r="A50" s="3">
        <v>41541</v>
      </c>
      <c r="B50">
        <v>2443.89</v>
      </c>
      <c r="C50">
        <f t="shared" si="0"/>
        <v>0.98851267448398039</v>
      </c>
      <c r="D50">
        <v>34</v>
      </c>
      <c r="E50">
        <f t="shared" si="1"/>
        <v>-1.1553814517418538E-2</v>
      </c>
      <c r="F50">
        <f t="shared" si="2"/>
        <v>1.2300101160671388E-4</v>
      </c>
      <c r="G50">
        <f t="shared" si="3"/>
        <v>-1.1553814517418538E-2</v>
      </c>
      <c r="J50">
        <v>19</v>
      </c>
      <c r="K50">
        <v>4.9434552367455142E-2</v>
      </c>
    </row>
    <row r="51" spans="1:11" x14ac:dyDescent="0.25">
      <c r="A51" s="3">
        <v>41540</v>
      </c>
      <c r="B51">
        <v>2472.29</v>
      </c>
      <c r="C51">
        <f t="shared" si="0"/>
        <v>1.0163534785057409</v>
      </c>
      <c r="D51">
        <v>35</v>
      </c>
      <c r="E51">
        <f t="shared" si="1"/>
        <v>1.6221200564072835E-2</v>
      </c>
      <c r="F51">
        <f t="shared" si="2"/>
        <v>2.7837030347779769E-4</v>
      </c>
      <c r="G51">
        <f t="shared" si="3"/>
        <v>1.6221200564072835E-2</v>
      </c>
      <c r="J51">
        <v>20</v>
      </c>
      <c r="K51">
        <v>4.9992091239070571E-2</v>
      </c>
    </row>
    <row r="52" spans="1:11" x14ac:dyDescent="0.25">
      <c r="A52" s="3">
        <v>41535</v>
      </c>
      <c r="B52">
        <v>2432.5100000000002</v>
      </c>
      <c r="C52">
        <f t="shared" si="0"/>
        <v>1.0021381606051118</v>
      </c>
      <c r="D52">
        <v>36</v>
      </c>
      <c r="E52">
        <f t="shared" si="1"/>
        <v>2.1358779928738435E-3</v>
      </c>
      <c r="F52">
        <f t="shared" si="2"/>
        <v>6.7553748569575352E-6</v>
      </c>
      <c r="G52">
        <f t="shared" si="3"/>
        <v>2.1358779928738435E-3</v>
      </c>
      <c r="J52">
        <v>21</v>
      </c>
      <c r="K52">
        <v>5.4354905824452175E-2</v>
      </c>
    </row>
    <row r="53" spans="1:11" x14ac:dyDescent="0.25">
      <c r="A53" s="3">
        <v>41534</v>
      </c>
      <c r="B53">
        <v>2427.3200000000002</v>
      </c>
      <c r="C53">
        <f t="shared" si="0"/>
        <v>0.97939388070481248</v>
      </c>
      <c r="D53">
        <v>37</v>
      </c>
      <c r="E53">
        <f t="shared" si="1"/>
        <v>-2.0821387737510303E-2</v>
      </c>
      <c r="F53">
        <f t="shared" si="2"/>
        <v>4.1445448856907981E-4</v>
      </c>
      <c r="G53">
        <f t="shared" si="3"/>
        <v>-2.0821387737510303E-2</v>
      </c>
      <c r="J53">
        <v>22</v>
      </c>
      <c r="K53">
        <v>5.4674598759825069E-2</v>
      </c>
    </row>
    <row r="54" spans="1:11" x14ac:dyDescent="0.25">
      <c r="A54" s="3">
        <v>41533</v>
      </c>
      <c r="B54">
        <v>2478.39</v>
      </c>
      <c r="C54">
        <f t="shared" si="0"/>
        <v>0.99577725099441516</v>
      </c>
      <c r="D54">
        <v>38</v>
      </c>
      <c r="E54">
        <f t="shared" si="1"/>
        <v>-4.2316899893979337E-3</v>
      </c>
      <c r="F54">
        <f t="shared" si="2"/>
        <v>1.4201272570304653E-5</v>
      </c>
      <c r="G54">
        <f t="shared" si="3"/>
        <v>-4.2316899893979337E-3</v>
      </c>
      <c r="J54">
        <v>23</v>
      </c>
      <c r="K54">
        <v>5.4597343989420455E-2</v>
      </c>
    </row>
    <row r="55" spans="1:11" x14ac:dyDescent="0.25">
      <c r="A55" s="3">
        <v>41530</v>
      </c>
      <c r="B55">
        <v>2488.9</v>
      </c>
      <c r="C55">
        <f t="shared" si="0"/>
        <v>0.99260204590320855</v>
      </c>
      <c r="D55">
        <v>39</v>
      </c>
      <c r="E55">
        <f t="shared" si="1"/>
        <v>-7.4254546751596163E-3</v>
      </c>
      <c r="F55">
        <f t="shared" si="2"/>
        <v>4.8472538948156204E-5</v>
      </c>
      <c r="G55">
        <f t="shared" si="3"/>
        <v>-7.4254546751596163E-3</v>
      </c>
      <c r="J55">
        <v>24</v>
      </c>
      <c r="K55">
        <v>5.7357712004233459E-2</v>
      </c>
    </row>
    <row r="56" spans="1:11" x14ac:dyDescent="0.25">
      <c r="A56" s="3">
        <v>41529</v>
      </c>
      <c r="B56">
        <v>2507.4499999999998</v>
      </c>
      <c r="C56">
        <f t="shared" si="0"/>
        <v>1.0098916987864948</v>
      </c>
      <c r="D56">
        <v>40</v>
      </c>
      <c r="E56">
        <f t="shared" si="1"/>
        <v>9.8430961794733641E-3</v>
      </c>
      <c r="F56">
        <f t="shared" si="2"/>
        <v>1.0622040887773627E-4</v>
      </c>
      <c r="G56">
        <f t="shared" si="3"/>
        <v>9.8430961794733641E-3</v>
      </c>
      <c r="J56">
        <v>25</v>
      </c>
      <c r="K56">
        <v>5.7253761075611587E-2</v>
      </c>
    </row>
    <row r="57" spans="1:11" x14ac:dyDescent="0.25">
      <c r="A57" s="3">
        <v>41528</v>
      </c>
      <c r="B57">
        <v>2482.89</v>
      </c>
      <c r="C57">
        <f t="shared" si="0"/>
        <v>1.0032324668975188</v>
      </c>
      <c r="D57">
        <v>41</v>
      </c>
      <c r="E57">
        <f t="shared" si="1"/>
        <v>3.2272537076850341E-3</v>
      </c>
      <c r="F57">
        <f t="shared" si="2"/>
        <v>1.3619687743124101E-5</v>
      </c>
      <c r="G57">
        <f t="shared" si="3"/>
        <v>3.2272537076850341E-3</v>
      </c>
      <c r="J57">
        <v>26</v>
      </c>
      <c r="K57">
        <v>5.7285114463152369E-2</v>
      </c>
    </row>
    <row r="58" spans="1:11" x14ac:dyDescent="0.25">
      <c r="A58" s="3">
        <v>41527</v>
      </c>
      <c r="B58">
        <v>2474.89</v>
      </c>
      <c r="C58">
        <f t="shared" si="0"/>
        <v>1.0140456689106412</v>
      </c>
      <c r="D58">
        <v>42</v>
      </c>
      <c r="E58">
        <f t="shared" si="1"/>
        <v>1.3947942528207731E-2</v>
      </c>
      <c r="F58">
        <f t="shared" si="2"/>
        <v>2.0768196293678278E-4</v>
      </c>
      <c r="G58">
        <f t="shared" si="3"/>
        <v>1.3947942528207731E-2</v>
      </c>
      <c r="J58">
        <v>27</v>
      </c>
      <c r="K58">
        <v>6.0053425543628726E-2</v>
      </c>
    </row>
    <row r="59" spans="1:11" x14ac:dyDescent="0.25">
      <c r="A59" s="3">
        <v>41526</v>
      </c>
      <c r="B59">
        <v>2440.61</v>
      </c>
      <c r="C59">
        <f t="shared" si="0"/>
        <v>1.0351305041182808</v>
      </c>
      <c r="D59">
        <v>43</v>
      </c>
      <c r="E59">
        <f t="shared" si="1"/>
        <v>3.4527509704075546E-2</v>
      </c>
      <c r="F59">
        <f t="shared" si="2"/>
        <v>1.2243520332983508E-3</v>
      </c>
      <c r="G59">
        <f t="shared" si="3"/>
        <v>3.4527509704075546E-2</v>
      </c>
      <c r="J59">
        <v>28</v>
      </c>
      <c r="K59">
        <v>6.0614583003695897E-2</v>
      </c>
    </row>
    <row r="60" spans="1:11" x14ac:dyDescent="0.25">
      <c r="A60" s="3">
        <v>41523</v>
      </c>
      <c r="B60">
        <v>2357.7800000000002</v>
      </c>
      <c r="C60">
        <f t="shared" si="0"/>
        <v>1.0068496075567741</v>
      </c>
      <c r="D60">
        <v>44</v>
      </c>
      <c r="E60">
        <f t="shared" si="1"/>
        <v>6.8262555689224272E-3</v>
      </c>
      <c r="F60">
        <f t="shared" si="2"/>
        <v>5.3136634912484621E-5</v>
      </c>
      <c r="G60">
        <f t="shared" si="3"/>
        <v>6.8262555689224272E-3</v>
      </c>
      <c r="J60">
        <v>29</v>
      </c>
      <c r="K60">
        <v>6.0883161746075033E-2</v>
      </c>
    </row>
    <row r="61" spans="1:11" x14ac:dyDescent="0.25">
      <c r="A61" s="3">
        <v>41522</v>
      </c>
      <c r="B61">
        <v>2341.7399999999998</v>
      </c>
      <c r="C61">
        <f t="shared" si="0"/>
        <v>0.99618836942187428</v>
      </c>
      <c r="D61">
        <v>45</v>
      </c>
      <c r="E61">
        <f t="shared" si="1"/>
        <v>-3.8189133540154946E-3</v>
      </c>
      <c r="F61">
        <f t="shared" si="2"/>
        <v>1.1260594635947335E-5</v>
      </c>
      <c r="G61">
        <f t="shared" si="3"/>
        <v>-3.8189133540154946E-3</v>
      </c>
      <c r="J61">
        <v>30</v>
      </c>
      <c r="K61">
        <v>6.2660484299660854E-2</v>
      </c>
    </row>
    <row r="62" spans="1:11" x14ac:dyDescent="0.25">
      <c r="A62" s="3">
        <v>41521</v>
      </c>
      <c r="B62">
        <v>2350.6999999999998</v>
      </c>
      <c r="C62">
        <f t="shared" si="0"/>
        <v>0.99838606922913564</v>
      </c>
      <c r="D62">
        <v>46</v>
      </c>
      <c r="E62">
        <f t="shared" si="1"/>
        <v>-1.6152345601368465E-3</v>
      </c>
      <c r="F62">
        <f t="shared" si="2"/>
        <v>1.3271089669373431E-6</v>
      </c>
      <c r="G62">
        <f t="shared" si="3"/>
        <v>-1.6152345601368465E-3</v>
      </c>
      <c r="J62">
        <v>31</v>
      </c>
      <c r="K62">
        <v>6.2958173878039606E-2</v>
      </c>
    </row>
    <row r="63" spans="1:11" x14ac:dyDescent="0.25">
      <c r="A63" s="3">
        <v>41520</v>
      </c>
      <c r="B63">
        <v>2354.5</v>
      </c>
      <c r="C63">
        <f t="shared" si="0"/>
        <v>1.0147219803994241</v>
      </c>
      <c r="D63">
        <v>47</v>
      </c>
      <c r="E63">
        <f t="shared" si="1"/>
        <v>1.4614664036770409E-2</v>
      </c>
      <c r="F63">
        <f t="shared" si="2"/>
        <v>2.2734296108915407E-4</v>
      </c>
      <c r="G63">
        <f t="shared" si="3"/>
        <v>1.4614664036770409E-2</v>
      </c>
      <c r="J63">
        <v>32</v>
      </c>
      <c r="K63">
        <v>6.3097565532287514E-2</v>
      </c>
    </row>
    <row r="64" spans="1:11" x14ac:dyDescent="0.25">
      <c r="A64" s="3">
        <v>41519</v>
      </c>
      <c r="B64">
        <v>2320.34</v>
      </c>
      <c r="C64">
        <f t="shared" si="0"/>
        <v>1.002778846195401</v>
      </c>
      <c r="D64">
        <v>48</v>
      </c>
      <c r="E64">
        <f t="shared" si="1"/>
        <v>2.774992340175282E-3</v>
      </c>
      <c r="F64">
        <f t="shared" si="2"/>
        <v>1.0486099496056389E-5</v>
      </c>
      <c r="G64">
        <f t="shared" si="3"/>
        <v>2.774992340175282E-3</v>
      </c>
      <c r="J64">
        <v>33</v>
      </c>
      <c r="K64">
        <v>6.5650173002251497E-2</v>
      </c>
    </row>
    <row r="65" spans="1:11" x14ac:dyDescent="0.25">
      <c r="A65" s="3">
        <v>41516</v>
      </c>
      <c r="B65">
        <v>2313.91</v>
      </c>
      <c r="C65">
        <f t="shared" si="0"/>
        <v>0.99810206572891458</v>
      </c>
      <c r="D65">
        <v>49</v>
      </c>
      <c r="E65">
        <f t="shared" si="1"/>
        <v>-1.8997376304670714E-3</v>
      </c>
      <c r="F65">
        <f t="shared" si="2"/>
        <v>2.0635472646614109E-6</v>
      </c>
      <c r="G65">
        <f t="shared" si="3"/>
        <v>-1.8997376304670714E-3</v>
      </c>
      <c r="J65">
        <v>34</v>
      </c>
      <c r="K65">
        <v>6.5789964992998967E-2</v>
      </c>
    </row>
    <row r="66" spans="1:11" x14ac:dyDescent="0.25">
      <c r="A66" s="3">
        <v>41515</v>
      </c>
      <c r="B66">
        <v>2318.31</v>
      </c>
      <c r="C66">
        <f t="shared" si="0"/>
        <v>0.99581196360918534</v>
      </c>
      <c r="D66">
        <v>50</v>
      </c>
      <c r="E66">
        <f t="shared" si="1"/>
        <v>-4.1968307779509627E-3</v>
      </c>
      <c r="F66">
        <f t="shared" si="2"/>
        <v>1.3939756815355109E-5</v>
      </c>
      <c r="G66">
        <f t="shared" si="3"/>
        <v>-4.1968307779509627E-3</v>
      </c>
      <c r="J66">
        <v>35</v>
      </c>
      <c r="K66">
        <v>6.6569015362634695E-2</v>
      </c>
    </row>
    <row r="67" spans="1:11" x14ac:dyDescent="0.25">
      <c r="A67" s="3">
        <v>41514</v>
      </c>
      <c r="B67">
        <v>2328.06</v>
      </c>
      <c r="C67">
        <f t="shared" si="0"/>
        <v>0.99452342708724917</v>
      </c>
      <c r="D67">
        <v>51</v>
      </c>
      <c r="E67">
        <f t="shared" si="1"/>
        <v>-5.4916243167459919E-3</v>
      </c>
      <c r="F67">
        <f t="shared" si="2"/>
        <v>2.5284725224648551E-5</v>
      </c>
      <c r="G67">
        <f t="shared" si="3"/>
        <v>-5.4916243167459919E-3</v>
      </c>
      <c r="J67">
        <v>36</v>
      </c>
      <c r="K67">
        <v>6.889395356471989E-2</v>
      </c>
    </row>
    <row r="68" spans="1:11" x14ac:dyDescent="0.25">
      <c r="A68" s="3">
        <v>41513</v>
      </c>
      <c r="B68">
        <v>2340.88</v>
      </c>
      <c r="C68">
        <f t="shared" si="0"/>
        <v>1.0022520786771822</v>
      </c>
      <c r="D68">
        <v>52</v>
      </c>
      <c r="E68">
        <f t="shared" si="1"/>
        <v>2.2495465489867921E-3</v>
      </c>
      <c r="F68">
        <f t="shared" si="2"/>
        <v>7.3591696496675298E-6</v>
      </c>
      <c r="G68">
        <f t="shared" si="3"/>
        <v>2.2495465489867921E-3</v>
      </c>
      <c r="J68">
        <v>37</v>
      </c>
      <c r="K68">
        <v>6.8911556224822701E-2</v>
      </c>
    </row>
    <row r="69" spans="1:11" x14ac:dyDescent="0.25">
      <c r="A69" s="3">
        <v>41512</v>
      </c>
      <c r="B69">
        <v>2335.62</v>
      </c>
      <c r="C69">
        <f t="shared" si="0"/>
        <v>1.02129055108814</v>
      </c>
      <c r="D69">
        <v>53</v>
      </c>
      <c r="E69">
        <f t="shared" si="1"/>
        <v>2.1067073711609572E-2</v>
      </c>
      <c r="F69">
        <f t="shared" si="2"/>
        <v>4.6355408144692985E-4</v>
      </c>
      <c r="G69">
        <f t="shared" si="3"/>
        <v>2.1067073711609572E-2</v>
      </c>
      <c r="J69">
        <v>38</v>
      </c>
      <c r="K69">
        <v>7.1761022700585875E-2</v>
      </c>
    </row>
    <row r="70" spans="1:11" x14ac:dyDescent="0.25">
      <c r="A70" s="3">
        <v>41509</v>
      </c>
      <c r="B70">
        <v>2286.9299999999998</v>
      </c>
      <c r="C70">
        <f t="shared" si="0"/>
        <v>0.99262130359863365</v>
      </c>
      <c r="D70">
        <v>54</v>
      </c>
      <c r="E70">
        <f t="shared" si="1"/>
        <v>-7.4060536385653838E-3</v>
      </c>
      <c r="F70">
        <f t="shared" si="2"/>
        <v>4.8202766690270824E-5</v>
      </c>
      <c r="G70">
        <f t="shared" si="3"/>
        <v>-7.4060536385653838E-3</v>
      </c>
      <c r="J70">
        <v>39</v>
      </c>
      <c r="K70">
        <v>7.1766143340532773E-2</v>
      </c>
    </row>
    <row r="71" spans="1:11" x14ac:dyDescent="0.25">
      <c r="A71" s="3">
        <v>41508</v>
      </c>
      <c r="B71">
        <v>2303.9299999999998</v>
      </c>
      <c r="C71">
        <f t="shared" si="0"/>
        <v>0.99798145188188447</v>
      </c>
      <c r="D71">
        <v>55</v>
      </c>
      <c r="E71">
        <f t="shared" si="1"/>
        <v>-2.0205881320746071E-3</v>
      </c>
      <c r="F71">
        <f t="shared" si="2"/>
        <v>2.425356862676372E-6</v>
      </c>
      <c r="G71">
        <f t="shared" si="3"/>
        <v>-2.0205881320746071E-3</v>
      </c>
      <c r="J71">
        <v>40</v>
      </c>
      <c r="K71">
        <v>7.1968071354048715E-2</v>
      </c>
    </row>
    <row r="72" spans="1:11" x14ac:dyDescent="0.25">
      <c r="A72" s="3">
        <v>41507</v>
      </c>
      <c r="B72">
        <v>2308.59</v>
      </c>
      <c r="C72">
        <f t="shared" si="0"/>
        <v>0.99832214039533496</v>
      </c>
      <c r="D72">
        <v>56</v>
      </c>
      <c r="E72">
        <f t="shared" si="1"/>
        <v>-1.6792687875861879E-3</v>
      </c>
      <c r="F72">
        <f t="shared" si="2"/>
        <v>1.4787444853539391E-6</v>
      </c>
      <c r="G72">
        <f t="shared" si="3"/>
        <v>-1.6792687875861879E-3</v>
      </c>
      <c r="J72">
        <v>41</v>
      </c>
      <c r="K72">
        <v>7.2857886423128917E-2</v>
      </c>
    </row>
    <row r="73" spans="1:11" x14ac:dyDescent="0.25">
      <c r="A73" s="3">
        <v>41506</v>
      </c>
      <c r="B73">
        <v>2312.4699999999998</v>
      </c>
      <c r="C73">
        <f t="shared" si="0"/>
        <v>0.99186765204187988</v>
      </c>
      <c r="D73">
        <v>57</v>
      </c>
      <c r="E73">
        <f t="shared" si="1"/>
        <v>-8.1655958782374631E-3</v>
      </c>
      <c r="F73">
        <f t="shared" si="2"/>
        <v>5.9326403083874419E-5</v>
      </c>
      <c r="G73">
        <f t="shared" si="3"/>
        <v>-8.1655958782374631E-3</v>
      </c>
      <c r="J73">
        <v>42</v>
      </c>
      <c r="K73">
        <v>7.2961799292746307E-2</v>
      </c>
    </row>
    <row r="74" spans="1:11" x14ac:dyDescent="0.25">
      <c r="A74" s="3">
        <v>41505</v>
      </c>
      <c r="B74">
        <v>2331.4299999999998</v>
      </c>
      <c r="C74">
        <f t="shared" si="0"/>
        <v>1.0118438983742306</v>
      </c>
      <c r="D74">
        <v>58</v>
      </c>
      <c r="E74">
        <f t="shared" si="1"/>
        <v>1.1774308349074456E-2</v>
      </c>
      <c r="F74">
        <f t="shared" si="2"/>
        <v>1.4975740369172649E-4</v>
      </c>
      <c r="G74">
        <f t="shared" si="3"/>
        <v>1.1774308349074456E-2</v>
      </c>
      <c r="J74">
        <v>43</v>
      </c>
      <c r="K74">
        <v>7.4524393824491761E-2</v>
      </c>
    </row>
    <row r="75" spans="1:11" x14ac:dyDescent="0.25">
      <c r="A75" s="3">
        <v>41502</v>
      </c>
      <c r="B75">
        <v>2304.14</v>
      </c>
      <c r="C75">
        <f t="shared" si="0"/>
        <v>0.99248787463710053</v>
      </c>
      <c r="D75">
        <v>59</v>
      </c>
      <c r="E75">
        <f t="shared" si="1"/>
        <v>-7.5404834857465287E-3</v>
      </c>
      <c r="F75">
        <f t="shared" si="2"/>
        <v>5.0087482869127112E-5</v>
      </c>
      <c r="G75">
        <f t="shared" si="3"/>
        <v>-7.5404834857465287E-3</v>
      </c>
      <c r="J75">
        <v>44</v>
      </c>
      <c r="K75">
        <v>8.2653203842986592E-2</v>
      </c>
    </row>
    <row r="76" spans="1:11" x14ac:dyDescent="0.25">
      <c r="A76" s="3">
        <v>41501</v>
      </c>
      <c r="B76">
        <v>2321.58</v>
      </c>
      <c r="C76">
        <f t="shared" si="0"/>
        <v>0.9882932892877212</v>
      </c>
      <c r="D76">
        <v>60</v>
      </c>
      <c r="E76">
        <f t="shared" si="1"/>
        <v>-1.1775773780169136E-2</v>
      </c>
      <c r="F76">
        <f t="shared" si="2"/>
        <v>1.2797359237961796E-4</v>
      </c>
      <c r="G76">
        <f t="shared" si="3"/>
        <v>-1.1775773780169136E-2</v>
      </c>
      <c r="J76">
        <v>45</v>
      </c>
      <c r="K76">
        <v>8.290334580474143E-2</v>
      </c>
    </row>
    <row r="77" spans="1:11" x14ac:dyDescent="0.25">
      <c r="A77" s="3">
        <v>41500</v>
      </c>
      <c r="B77">
        <v>2349.08</v>
      </c>
      <c r="C77">
        <f t="shared" si="0"/>
        <v>0.99576528038591472</v>
      </c>
      <c r="D77">
        <v>61</v>
      </c>
      <c r="E77">
        <f t="shared" si="1"/>
        <v>-4.24371143339119E-3</v>
      </c>
      <c r="F77">
        <f t="shared" si="2"/>
        <v>1.4292021689019565E-5</v>
      </c>
      <c r="G77">
        <f t="shared" si="3"/>
        <v>-4.24371143339119E-3</v>
      </c>
      <c r="J77">
        <v>46</v>
      </c>
      <c r="K77">
        <v>8.2955519460282443E-2</v>
      </c>
    </row>
    <row r="78" spans="1:11" x14ac:dyDescent="0.25">
      <c r="A78" s="3">
        <v>41499</v>
      </c>
      <c r="B78">
        <v>2359.0700000000002</v>
      </c>
      <c r="C78">
        <f t="shared" si="0"/>
        <v>1.0026691714942686</v>
      </c>
      <c r="D78">
        <v>62</v>
      </c>
      <c r="E78">
        <f t="shared" si="1"/>
        <v>2.6656155821896815E-3</v>
      </c>
      <c r="F78">
        <f t="shared" si="2"/>
        <v>9.7896897228739604E-6</v>
      </c>
      <c r="G78">
        <f t="shared" si="3"/>
        <v>2.6656155821896815E-3</v>
      </c>
      <c r="J78">
        <v>47</v>
      </c>
      <c r="K78">
        <v>8.2931513541642368E-2</v>
      </c>
    </row>
    <row r="79" spans="1:11" x14ac:dyDescent="0.25">
      <c r="A79" s="3">
        <v>41498</v>
      </c>
      <c r="B79">
        <v>2352.79</v>
      </c>
      <c r="C79">
        <f t="shared" si="0"/>
        <v>1.0292124706366113</v>
      </c>
      <c r="D79">
        <v>63</v>
      </c>
      <c r="E79">
        <f t="shared" si="1"/>
        <v>2.8793918177356059E-2</v>
      </c>
      <c r="F79">
        <f t="shared" si="2"/>
        <v>8.5598086016062816E-4</v>
      </c>
      <c r="G79">
        <f t="shared" si="3"/>
        <v>2.8793918177356059E-2</v>
      </c>
      <c r="J79">
        <v>48</v>
      </c>
      <c r="K79">
        <v>8.4204795792402656E-2</v>
      </c>
    </row>
    <row r="80" spans="1:11" x14ac:dyDescent="0.25">
      <c r="A80" s="3">
        <v>41495</v>
      </c>
      <c r="B80">
        <v>2286.0100000000002</v>
      </c>
      <c r="C80">
        <f t="shared" si="0"/>
        <v>1.004053970958986</v>
      </c>
      <c r="D80">
        <v>64</v>
      </c>
      <c r="E80">
        <f t="shared" si="1"/>
        <v>4.0457757599839279E-3</v>
      </c>
      <c r="F80">
        <f t="shared" si="2"/>
        <v>2.03311546260308E-5</v>
      </c>
      <c r="G80">
        <f t="shared" si="3"/>
        <v>4.0457757599839279E-3</v>
      </c>
      <c r="J80">
        <v>49</v>
      </c>
      <c r="K80">
        <v>8.4205299598340555E-2</v>
      </c>
    </row>
    <row r="81" spans="1:11" x14ac:dyDescent="0.25">
      <c r="A81" s="3">
        <v>41494</v>
      </c>
      <c r="B81">
        <v>2276.7800000000002</v>
      </c>
      <c r="C81">
        <f t="shared" si="0"/>
        <v>0.99831624733625079</v>
      </c>
      <c r="D81">
        <v>65</v>
      </c>
      <c r="E81">
        <f t="shared" si="1"/>
        <v>-1.68517176843679E-3</v>
      </c>
      <c r="F81">
        <f t="shared" si="2"/>
        <v>1.4931358095046179E-6</v>
      </c>
      <c r="G81">
        <f t="shared" si="3"/>
        <v>-1.68517176843679E-3</v>
      </c>
      <c r="J81">
        <v>50</v>
      </c>
      <c r="K81">
        <v>8.419959206577711E-2</v>
      </c>
    </row>
    <row r="82" spans="1:11" x14ac:dyDescent="0.25">
      <c r="A82" s="3">
        <v>41493</v>
      </c>
      <c r="B82">
        <v>2280.62</v>
      </c>
      <c r="C82">
        <f t="shared" ref="C82:C145" si="4">B82/B83</f>
        <v>0.99432343349435837</v>
      </c>
      <c r="D82">
        <v>66</v>
      </c>
      <c r="E82">
        <f t="shared" ref="E82:E145" si="5">IF(D82&gt;$B$6,0,LN(C82))</f>
        <v>-5.6927394428310804E-3</v>
      </c>
      <c r="F82">
        <f t="shared" ref="F82:F145" si="6">IF(D82&gt;$B$6,0,(E82-$B$7)^2)</f>
        <v>2.7347743865522257E-5</v>
      </c>
      <c r="G82">
        <f t="shared" ref="G82:G145" si="7">IF(D82&lt;=$B$6,E82,"extra")</f>
        <v>-5.6927394428310804E-3</v>
      </c>
      <c r="J82">
        <v>51</v>
      </c>
      <c r="K82">
        <v>8.4286760371516639E-2</v>
      </c>
    </row>
    <row r="83" spans="1:11" x14ac:dyDescent="0.25">
      <c r="A83" s="3">
        <v>41492</v>
      </c>
      <c r="B83">
        <v>2293.64</v>
      </c>
      <c r="C83">
        <f t="shared" si="4"/>
        <v>1.0067198342645709</v>
      </c>
      <c r="D83">
        <v>67</v>
      </c>
      <c r="E83">
        <f t="shared" si="5"/>
        <v>6.6973568185863062E-3</v>
      </c>
      <c r="F83">
        <f t="shared" si="6"/>
        <v>5.1274038019632809E-5</v>
      </c>
      <c r="G83">
        <f t="shared" si="7"/>
        <v>6.6973568185863062E-3</v>
      </c>
      <c r="J83">
        <v>52</v>
      </c>
      <c r="K83">
        <v>8.4449061594311453E-2</v>
      </c>
    </row>
    <row r="84" spans="1:11" x14ac:dyDescent="0.25">
      <c r="A84" s="3">
        <v>41491</v>
      </c>
      <c r="B84">
        <v>2278.33</v>
      </c>
      <c r="C84">
        <f t="shared" si="4"/>
        <v>1.0138257255502254</v>
      </c>
      <c r="D84">
        <v>68</v>
      </c>
      <c r="E84">
        <f t="shared" si="5"/>
        <v>1.3731022104280481E-2</v>
      </c>
      <c r="F84">
        <f t="shared" si="6"/>
        <v>2.0147686105577916E-4</v>
      </c>
      <c r="G84">
        <f t="shared" si="7"/>
        <v>1.3731022104280481E-2</v>
      </c>
      <c r="J84">
        <v>53</v>
      </c>
      <c r="K84">
        <v>8.4445561325908497E-2</v>
      </c>
    </row>
    <row r="85" spans="1:11" x14ac:dyDescent="0.25">
      <c r="A85" s="3">
        <v>41488</v>
      </c>
      <c r="B85">
        <v>2247.2600000000002</v>
      </c>
      <c r="C85">
        <f t="shared" si="4"/>
        <v>1.0008461894751843</v>
      </c>
      <c r="D85">
        <v>69</v>
      </c>
      <c r="E85">
        <f t="shared" si="5"/>
        <v>8.4583165870983951E-4</v>
      </c>
      <c r="F85">
        <f t="shared" si="6"/>
        <v>1.7136487211949612E-6</v>
      </c>
      <c r="G85">
        <f t="shared" si="7"/>
        <v>8.4583165870983951E-4</v>
      </c>
      <c r="J85">
        <v>54</v>
      </c>
      <c r="K85">
        <v>8.7021638101184101E-2</v>
      </c>
    </row>
    <row r="86" spans="1:11" x14ac:dyDescent="0.25">
      <c r="A86" s="3">
        <v>41487</v>
      </c>
      <c r="B86">
        <v>2245.36</v>
      </c>
      <c r="C86">
        <f t="shared" si="4"/>
        <v>1.0238666314032705</v>
      </c>
      <c r="D86">
        <v>70</v>
      </c>
      <c r="E86">
        <f t="shared" si="5"/>
        <v>2.3586275364746272E-2</v>
      </c>
      <c r="F86">
        <f t="shared" si="6"/>
        <v>5.7837882393582609E-4</v>
      </c>
      <c r="G86">
        <f t="shared" si="7"/>
        <v>2.3586275364746272E-2</v>
      </c>
      <c r="J86">
        <v>55</v>
      </c>
      <c r="K86">
        <v>8.7358146382289115E-2</v>
      </c>
    </row>
    <row r="87" spans="1:11" x14ac:dyDescent="0.25">
      <c r="A87" s="3">
        <v>41486</v>
      </c>
      <c r="B87">
        <v>2193.02</v>
      </c>
      <c r="C87">
        <f t="shared" si="4"/>
        <v>1.0016579960628302</v>
      </c>
      <c r="D87">
        <v>71</v>
      </c>
      <c r="E87">
        <f t="shared" si="5"/>
        <v>1.6566231047213226E-3</v>
      </c>
      <c r="F87">
        <f t="shared" si="6"/>
        <v>4.4937873793404032E-6</v>
      </c>
      <c r="G87">
        <f t="shared" si="7"/>
        <v>1.6566231047213226E-3</v>
      </c>
      <c r="J87">
        <v>56</v>
      </c>
      <c r="K87">
        <v>8.7362104045532268E-2</v>
      </c>
    </row>
    <row r="88" spans="1:11" x14ac:dyDescent="0.25">
      <c r="A88" s="3">
        <v>41485</v>
      </c>
      <c r="B88">
        <v>2189.39</v>
      </c>
      <c r="C88">
        <f t="shared" si="4"/>
        <v>1.0061673644397671</v>
      </c>
      <c r="D88">
        <v>72</v>
      </c>
      <c r="E88">
        <f t="shared" si="5"/>
        <v>6.1484240825320467E-3</v>
      </c>
      <c r="F88">
        <f t="shared" si="6"/>
        <v>4.3714001500530591E-5</v>
      </c>
      <c r="G88">
        <f t="shared" si="7"/>
        <v>6.1484240825320467E-3</v>
      </c>
      <c r="J88">
        <v>57</v>
      </c>
      <c r="K88">
        <v>8.7357232131680743E-2</v>
      </c>
    </row>
    <row r="89" spans="1:11" x14ac:dyDescent="0.25">
      <c r="A89" s="3">
        <v>41484</v>
      </c>
      <c r="B89">
        <v>2175.9699999999998</v>
      </c>
      <c r="C89">
        <f t="shared" si="4"/>
        <v>0.97839937770063967</v>
      </c>
      <c r="D89">
        <v>73</v>
      </c>
      <c r="E89">
        <f t="shared" si="5"/>
        <v>-2.1837330647153021E-2</v>
      </c>
      <c r="F89">
        <f t="shared" si="6"/>
        <v>4.5685207569299153E-4</v>
      </c>
      <c r="G89">
        <f t="shared" si="7"/>
        <v>-2.1837330647153021E-2</v>
      </c>
      <c r="J89">
        <v>58</v>
      </c>
      <c r="K89">
        <v>8.7745701265589171E-2</v>
      </c>
    </row>
    <row r="90" spans="1:11" x14ac:dyDescent="0.25">
      <c r="A90" s="3">
        <v>41481</v>
      </c>
      <c r="B90">
        <v>2224.0100000000002</v>
      </c>
      <c r="C90">
        <f t="shared" si="4"/>
        <v>0.99389099424403859</v>
      </c>
      <c r="D90">
        <v>74</v>
      </c>
      <c r="E90">
        <f t="shared" si="5"/>
        <v>-6.1277420774621776E-3</v>
      </c>
      <c r="F90">
        <f t="shared" si="6"/>
        <v>3.2086669836780448E-5</v>
      </c>
      <c r="G90">
        <f t="shared" si="7"/>
        <v>-6.1277420774621776E-3</v>
      </c>
      <c r="J90">
        <v>59</v>
      </c>
      <c r="K90">
        <v>8.8499895683782012E-2</v>
      </c>
    </row>
    <row r="91" spans="1:11" x14ac:dyDescent="0.25">
      <c r="A91" s="3">
        <v>41480</v>
      </c>
      <c r="B91">
        <v>2237.6799999999998</v>
      </c>
      <c r="C91">
        <f t="shared" si="4"/>
        <v>0.99490029566725191</v>
      </c>
      <c r="D91">
        <v>75</v>
      </c>
      <c r="E91">
        <f t="shared" si="5"/>
        <v>-5.1127522039825582E-3</v>
      </c>
      <c r="F91">
        <f t="shared" si="6"/>
        <v>2.1618034367174381E-5</v>
      </c>
      <c r="G91">
        <f t="shared" si="7"/>
        <v>-5.1127522039825582E-3</v>
      </c>
      <c r="J91">
        <v>60</v>
      </c>
      <c r="K91">
        <v>8.8830687544515965E-2</v>
      </c>
    </row>
    <row r="92" spans="1:11" x14ac:dyDescent="0.25">
      <c r="A92" s="3">
        <v>41479</v>
      </c>
      <c r="B92">
        <v>2249.15</v>
      </c>
      <c r="C92">
        <f t="shared" si="4"/>
        <v>0.99262969746452778</v>
      </c>
      <c r="D92">
        <v>76</v>
      </c>
      <c r="E92">
        <f t="shared" si="5"/>
        <v>-7.3975974122346229E-3</v>
      </c>
      <c r="F92">
        <f t="shared" si="6"/>
        <v>4.8085418062573503E-5</v>
      </c>
      <c r="G92">
        <f t="shared" si="7"/>
        <v>-7.3975974122346229E-3</v>
      </c>
      <c r="J92">
        <v>61</v>
      </c>
      <c r="K92">
        <v>8.9624340044698741E-2</v>
      </c>
    </row>
    <row r="93" spans="1:11" x14ac:dyDescent="0.25">
      <c r="A93" s="3">
        <v>41478</v>
      </c>
      <c r="B93">
        <v>2265.85</v>
      </c>
      <c r="C93">
        <f t="shared" si="4"/>
        <v>1.0289075874470412</v>
      </c>
      <c r="D93">
        <v>77</v>
      </c>
      <c r="E93">
        <f t="shared" si="5"/>
        <v>2.8497644701372296E-2</v>
      </c>
      <c r="F93">
        <f t="shared" si="6"/>
        <v>8.3873240273275482E-4</v>
      </c>
      <c r="G93">
        <f t="shared" si="7"/>
        <v>2.8497644701372296E-2</v>
      </c>
      <c r="J93">
        <v>62</v>
      </c>
      <c r="K93">
        <v>8.9702499307671019E-2</v>
      </c>
    </row>
    <row r="94" spans="1:11" x14ac:dyDescent="0.25">
      <c r="A94" s="3">
        <v>41477</v>
      </c>
      <c r="B94">
        <v>2202.19</v>
      </c>
      <c r="C94">
        <f t="shared" si="4"/>
        <v>1.0053458602680692</v>
      </c>
      <c r="D94">
        <v>78</v>
      </c>
      <c r="E94">
        <f t="shared" si="5"/>
        <v>5.331621878817458E-3</v>
      </c>
      <c r="F94">
        <f t="shared" si="6"/>
        <v>3.3580336163145233E-5</v>
      </c>
      <c r="G94">
        <f t="shared" si="7"/>
        <v>5.331621878817458E-3</v>
      </c>
      <c r="J94">
        <v>63</v>
      </c>
      <c r="K94">
        <v>8.9720796121512972E-2</v>
      </c>
    </row>
    <row r="95" spans="1:11" x14ac:dyDescent="0.25">
      <c r="A95" s="3">
        <v>41474</v>
      </c>
      <c r="B95">
        <v>2190.48</v>
      </c>
      <c r="C95">
        <f t="shared" si="4"/>
        <v>0.97557151955391863</v>
      </c>
      <c r="D95">
        <v>79</v>
      </c>
      <c r="E95">
        <f t="shared" si="5"/>
        <v>-2.4731805815649325E-2</v>
      </c>
      <c r="F95">
        <f t="shared" si="6"/>
        <v>5.8896365541962045E-4</v>
      </c>
      <c r="G95">
        <f t="shared" si="7"/>
        <v>-2.4731805815649325E-2</v>
      </c>
      <c r="J95">
        <v>64</v>
      </c>
      <c r="K95">
        <v>9.4280305919861349E-2</v>
      </c>
    </row>
    <row r="96" spans="1:11" x14ac:dyDescent="0.25">
      <c r="A96" s="3">
        <v>41473</v>
      </c>
      <c r="B96">
        <v>2245.33</v>
      </c>
      <c r="C96">
        <f t="shared" si="4"/>
        <v>0.98356871265616508</v>
      </c>
      <c r="D96">
        <v>80</v>
      </c>
      <c r="E96">
        <f t="shared" si="5"/>
        <v>-1.656777815764247E-2</v>
      </c>
      <c r="F96">
        <f t="shared" si="6"/>
        <v>2.5935639391988779E-4</v>
      </c>
      <c r="G96">
        <f t="shared" si="7"/>
        <v>-1.656777815764247E-2</v>
      </c>
      <c r="J96">
        <v>65</v>
      </c>
      <c r="K96">
        <v>9.4326818730798831E-2</v>
      </c>
    </row>
    <row r="97" spans="1:11" x14ac:dyDescent="0.25">
      <c r="A97" s="3">
        <v>41472</v>
      </c>
      <c r="B97">
        <v>2282.84</v>
      </c>
      <c r="C97">
        <f t="shared" si="4"/>
        <v>0.98489548504001567</v>
      </c>
      <c r="D97">
        <v>81</v>
      </c>
      <c r="E97">
        <f t="shared" si="5"/>
        <v>-1.5219749998106992E-2</v>
      </c>
      <c r="F97">
        <f t="shared" si="6"/>
        <v>2.1775481149485714E-4</v>
      </c>
      <c r="G97">
        <f t="shared" si="7"/>
        <v>-1.5219749998106992E-2</v>
      </c>
      <c r="J97">
        <v>66</v>
      </c>
      <c r="K97">
        <v>9.4329830849929144E-2</v>
      </c>
    </row>
    <row r="98" spans="1:11" x14ac:dyDescent="0.25">
      <c r="A98" s="3">
        <v>41471</v>
      </c>
      <c r="B98">
        <v>2317.85</v>
      </c>
      <c r="C98">
        <f t="shared" si="4"/>
        <v>1.0045724439821435</v>
      </c>
      <c r="D98">
        <v>82</v>
      </c>
      <c r="E98">
        <f t="shared" si="5"/>
        <v>4.5620221170125574E-3</v>
      </c>
      <c r="F98">
        <f t="shared" si="6"/>
        <v>2.5253183004475696E-5</v>
      </c>
      <c r="G98">
        <f t="shared" si="7"/>
        <v>4.5620221170125574E-3</v>
      </c>
      <c r="J98">
        <v>67</v>
      </c>
      <c r="K98">
        <v>9.4511751941660505E-2</v>
      </c>
    </row>
    <row r="99" spans="1:11" x14ac:dyDescent="0.25">
      <c r="A99" s="3">
        <v>41470</v>
      </c>
      <c r="B99">
        <v>2307.3000000000002</v>
      </c>
      <c r="C99">
        <f t="shared" si="4"/>
        <v>1.0140328825641545</v>
      </c>
      <c r="D99">
        <v>83</v>
      </c>
      <c r="E99">
        <f t="shared" si="5"/>
        <v>1.39353332074518E-2</v>
      </c>
      <c r="F99">
        <f t="shared" si="6"/>
        <v>2.073186916773638E-4</v>
      </c>
      <c r="G99">
        <f t="shared" si="7"/>
        <v>1.39353332074518E-2</v>
      </c>
      <c r="J99">
        <v>68</v>
      </c>
      <c r="K99">
        <v>9.4704973272770485E-2</v>
      </c>
    </row>
    <row r="100" spans="1:11" x14ac:dyDescent="0.25">
      <c r="A100" s="3">
        <v>41467</v>
      </c>
      <c r="B100">
        <v>2275.37</v>
      </c>
      <c r="C100">
        <f t="shared" si="4"/>
        <v>0.97794291461260408</v>
      </c>
      <c r="D100">
        <v>84</v>
      </c>
      <c r="E100">
        <f t="shared" si="5"/>
        <v>-2.2303980167651002E-2</v>
      </c>
      <c r="F100">
        <f t="shared" si="6"/>
        <v>4.7701826286013395E-4</v>
      </c>
      <c r="G100">
        <f t="shared" si="7"/>
        <v>-2.2303980167651002E-2</v>
      </c>
      <c r="J100">
        <v>69</v>
      </c>
      <c r="K100">
        <v>9.5622270442090596E-2</v>
      </c>
    </row>
    <row r="101" spans="1:11" x14ac:dyDescent="0.25">
      <c r="A101" s="3">
        <v>41466</v>
      </c>
      <c r="B101">
        <v>2326.69</v>
      </c>
      <c r="C101">
        <f t="shared" si="4"/>
        <v>1.0461453378056349</v>
      </c>
      <c r="D101">
        <v>85</v>
      </c>
      <c r="E101">
        <f t="shared" si="5"/>
        <v>4.5112302267488913E-2</v>
      </c>
      <c r="F101">
        <f t="shared" si="6"/>
        <v>2.077129360623999E-3</v>
      </c>
      <c r="G101">
        <f t="shared" si="7"/>
        <v>4.5112302267488913E-2</v>
      </c>
      <c r="J101">
        <v>70</v>
      </c>
      <c r="K101">
        <v>9.5602067772958294E-2</v>
      </c>
    </row>
    <row r="102" spans="1:11" x14ac:dyDescent="0.25">
      <c r="A102" s="3">
        <v>41465</v>
      </c>
      <c r="B102">
        <v>2224.06</v>
      </c>
      <c r="C102">
        <f t="shared" si="4"/>
        <v>1.0283862077894455</v>
      </c>
      <c r="D102">
        <v>86</v>
      </c>
      <c r="E102">
        <f t="shared" si="5"/>
        <v>2.7990784990848519E-2</v>
      </c>
      <c r="F102">
        <f t="shared" si="6"/>
        <v>8.0963110592626483E-4</v>
      </c>
      <c r="G102">
        <f t="shared" si="7"/>
        <v>2.7990784990848519E-2</v>
      </c>
      <c r="J102">
        <v>71</v>
      </c>
      <c r="K102">
        <v>9.8330452851821376E-2</v>
      </c>
    </row>
    <row r="103" spans="1:11" x14ac:dyDescent="0.25">
      <c r="A103" s="3">
        <v>41464</v>
      </c>
      <c r="B103">
        <v>2162.67</v>
      </c>
      <c r="C103">
        <f t="shared" si="4"/>
        <v>0.99956092104898275</v>
      </c>
      <c r="D103">
        <v>87</v>
      </c>
      <c r="E103">
        <f t="shared" si="5"/>
        <v>-4.3917537440587965E-4</v>
      </c>
      <c r="F103">
        <f t="shared" si="6"/>
        <v>5.7874068973645476E-10</v>
      </c>
      <c r="G103">
        <f t="shared" si="7"/>
        <v>-4.3917537440587965E-4</v>
      </c>
      <c r="J103">
        <v>72</v>
      </c>
      <c r="K103">
        <v>9.8312943628754867E-2</v>
      </c>
    </row>
    <row r="104" spans="1:11" x14ac:dyDescent="0.25">
      <c r="A104" s="3">
        <v>41463</v>
      </c>
      <c r="B104">
        <v>2163.62</v>
      </c>
      <c r="C104">
        <f t="shared" si="4"/>
        <v>0.97160563127287425</v>
      </c>
      <c r="D104">
        <v>88</v>
      </c>
      <c r="E104">
        <f t="shared" si="5"/>
        <v>-2.8805285995170224E-2</v>
      </c>
      <c r="F104">
        <f t="shared" si="6"/>
        <v>8.0327200174492067E-4</v>
      </c>
      <c r="G104">
        <f t="shared" si="7"/>
        <v>-2.8805285995170224E-2</v>
      </c>
      <c r="J104">
        <v>73</v>
      </c>
      <c r="K104">
        <v>9.8430242776923915E-2</v>
      </c>
    </row>
    <row r="105" spans="1:11" x14ac:dyDescent="0.25">
      <c r="A105" s="3">
        <v>41460</v>
      </c>
      <c r="B105">
        <v>2226.85</v>
      </c>
      <c r="C105">
        <f t="shared" si="4"/>
        <v>1.0021917388995401</v>
      </c>
      <c r="D105">
        <v>89</v>
      </c>
      <c r="E105">
        <f t="shared" si="5"/>
        <v>2.1893405435789003E-3</v>
      </c>
      <c r="F105">
        <f t="shared" si="6"/>
        <v>7.0361432440846754E-6</v>
      </c>
      <c r="G105">
        <f t="shared" si="7"/>
        <v>2.1893405435789003E-3</v>
      </c>
      <c r="J105">
        <v>74</v>
      </c>
      <c r="K105">
        <v>0.10107866487728061</v>
      </c>
    </row>
    <row r="106" spans="1:11" x14ac:dyDescent="0.25">
      <c r="A106" s="3">
        <v>41459</v>
      </c>
      <c r="B106">
        <v>2221.98</v>
      </c>
      <c r="C106">
        <f t="shared" si="4"/>
        <v>1.0082356624603532</v>
      </c>
      <c r="D106">
        <v>90</v>
      </c>
      <c r="E106">
        <f t="shared" si="5"/>
        <v>8.2019344474235506E-3</v>
      </c>
      <c r="F106">
        <f t="shared" si="6"/>
        <v>7.5085116569076634E-5</v>
      </c>
      <c r="G106">
        <f t="shared" si="7"/>
        <v>8.2019344474235506E-3</v>
      </c>
      <c r="J106">
        <v>75</v>
      </c>
      <c r="K106">
        <v>0.10129749913336315</v>
      </c>
    </row>
    <row r="107" spans="1:11" x14ac:dyDescent="0.25">
      <c r="A107" s="3">
        <v>41458</v>
      </c>
      <c r="B107">
        <v>2203.83</v>
      </c>
      <c r="C107">
        <f t="shared" si="4"/>
        <v>0.99183160964545136</v>
      </c>
      <c r="D107">
        <v>91</v>
      </c>
      <c r="E107">
        <f t="shared" si="5"/>
        <v>-8.201934447423424E-3</v>
      </c>
      <c r="F107">
        <f t="shared" si="6"/>
        <v>5.9887509311467449E-5</v>
      </c>
      <c r="G107">
        <f t="shared" si="7"/>
        <v>-8.201934447423424E-3</v>
      </c>
      <c r="J107">
        <v>76</v>
      </c>
      <c r="K107">
        <v>0.10144616898412064</v>
      </c>
    </row>
    <row r="108" spans="1:11" x14ac:dyDescent="0.25">
      <c r="A108" s="3">
        <v>41457</v>
      </c>
      <c r="B108">
        <v>2221.98</v>
      </c>
      <c r="C108">
        <f t="shared" si="4"/>
        <v>1.003912674172736</v>
      </c>
      <c r="D108">
        <v>92</v>
      </c>
      <c r="E108">
        <f t="shared" si="5"/>
        <v>3.9050395711376072E-3</v>
      </c>
      <c r="F108">
        <f t="shared" si="6"/>
        <v>1.9081800051831153E-5</v>
      </c>
      <c r="G108">
        <f t="shared" si="7"/>
        <v>3.9050395711376072E-3</v>
      </c>
      <c r="J108">
        <v>77</v>
      </c>
      <c r="K108">
        <v>0.10174644427143949</v>
      </c>
    </row>
    <row r="109" spans="1:11" x14ac:dyDescent="0.25">
      <c r="A109" s="3">
        <v>41456</v>
      </c>
      <c r="B109">
        <v>2213.3200000000002</v>
      </c>
      <c r="C109">
        <f t="shared" si="4"/>
        <v>1.0057619601570453</v>
      </c>
      <c r="D109">
        <v>93</v>
      </c>
      <c r="E109">
        <f t="shared" si="5"/>
        <v>5.7454235563681715E-3</v>
      </c>
      <c r="F109">
        <f t="shared" si="6"/>
        <v>3.8547408838562352E-5</v>
      </c>
      <c r="G109">
        <f t="shared" si="7"/>
        <v>5.7454235563681715E-3</v>
      </c>
      <c r="J109">
        <v>78</v>
      </c>
      <c r="K109">
        <v>0.10556402281333012</v>
      </c>
    </row>
    <row r="110" spans="1:11" x14ac:dyDescent="0.25">
      <c r="A110" s="3">
        <v>41453</v>
      </c>
      <c r="B110">
        <v>2200.64</v>
      </c>
      <c r="C110">
        <f t="shared" si="4"/>
        <v>1.0184658959430566</v>
      </c>
      <c r="D110">
        <v>94</v>
      </c>
      <c r="E110">
        <f t="shared" si="5"/>
        <v>1.8297471532110424E-2</v>
      </c>
      <c r="F110">
        <f t="shared" si="6"/>
        <v>3.5196401219152488E-4</v>
      </c>
      <c r="G110">
        <f t="shared" si="7"/>
        <v>1.8297471532110424E-2</v>
      </c>
      <c r="J110">
        <v>79</v>
      </c>
      <c r="K110">
        <v>0.10564286664196305</v>
      </c>
    </row>
    <row r="111" spans="1:11" x14ac:dyDescent="0.25">
      <c r="A111" s="3">
        <v>41452</v>
      </c>
      <c r="B111">
        <v>2160.7399999999998</v>
      </c>
      <c r="C111">
        <f t="shared" si="4"/>
        <v>0.99651339759258384</v>
      </c>
      <c r="D111">
        <v>95</v>
      </c>
      <c r="E111">
        <f t="shared" si="5"/>
        <v>-3.4926947708112939E-3</v>
      </c>
      <c r="F111">
        <f t="shared" si="6"/>
        <v>9.1776422298047395E-6</v>
      </c>
      <c r="G111">
        <f t="shared" si="7"/>
        <v>-3.4926947708112939E-3</v>
      </c>
      <c r="J111">
        <v>80</v>
      </c>
      <c r="K111">
        <v>0.10873071529454119</v>
      </c>
    </row>
    <row r="112" spans="1:11" x14ac:dyDescent="0.25">
      <c r="A112" s="3">
        <v>41451</v>
      </c>
      <c r="B112">
        <v>2168.3000000000002</v>
      </c>
      <c r="C112">
        <f t="shared" si="4"/>
        <v>1.001329996028484</v>
      </c>
      <c r="D112">
        <v>96</v>
      </c>
      <c r="E112">
        <f t="shared" si="5"/>
        <v>1.3291123671900539E-3</v>
      </c>
      <c r="F112">
        <f t="shared" si="6"/>
        <v>3.2124997800672771E-6</v>
      </c>
      <c r="G112">
        <f t="shared" si="7"/>
        <v>1.3291123671900539E-3</v>
      </c>
      <c r="J112">
        <v>81</v>
      </c>
      <c r="K112">
        <v>0.11007439550476338</v>
      </c>
    </row>
    <row r="113" spans="1:11" x14ac:dyDescent="0.25">
      <c r="A113" s="3">
        <v>41450</v>
      </c>
      <c r="B113">
        <v>2165.42</v>
      </c>
      <c r="C113">
        <f t="shared" si="4"/>
        <v>0.99733328420558121</v>
      </c>
      <c r="D113">
        <v>97</v>
      </c>
      <c r="E113">
        <f t="shared" si="5"/>
        <v>-2.6702778149898486E-3</v>
      </c>
      <c r="F113">
        <f t="shared" si="6"/>
        <v>4.8710494446260359E-6</v>
      </c>
      <c r="G113">
        <f t="shared" si="7"/>
        <v>-2.6702778149898486E-3</v>
      </c>
      <c r="J113">
        <v>82</v>
      </c>
      <c r="K113">
        <v>0.11116904964115001</v>
      </c>
    </row>
    <row r="114" spans="1:11" x14ac:dyDescent="0.25">
      <c r="A114" s="3">
        <v>41449</v>
      </c>
      <c r="B114">
        <v>2171.21</v>
      </c>
      <c r="C114">
        <f t="shared" si="4"/>
        <v>0.93692041477696897</v>
      </c>
      <c r="D114">
        <v>98</v>
      </c>
      <c r="E114">
        <f t="shared" si="5"/>
        <v>-6.515693655487366E-2</v>
      </c>
      <c r="F114">
        <f t="shared" si="6"/>
        <v>4.185275356715471E-3</v>
      </c>
      <c r="G114">
        <f t="shared" si="7"/>
        <v>-6.515693655487366E-2</v>
      </c>
      <c r="J114">
        <v>83</v>
      </c>
      <c r="K114">
        <v>0.1112399510233878</v>
      </c>
    </row>
    <row r="115" spans="1:11" x14ac:dyDescent="0.25">
      <c r="A115" s="3">
        <v>41446</v>
      </c>
      <c r="B115">
        <v>2317.39</v>
      </c>
      <c r="C115">
        <f t="shared" si="4"/>
        <v>0.99824249290320366</v>
      </c>
      <c r="D115">
        <v>99</v>
      </c>
      <c r="E115">
        <f t="shared" si="5"/>
        <v>-1.7590533243301452E-3</v>
      </c>
      <c r="F115">
        <f t="shared" si="6"/>
        <v>1.6791518566579663E-6</v>
      </c>
      <c r="G115">
        <f t="shared" si="7"/>
        <v>-1.7590533243301452E-3</v>
      </c>
      <c r="J115">
        <v>84</v>
      </c>
      <c r="K115">
        <v>0.1120752488601085</v>
      </c>
    </row>
    <row r="116" spans="1:11" x14ac:dyDescent="0.25">
      <c r="A116" s="3">
        <v>41445</v>
      </c>
      <c r="B116">
        <v>2321.4699999999998</v>
      </c>
      <c r="C116">
        <f t="shared" si="4"/>
        <v>0.96696893080136781</v>
      </c>
      <c r="D116">
        <v>100</v>
      </c>
      <c r="E116">
        <f t="shared" si="5"/>
        <v>-3.3588913516186411E-2</v>
      </c>
      <c r="F116">
        <f t="shared" si="6"/>
        <v>1.0973107491230696E-3</v>
      </c>
      <c r="G116">
        <f t="shared" si="7"/>
        <v>-3.3588913516186411E-2</v>
      </c>
      <c r="J116">
        <v>85</v>
      </c>
      <c r="K116">
        <v>0.11436137489834607</v>
      </c>
    </row>
    <row r="117" spans="1:11" x14ac:dyDescent="0.25">
      <c r="A117" s="3">
        <v>41444</v>
      </c>
      <c r="B117">
        <v>2400.77</v>
      </c>
      <c r="C117">
        <f t="shared" si="4"/>
        <v>0.99256640826873388</v>
      </c>
      <c r="D117">
        <v>101</v>
      </c>
      <c r="E117">
        <f t="shared" si="5"/>
        <v>-7.4613585647299004E-3</v>
      </c>
      <c r="F117">
        <f t="shared" si="6"/>
        <v>4.8973769756592316E-5</v>
      </c>
      <c r="G117">
        <f t="shared" si="7"/>
        <v>-7.4613585647299004E-3</v>
      </c>
      <c r="J117">
        <v>86</v>
      </c>
      <c r="K117">
        <v>0.12297466119445129</v>
      </c>
    </row>
    <row r="118" spans="1:11" x14ac:dyDescent="0.25">
      <c r="A118" s="3">
        <v>41443</v>
      </c>
      <c r="B118">
        <v>2418.75</v>
      </c>
      <c r="C118">
        <f t="shared" si="4"/>
        <v>1.0062025758785942</v>
      </c>
      <c r="D118">
        <v>102</v>
      </c>
      <c r="E118">
        <f t="shared" si="5"/>
        <v>6.1834190783578574E-3</v>
      </c>
      <c r="F118">
        <f t="shared" si="6"/>
        <v>4.417797593258371E-5</v>
      </c>
      <c r="G118">
        <f t="shared" si="7"/>
        <v>6.1834190783578574E-3</v>
      </c>
      <c r="J118">
        <v>87</v>
      </c>
      <c r="K118">
        <v>0.12599503249624991</v>
      </c>
    </row>
    <row r="119" spans="1:11" x14ac:dyDescent="0.25">
      <c r="A119" s="3">
        <v>41442</v>
      </c>
      <c r="B119">
        <v>2403.84</v>
      </c>
      <c r="C119">
        <f t="shared" si="4"/>
        <v>0.99464988393599729</v>
      </c>
      <c r="D119">
        <v>103</v>
      </c>
      <c r="E119">
        <f t="shared" si="5"/>
        <v>-5.364479187442572E-3</v>
      </c>
      <c r="F119">
        <f t="shared" si="6"/>
        <v>2.4022220028774438E-5</v>
      </c>
      <c r="G119">
        <f t="shared" si="7"/>
        <v>-5.364479187442572E-3</v>
      </c>
      <c r="J119">
        <v>88</v>
      </c>
      <c r="K119">
        <v>0.12598615842869879</v>
      </c>
    </row>
    <row r="120" spans="1:11" x14ac:dyDescent="0.25">
      <c r="A120" s="3">
        <v>41439</v>
      </c>
      <c r="B120">
        <v>2416.77</v>
      </c>
      <c r="C120">
        <f t="shared" si="4"/>
        <v>1.0070126753168829</v>
      </c>
      <c r="D120">
        <v>104</v>
      </c>
      <c r="E120">
        <f t="shared" si="5"/>
        <v>6.9882008636448362E-3</v>
      </c>
      <c r="F120">
        <f t="shared" si="6"/>
        <v>5.5523857747381494E-5</v>
      </c>
      <c r="G120">
        <f t="shared" si="7"/>
        <v>6.9882008636448362E-3</v>
      </c>
      <c r="J120">
        <v>89</v>
      </c>
      <c r="K120">
        <v>0.12947589222858955</v>
      </c>
    </row>
    <row r="121" spans="1:11" x14ac:dyDescent="0.25">
      <c r="A121" s="3">
        <v>41438</v>
      </c>
      <c r="B121">
        <v>2399.94</v>
      </c>
      <c r="C121">
        <f t="shared" si="4"/>
        <v>0.96609719180729103</v>
      </c>
      <c r="D121">
        <v>105</v>
      </c>
      <c r="E121">
        <f t="shared" si="5"/>
        <v>-3.4490837193783701E-2</v>
      </c>
      <c r="F121">
        <f t="shared" si="6"/>
        <v>1.1578778877058852E-3</v>
      </c>
      <c r="G121">
        <f t="shared" si="7"/>
        <v>-3.4490837193783701E-2</v>
      </c>
      <c r="J121">
        <v>90</v>
      </c>
      <c r="K121">
        <v>0.12946903690706907</v>
      </c>
    </row>
    <row r="122" spans="1:11" x14ac:dyDescent="0.25">
      <c r="A122" s="3">
        <v>41432</v>
      </c>
      <c r="B122">
        <v>2484.16</v>
      </c>
      <c r="C122">
        <f t="shared" si="4"/>
        <v>0.982720425343376</v>
      </c>
      <c r="D122">
        <v>106</v>
      </c>
      <c r="E122">
        <f t="shared" si="5"/>
        <v>-1.7430608907223512E-2</v>
      </c>
      <c r="F122">
        <f t="shared" si="6"/>
        <v>2.8789186539026127E-4</v>
      </c>
      <c r="G122">
        <f t="shared" si="7"/>
        <v>-1.7430608907223512E-2</v>
      </c>
      <c r="J122">
        <v>91</v>
      </c>
      <c r="K122">
        <v>0.12967641721824505</v>
      </c>
    </row>
    <row r="123" spans="1:11" x14ac:dyDescent="0.25">
      <c r="A123" s="3">
        <v>41431</v>
      </c>
      <c r="B123">
        <v>2527.84</v>
      </c>
      <c r="C123">
        <f t="shared" si="4"/>
        <v>0.98722925632874325</v>
      </c>
      <c r="D123">
        <v>107</v>
      </c>
      <c r="E123">
        <f t="shared" si="5"/>
        <v>-1.2852990604882772E-2</v>
      </c>
      <c r="F123">
        <f t="shared" si="6"/>
        <v>1.5350610826766697E-4</v>
      </c>
      <c r="G123">
        <f t="shared" si="7"/>
        <v>-1.2852990604882772E-2</v>
      </c>
      <c r="J123">
        <v>92</v>
      </c>
      <c r="K123">
        <v>0.12997033541852315</v>
      </c>
    </row>
    <row r="124" spans="1:11" x14ac:dyDescent="0.25">
      <c r="A124" s="3">
        <v>41430</v>
      </c>
      <c r="B124">
        <v>2560.54</v>
      </c>
      <c r="C124">
        <f t="shared" si="4"/>
        <v>0.99800052228072977</v>
      </c>
      <c r="D124">
        <v>108</v>
      </c>
      <c r="E124">
        <f t="shared" si="5"/>
        <v>-2.0014793434254704E-3</v>
      </c>
      <c r="F124">
        <f t="shared" si="6"/>
        <v>2.3662036455747884E-6</v>
      </c>
      <c r="G124">
        <f t="shared" si="7"/>
        <v>-2.0014793434254704E-3</v>
      </c>
      <c r="J124">
        <v>93</v>
      </c>
      <c r="K124">
        <v>0.12999680080541051</v>
      </c>
    </row>
    <row r="125" spans="1:11" x14ac:dyDescent="0.25">
      <c r="A125" s="3">
        <v>41429</v>
      </c>
      <c r="B125">
        <v>2565.67</v>
      </c>
      <c r="C125">
        <f t="shared" si="4"/>
        <v>0.98580276797995869</v>
      </c>
      <c r="D125">
        <v>109</v>
      </c>
      <c r="E125">
        <f t="shared" si="5"/>
        <v>-1.4298976863352389E-2</v>
      </c>
      <c r="F125">
        <f t="shared" si="6"/>
        <v>1.9142782473481295E-4</v>
      </c>
      <c r="G125">
        <f t="shared" si="7"/>
        <v>-1.4298976863352389E-2</v>
      </c>
      <c r="J125">
        <v>94</v>
      </c>
      <c r="K125">
        <v>0.1300823282080103</v>
      </c>
    </row>
    <row r="126" spans="1:11" x14ac:dyDescent="0.25">
      <c r="A126" s="3">
        <v>41428</v>
      </c>
      <c r="B126">
        <v>2602.62</v>
      </c>
      <c r="C126">
        <f t="shared" si="4"/>
        <v>0.9985382304531486</v>
      </c>
      <c r="D126">
        <v>110</v>
      </c>
      <c r="E126">
        <f t="shared" si="5"/>
        <v>-1.4628389742534396E-3</v>
      </c>
      <c r="F126">
        <f t="shared" si="6"/>
        <v>9.992132945939476E-7</v>
      </c>
      <c r="G126">
        <f t="shared" si="7"/>
        <v>-1.4628389742534396E-3</v>
      </c>
      <c r="J126">
        <v>95</v>
      </c>
      <c r="K126">
        <v>0.13126374442610253</v>
      </c>
    </row>
    <row r="127" spans="1:11" x14ac:dyDescent="0.25">
      <c r="A127" s="3">
        <v>41425</v>
      </c>
      <c r="B127">
        <v>2606.4299999999998</v>
      </c>
      <c r="C127">
        <f t="shared" si="4"/>
        <v>0.98941282759877303</v>
      </c>
      <c r="D127">
        <v>111</v>
      </c>
      <c r="E127">
        <f t="shared" si="5"/>
        <v>-1.0643615244503508E-2</v>
      </c>
      <c r="F127">
        <f t="shared" si="6"/>
        <v>1.0364019477209027E-4</v>
      </c>
      <c r="G127">
        <f t="shared" si="7"/>
        <v>-1.0643615244503508E-2</v>
      </c>
      <c r="J127">
        <v>96</v>
      </c>
      <c r="K127">
        <v>0.13132318863528056</v>
      </c>
    </row>
    <row r="128" spans="1:11" x14ac:dyDescent="0.25">
      <c r="A128" s="3">
        <v>41424</v>
      </c>
      <c r="B128">
        <v>2634.32</v>
      </c>
      <c r="C128">
        <f t="shared" si="4"/>
        <v>0.99688181157665301</v>
      </c>
      <c r="D128">
        <v>112</v>
      </c>
      <c r="E128">
        <f t="shared" si="5"/>
        <v>-3.1230601027141388E-3</v>
      </c>
      <c r="F128">
        <f t="shared" si="6"/>
        <v>7.0746833849846124E-6</v>
      </c>
      <c r="G128">
        <f t="shared" si="7"/>
        <v>-3.1230601027141388E-3</v>
      </c>
      <c r="J128">
        <v>97</v>
      </c>
      <c r="K128">
        <v>0.13130967029536228</v>
      </c>
    </row>
    <row r="129" spans="1:11" x14ac:dyDescent="0.25">
      <c r="A129" s="3">
        <v>41423</v>
      </c>
      <c r="B129">
        <v>2642.56</v>
      </c>
      <c r="C129">
        <f t="shared" si="4"/>
        <v>0.99931930599464514</v>
      </c>
      <c r="D129">
        <v>113</v>
      </c>
      <c r="E129">
        <f t="shared" si="5"/>
        <v>-6.8092578270493155E-4</v>
      </c>
      <c r="F129">
        <f t="shared" si="6"/>
        <v>4.7390406979545812E-8</v>
      </c>
      <c r="G129">
        <f t="shared" si="7"/>
        <v>-6.8092578270493155E-4</v>
      </c>
      <c r="J129">
        <v>98</v>
      </c>
      <c r="K129">
        <v>0.1313433832804464</v>
      </c>
    </row>
    <row r="130" spans="1:11" x14ac:dyDescent="0.25">
      <c r="A130" s="3">
        <v>41422</v>
      </c>
      <c r="B130">
        <v>2644.36</v>
      </c>
      <c r="C130">
        <f t="shared" si="4"/>
        <v>1.0172219465377232</v>
      </c>
      <c r="D130">
        <v>114</v>
      </c>
      <c r="E130">
        <f t="shared" si="5"/>
        <v>1.7075329773233675E-2</v>
      </c>
      <c r="F130">
        <f t="shared" si="6"/>
        <v>3.0760116325697165E-4</v>
      </c>
      <c r="G130">
        <f t="shared" si="7"/>
        <v>1.7075329773233675E-2</v>
      </c>
      <c r="J130">
        <v>99</v>
      </c>
      <c r="K130">
        <v>0.14712135555918612</v>
      </c>
    </row>
    <row r="131" spans="1:11" x14ac:dyDescent="0.25">
      <c r="A131" s="3">
        <v>41421</v>
      </c>
      <c r="B131">
        <v>2599.59</v>
      </c>
      <c r="C131">
        <f t="shared" si="4"/>
        <v>1.0009086603804824</v>
      </c>
      <c r="D131">
        <v>115</v>
      </c>
      <c r="E131">
        <f t="shared" si="5"/>
        <v>9.0824779855121999E-4</v>
      </c>
      <c r="F131">
        <f t="shared" si="6"/>
        <v>1.8809579469502081E-6</v>
      </c>
      <c r="G131">
        <f t="shared" si="7"/>
        <v>9.0824779855121999E-4</v>
      </c>
      <c r="J131">
        <v>100</v>
      </c>
      <c r="K131">
        <v>0.1471186470749079</v>
      </c>
    </row>
    <row r="132" spans="1:11" x14ac:dyDescent="0.25">
      <c r="A132" s="3">
        <v>41418</v>
      </c>
      <c r="B132">
        <v>2597.23</v>
      </c>
      <c r="C132">
        <f t="shared" si="4"/>
        <v>1.005567493272935</v>
      </c>
      <c r="D132">
        <v>116</v>
      </c>
      <c r="E132">
        <f t="shared" si="5"/>
        <v>5.5520520682863696E-3</v>
      </c>
      <c r="F132">
        <f t="shared" si="6"/>
        <v>3.6183647286741245E-5</v>
      </c>
      <c r="G132">
        <f t="shared" si="7"/>
        <v>5.5520520682863696E-3</v>
      </c>
      <c r="J132">
        <v>101</v>
      </c>
      <c r="K132">
        <v>0.15095569369643913</v>
      </c>
    </row>
    <row r="133" spans="1:11" x14ac:dyDescent="0.25">
      <c r="A133" s="3">
        <v>41417</v>
      </c>
      <c r="B133">
        <v>2582.85</v>
      </c>
      <c r="C133">
        <f t="shared" si="4"/>
        <v>0.98656241525116206</v>
      </c>
      <c r="D133">
        <v>117</v>
      </c>
      <c r="E133">
        <f t="shared" si="5"/>
        <v>-1.3528686132991624E-2</v>
      </c>
      <c r="F133">
        <f t="shared" si="6"/>
        <v>1.707060811352731E-4</v>
      </c>
      <c r="G133">
        <f t="shared" si="7"/>
        <v>-1.3528686132991624E-2</v>
      </c>
      <c r="J133">
        <v>102</v>
      </c>
      <c r="K133">
        <v>0.15111651981559771</v>
      </c>
    </row>
    <row r="134" spans="1:11" x14ac:dyDescent="0.25">
      <c r="A134" s="3">
        <v>41416</v>
      </c>
      <c r="B134">
        <v>2618.0300000000002</v>
      </c>
      <c r="C134">
        <f t="shared" si="4"/>
        <v>1.0012161309444136</v>
      </c>
      <c r="D134">
        <v>118</v>
      </c>
      <c r="E134">
        <f t="shared" si="5"/>
        <v>1.2153920561725582E-3</v>
      </c>
      <c r="F134">
        <f t="shared" si="6"/>
        <v>2.8177800794649391E-6</v>
      </c>
      <c r="G134">
        <f t="shared" si="7"/>
        <v>1.2153920561725582E-3</v>
      </c>
      <c r="J134">
        <v>103</v>
      </c>
      <c r="K134">
        <v>0.15124148315184011</v>
      </c>
    </row>
    <row r="135" spans="1:11" x14ac:dyDescent="0.25">
      <c r="A135" s="3">
        <v>41415</v>
      </c>
      <c r="B135">
        <v>2614.85</v>
      </c>
      <c r="C135">
        <f t="shared" si="4"/>
        <v>1.0020079628756786</v>
      </c>
      <c r="D135">
        <v>119</v>
      </c>
      <c r="E135">
        <f t="shared" si="5"/>
        <v>2.0059496128111485E-3</v>
      </c>
      <c r="F135">
        <f t="shared" si="6"/>
        <v>6.0968598338724256E-6</v>
      </c>
      <c r="G135">
        <f t="shared" si="7"/>
        <v>2.0059496128111485E-3</v>
      </c>
      <c r="J135">
        <v>104</v>
      </c>
      <c r="K135">
        <v>0.15131544669327734</v>
      </c>
    </row>
    <row r="136" spans="1:11" x14ac:dyDescent="0.25">
      <c r="A136" s="3">
        <v>41414</v>
      </c>
      <c r="B136">
        <v>2609.61</v>
      </c>
      <c r="C136">
        <f t="shared" si="4"/>
        <v>1.0067201864060891</v>
      </c>
      <c r="D136">
        <v>120</v>
      </c>
      <c r="E136">
        <f t="shared" si="5"/>
        <v>6.6977066095058784E-3</v>
      </c>
      <c r="F136">
        <f t="shared" si="6"/>
        <v>5.127904756016444E-5</v>
      </c>
      <c r="G136">
        <f t="shared" si="7"/>
        <v>6.6977066095058784E-3</v>
      </c>
      <c r="J136">
        <v>105</v>
      </c>
      <c r="K136">
        <v>0.15147693800050444</v>
      </c>
    </row>
    <row r="137" spans="1:11" x14ac:dyDescent="0.25">
      <c r="A137" s="3">
        <v>41411</v>
      </c>
      <c r="B137">
        <v>2592.19</v>
      </c>
      <c r="C137">
        <f t="shared" si="4"/>
        <v>1.0154659166141082</v>
      </c>
      <c r="D137">
        <v>121</v>
      </c>
      <c r="E137">
        <f t="shared" si="5"/>
        <v>1.5347538318088064E-2</v>
      </c>
      <c r="F137">
        <f t="shared" si="6"/>
        <v>2.4998047083750734E-4</v>
      </c>
      <c r="G137">
        <f t="shared" si="7"/>
        <v>1.5347538318088064E-2</v>
      </c>
      <c r="J137">
        <v>106</v>
      </c>
      <c r="K137">
        <v>0.15533246674063106</v>
      </c>
    </row>
    <row r="138" spans="1:11" x14ac:dyDescent="0.25">
      <c r="A138" s="3">
        <v>41410</v>
      </c>
      <c r="B138">
        <v>2552.71</v>
      </c>
      <c r="C138">
        <f t="shared" si="4"/>
        <v>1.0182613794561477</v>
      </c>
      <c r="D138">
        <v>122</v>
      </c>
      <c r="E138">
        <f t="shared" si="5"/>
        <v>1.809664298715348E-2</v>
      </c>
      <c r="F138">
        <f t="shared" si="6"/>
        <v>3.4446897454813963E-4</v>
      </c>
      <c r="G138">
        <f t="shared" si="7"/>
        <v>1.809664298715348E-2</v>
      </c>
      <c r="J138">
        <v>107</v>
      </c>
      <c r="K138">
        <v>0.15624438603182617</v>
      </c>
    </row>
    <row r="139" spans="1:11" x14ac:dyDescent="0.25">
      <c r="A139" s="3">
        <v>41409</v>
      </c>
      <c r="B139">
        <v>2506.9299999999998</v>
      </c>
      <c r="C139">
        <f t="shared" si="4"/>
        <v>1.0054505201857749</v>
      </c>
      <c r="D139">
        <v>123</v>
      </c>
      <c r="E139">
        <f t="shared" si="5"/>
        <v>5.4357198559349482E-3</v>
      </c>
      <c r="F139">
        <f t="shared" si="6"/>
        <v>3.4797637769121916E-5</v>
      </c>
      <c r="G139">
        <f t="shared" si="7"/>
        <v>5.4357198559349482E-3</v>
      </c>
      <c r="J139">
        <v>108</v>
      </c>
      <c r="K139">
        <v>0.15670813749163284</v>
      </c>
    </row>
    <row r="140" spans="1:11" x14ac:dyDescent="0.25">
      <c r="A140" s="3">
        <v>41408</v>
      </c>
      <c r="B140">
        <v>2493.34</v>
      </c>
      <c r="C140">
        <f t="shared" si="4"/>
        <v>0.98521003489056702</v>
      </c>
      <c r="D140">
        <v>124</v>
      </c>
      <c r="E140">
        <f t="shared" si="5"/>
        <v>-1.49004271496179E-2</v>
      </c>
      <c r="F140">
        <f t="shared" si="6"/>
        <v>2.0843259211278861E-4</v>
      </c>
      <c r="G140">
        <f t="shared" si="7"/>
        <v>-1.49004271496179E-2</v>
      </c>
      <c r="J140">
        <v>109</v>
      </c>
      <c r="K140">
        <v>0.15669923278464001</v>
      </c>
    </row>
    <row r="141" spans="1:11" x14ac:dyDescent="0.25">
      <c r="A141" s="3">
        <v>41407</v>
      </c>
      <c r="B141">
        <v>2530.77</v>
      </c>
      <c r="C141">
        <f t="shared" si="4"/>
        <v>0.99603674375403406</v>
      </c>
      <c r="D141">
        <v>125</v>
      </c>
      <c r="E141">
        <f t="shared" si="5"/>
        <v>-3.9711307586954986E-3</v>
      </c>
      <c r="F141">
        <f t="shared" si="6"/>
        <v>1.2305350864419251E-5</v>
      </c>
      <c r="G141">
        <f t="shared" si="7"/>
        <v>-3.9711307586954986E-3</v>
      </c>
      <c r="J141">
        <v>110</v>
      </c>
      <c r="K141">
        <v>0.15727077342829349</v>
      </c>
    </row>
    <row r="142" spans="1:11" x14ac:dyDescent="0.25">
      <c r="A142" s="3">
        <v>41404</v>
      </c>
      <c r="B142">
        <v>2540.84</v>
      </c>
      <c r="C142">
        <f t="shared" si="4"/>
        <v>1.0051626124005555</v>
      </c>
      <c r="D142">
        <v>126</v>
      </c>
      <c r="E142">
        <f t="shared" si="5"/>
        <v>5.1493318059207486E-3</v>
      </c>
      <c r="F142">
        <f t="shared" si="6"/>
        <v>3.1500877014413084E-5</v>
      </c>
      <c r="G142">
        <f t="shared" si="7"/>
        <v>5.1493318059207486E-3</v>
      </c>
      <c r="J142">
        <v>111</v>
      </c>
      <c r="K142">
        <v>0.15725855375929651</v>
      </c>
    </row>
    <row r="143" spans="1:11" x14ac:dyDescent="0.25">
      <c r="A143" s="3">
        <v>41403</v>
      </c>
      <c r="B143">
        <v>2527.79</v>
      </c>
      <c r="C143">
        <f t="shared" si="4"/>
        <v>0.99409705836086193</v>
      </c>
      <c r="D143">
        <v>127</v>
      </c>
      <c r="E143">
        <f t="shared" si="5"/>
        <v>-5.9204328662309253E-3</v>
      </c>
      <c r="F143">
        <f t="shared" si="6"/>
        <v>2.9781036881152441E-5</v>
      </c>
      <c r="G143">
        <f t="shared" si="7"/>
        <v>-5.9204328662309253E-3</v>
      </c>
      <c r="J143">
        <v>112</v>
      </c>
      <c r="K143">
        <v>0.15754756762924571</v>
      </c>
    </row>
    <row r="144" spans="1:11" x14ac:dyDescent="0.25">
      <c r="A144" s="3">
        <v>41402</v>
      </c>
      <c r="B144">
        <v>2542.8000000000002</v>
      </c>
      <c r="C144">
        <f t="shared" si="4"/>
        <v>1.0050831245009764</v>
      </c>
      <c r="D144">
        <v>128</v>
      </c>
      <c r="E144">
        <f t="shared" si="5"/>
        <v>5.0702490369224987E-3</v>
      </c>
      <c r="F144">
        <f t="shared" si="6"/>
        <v>3.0619416860908124E-5</v>
      </c>
      <c r="G144">
        <f t="shared" si="7"/>
        <v>5.0702490369224987E-3</v>
      </c>
      <c r="J144">
        <v>113</v>
      </c>
      <c r="K144">
        <v>0.15754897451126262</v>
      </c>
    </row>
    <row r="145" spans="1:11" x14ac:dyDescent="0.25">
      <c r="A145" s="3">
        <v>41401</v>
      </c>
      <c r="B145">
        <v>2529.94</v>
      </c>
      <c r="C145">
        <f t="shared" si="4"/>
        <v>1.0015677083745715</v>
      </c>
      <c r="D145">
        <v>129</v>
      </c>
      <c r="E145">
        <f t="shared" si="5"/>
        <v>1.5664808026134448E-3</v>
      </c>
      <c r="F145">
        <f t="shared" si="6"/>
        <v>4.1197357025221821E-6</v>
      </c>
      <c r="G145">
        <f t="shared" si="7"/>
        <v>1.5664808026134448E-3</v>
      </c>
      <c r="J145">
        <v>114</v>
      </c>
      <c r="K145">
        <v>0.15753694950817354</v>
      </c>
    </row>
    <row r="146" spans="1:11" x14ac:dyDescent="0.25">
      <c r="A146" s="3">
        <v>41400</v>
      </c>
      <c r="B146">
        <v>2525.98</v>
      </c>
      <c r="C146">
        <f t="shared" ref="C146:C209" si="8">B146/B147</f>
        <v>1.0132656213020126</v>
      </c>
      <c r="D146">
        <v>130</v>
      </c>
      <c r="E146">
        <f t="shared" ref="E146:E209" si="9">IF(D146&gt;$B$6,0,LN(C146))</f>
        <v>1.3178403433852367E-2</v>
      </c>
      <c r="F146">
        <f t="shared" ref="F146:F209" si="10">IF(D146&gt;$B$6,0,(E146-$B$7)^2)</f>
        <v>1.8609422834212953E-4</v>
      </c>
      <c r="G146">
        <f t="shared" ref="G146:G209" si="11">IF(D146&lt;=$B$6,E146,"extra")</f>
        <v>1.3178403433852367E-2</v>
      </c>
      <c r="J146">
        <v>115</v>
      </c>
      <c r="K146">
        <v>0.15857219303677245</v>
      </c>
    </row>
    <row r="147" spans="1:11" x14ac:dyDescent="0.25">
      <c r="A147" s="3">
        <v>41397</v>
      </c>
      <c r="B147">
        <v>2492.91</v>
      </c>
      <c r="C147">
        <f t="shared" si="8"/>
        <v>1.017663819989876</v>
      </c>
      <c r="D147">
        <v>131</v>
      </c>
      <c r="E147">
        <f t="shared" si="9"/>
        <v>1.7509627822162577E-2</v>
      </c>
      <c r="F147">
        <f t="shared" si="10"/>
        <v>3.2302370472176079E-4</v>
      </c>
      <c r="G147">
        <f t="shared" si="11"/>
        <v>1.7509627822162577E-2</v>
      </c>
      <c r="J147">
        <v>116</v>
      </c>
      <c r="K147">
        <v>0.15857029912940751</v>
      </c>
    </row>
    <row r="148" spans="1:11" x14ac:dyDescent="0.25">
      <c r="A148" s="3">
        <v>41396</v>
      </c>
      <c r="B148">
        <v>2449.64</v>
      </c>
      <c r="C148">
        <f t="shared" si="8"/>
        <v>1.0009520657374831</v>
      </c>
      <c r="D148">
        <v>132</v>
      </c>
      <c r="E148">
        <f t="shared" si="9"/>
        <v>9.5161281035363642E-4</v>
      </c>
      <c r="F148">
        <f t="shared" si="10"/>
        <v>2.0017869815700233E-6</v>
      </c>
      <c r="G148">
        <f t="shared" si="11"/>
        <v>9.5161281035363642E-4</v>
      </c>
      <c r="J148">
        <v>117</v>
      </c>
      <c r="K148">
        <v>0.15868941694172226</v>
      </c>
    </row>
    <row r="149" spans="1:11" x14ac:dyDescent="0.25">
      <c r="A149" s="3">
        <v>41390</v>
      </c>
      <c r="B149">
        <v>2447.31</v>
      </c>
      <c r="C149">
        <f t="shared" si="8"/>
        <v>0.9916649107736194</v>
      </c>
      <c r="D149">
        <v>133</v>
      </c>
      <c r="E149">
        <f t="shared" si="9"/>
        <v>-8.3700203205352326E-3</v>
      </c>
      <c r="F149">
        <f t="shared" si="10"/>
        <v>6.2517295151531455E-5</v>
      </c>
      <c r="G149">
        <f t="shared" si="11"/>
        <v>-8.3700203205352326E-3</v>
      </c>
      <c r="J149">
        <v>118</v>
      </c>
      <c r="K149">
        <v>0.15919083458538674</v>
      </c>
    </row>
    <row r="150" spans="1:11" x14ac:dyDescent="0.25">
      <c r="A150" s="3">
        <v>41389</v>
      </c>
      <c r="B150">
        <v>2467.88</v>
      </c>
      <c r="C150">
        <f t="shared" si="8"/>
        <v>0.98890037586452861</v>
      </c>
      <c r="D150">
        <v>134</v>
      </c>
      <c r="E150">
        <f t="shared" si="9"/>
        <v>-1.1161684622809188E-2</v>
      </c>
      <c r="F150">
        <f t="shared" si="10"/>
        <v>1.1445687987065248E-4</v>
      </c>
      <c r="G150">
        <f t="shared" si="11"/>
        <v>-1.1161684622809188E-2</v>
      </c>
      <c r="J150">
        <v>119</v>
      </c>
      <c r="K150">
        <v>0.15919375399377866</v>
      </c>
    </row>
    <row r="151" spans="1:11" x14ac:dyDescent="0.25">
      <c r="A151" s="3">
        <v>41388</v>
      </c>
      <c r="B151">
        <v>2495.58</v>
      </c>
      <c r="C151">
        <f t="shared" si="8"/>
        <v>1.0188244803978004</v>
      </c>
      <c r="D151">
        <v>135</v>
      </c>
      <c r="E151">
        <f t="shared" si="9"/>
        <v>1.8649492493492261E-2</v>
      </c>
      <c r="F151">
        <f t="shared" si="10"/>
        <v>3.6529625302060277E-4</v>
      </c>
      <c r="G151">
        <f t="shared" si="11"/>
        <v>1.8649492493492261E-2</v>
      </c>
      <c r="J151">
        <v>120</v>
      </c>
      <c r="K151">
        <v>0.15920920582464479</v>
      </c>
    </row>
    <row r="152" spans="1:11" x14ac:dyDescent="0.25">
      <c r="A152" s="3">
        <v>41387</v>
      </c>
      <c r="B152">
        <v>2449.4699999999998</v>
      </c>
      <c r="C152">
        <f t="shared" si="8"/>
        <v>0.96791363551944731</v>
      </c>
      <c r="D152">
        <v>136</v>
      </c>
      <c r="E152">
        <f t="shared" si="9"/>
        <v>-3.2612415190559983E-2</v>
      </c>
      <c r="F152">
        <f t="shared" si="10"/>
        <v>1.0335699538211345E-3</v>
      </c>
      <c r="G152">
        <f t="shared" si="11"/>
        <v>-3.2612415190559983E-2</v>
      </c>
      <c r="J152">
        <v>121</v>
      </c>
      <c r="K152">
        <v>0.15937970327250672</v>
      </c>
    </row>
    <row r="153" spans="1:11" x14ac:dyDescent="0.25">
      <c r="A153" s="3">
        <v>41386</v>
      </c>
      <c r="B153">
        <v>2530.67</v>
      </c>
      <c r="C153">
        <f t="shared" si="8"/>
        <v>0.99875287608087371</v>
      </c>
      <c r="D153">
        <v>137</v>
      </c>
      <c r="E153">
        <f t="shared" si="9"/>
        <v>-1.2479022253245999E-3</v>
      </c>
      <c r="F153">
        <f t="shared" si="10"/>
        <v>6.1570672794817528E-7</v>
      </c>
      <c r="G153">
        <f t="shared" si="11"/>
        <v>-1.2479022253245999E-3</v>
      </c>
      <c r="J153">
        <v>122</v>
      </c>
      <c r="K153">
        <v>0.16019291894475954</v>
      </c>
    </row>
    <row r="154" spans="1:11" x14ac:dyDescent="0.25">
      <c r="A154" s="3">
        <v>41383</v>
      </c>
      <c r="B154">
        <v>2533.83</v>
      </c>
      <c r="C154">
        <f t="shared" si="8"/>
        <v>1.0279854757896019</v>
      </c>
      <c r="D154">
        <v>138</v>
      </c>
      <c r="E154">
        <f t="shared" si="9"/>
        <v>2.7601038323826918E-2</v>
      </c>
      <c r="F154">
        <f t="shared" si="10"/>
        <v>7.8760329150441262E-4</v>
      </c>
      <c r="G154">
        <f t="shared" si="11"/>
        <v>2.7601038323826918E-2</v>
      </c>
      <c r="J154">
        <v>123</v>
      </c>
      <c r="K154">
        <v>0.16128792125189939</v>
      </c>
    </row>
    <row r="155" spans="1:11" x14ac:dyDescent="0.25">
      <c r="A155" s="3">
        <v>41382</v>
      </c>
      <c r="B155">
        <v>2464.85</v>
      </c>
      <c r="C155">
        <f t="shared" si="8"/>
        <v>1.002595109966768</v>
      </c>
      <c r="D155">
        <v>139</v>
      </c>
      <c r="E155">
        <f t="shared" si="9"/>
        <v>2.5917484832551994E-3</v>
      </c>
      <c r="F155">
        <f t="shared" si="10"/>
        <v>9.3329082236335797E-6</v>
      </c>
      <c r="G155">
        <f t="shared" si="11"/>
        <v>2.5917484832551994E-3</v>
      </c>
      <c r="J155">
        <v>124</v>
      </c>
      <c r="K155">
        <v>0.16138826893319602</v>
      </c>
    </row>
    <row r="156" spans="1:11" x14ac:dyDescent="0.25">
      <c r="A156" s="3">
        <v>41381</v>
      </c>
      <c r="B156">
        <v>2458.4699999999998</v>
      </c>
      <c r="C156">
        <f t="shared" si="8"/>
        <v>0.99954463955374662</v>
      </c>
      <c r="D156">
        <v>140</v>
      </c>
      <c r="E156">
        <f t="shared" si="9"/>
        <v>-4.5546415430561434E-4</v>
      </c>
      <c r="F156">
        <f t="shared" si="10"/>
        <v>6.0345708753438528E-11</v>
      </c>
      <c r="G156">
        <f t="shared" si="11"/>
        <v>-4.5546415430561434E-4</v>
      </c>
      <c r="J156">
        <v>125</v>
      </c>
      <c r="K156">
        <v>0.16202597745906197</v>
      </c>
    </row>
    <row r="157" spans="1:11" x14ac:dyDescent="0.25">
      <c r="A157" s="3">
        <v>41380</v>
      </c>
      <c r="B157">
        <v>2459.59</v>
      </c>
      <c r="C157">
        <f t="shared" si="8"/>
        <v>1.0093441452384666</v>
      </c>
      <c r="D157">
        <v>141</v>
      </c>
      <c r="E157">
        <f t="shared" si="9"/>
        <v>9.3007587768669416E-3</v>
      </c>
      <c r="F157">
        <f t="shared" si="10"/>
        <v>9.5335523786883883E-5</v>
      </c>
      <c r="G157">
        <f t="shared" si="11"/>
        <v>9.3007587768669416E-3</v>
      </c>
      <c r="J157">
        <v>126</v>
      </c>
      <c r="K157">
        <v>0.16205097481066663</v>
      </c>
    </row>
    <row r="158" spans="1:11" x14ac:dyDescent="0.25">
      <c r="A158" s="3">
        <v>41379</v>
      </c>
      <c r="B158">
        <v>2436.8200000000002</v>
      </c>
      <c r="C158">
        <f t="shared" si="8"/>
        <v>0.98972832245512998</v>
      </c>
      <c r="D158">
        <v>142</v>
      </c>
      <c r="E158">
        <f t="shared" si="9"/>
        <v>-1.0324795276538346E-2</v>
      </c>
      <c r="F158">
        <f t="shared" si="10"/>
        <v>9.7250422282121968E-5</v>
      </c>
      <c r="G158">
        <f t="shared" si="11"/>
        <v>-1.0324795276538346E-2</v>
      </c>
      <c r="J158">
        <v>127</v>
      </c>
      <c r="K158">
        <v>0.16214425102861493</v>
      </c>
    </row>
    <row r="159" spans="1:11" x14ac:dyDescent="0.25">
      <c r="A159" s="3">
        <v>41376</v>
      </c>
      <c r="B159">
        <v>2462.11</v>
      </c>
      <c r="C159">
        <f t="shared" si="8"/>
        <v>0.99363568857248941</v>
      </c>
      <c r="D159">
        <v>143</v>
      </c>
      <c r="E159">
        <f t="shared" si="9"/>
        <v>-6.3846499974017593E-3</v>
      </c>
      <c r="F159">
        <f t="shared" si="10"/>
        <v>3.5063186311301869E-5</v>
      </c>
      <c r="G159">
        <f t="shared" si="11"/>
        <v>-6.3846499974017593E-3</v>
      </c>
      <c r="J159">
        <v>128</v>
      </c>
      <c r="K159">
        <v>0.16222286015733528</v>
      </c>
    </row>
    <row r="160" spans="1:11" x14ac:dyDescent="0.25">
      <c r="A160" s="3">
        <v>41375</v>
      </c>
      <c r="B160">
        <v>2477.88</v>
      </c>
      <c r="C160">
        <f t="shared" si="8"/>
        <v>0.99701043330610672</v>
      </c>
      <c r="D160">
        <v>144</v>
      </c>
      <c r="E160">
        <f t="shared" si="9"/>
        <v>-2.994044374845968E-3</v>
      </c>
      <c r="F160">
        <f t="shared" si="10"/>
        <v>6.4050092300052468E-6</v>
      </c>
      <c r="G160">
        <f t="shared" si="11"/>
        <v>-2.994044374845968E-3</v>
      </c>
      <c r="J160">
        <v>129</v>
      </c>
      <c r="K160">
        <v>0.16231337731925954</v>
      </c>
    </row>
    <row r="161" spans="1:11" x14ac:dyDescent="0.25">
      <c r="A161" s="3">
        <v>41374</v>
      </c>
      <c r="B161">
        <v>2485.31</v>
      </c>
      <c r="C161">
        <f t="shared" si="8"/>
        <v>0.99834500267129422</v>
      </c>
      <c r="D161">
        <v>145</v>
      </c>
      <c r="E161">
        <f t="shared" si="9"/>
        <v>-1.6563683496843018E-3</v>
      </c>
      <c r="F161">
        <f t="shared" si="10"/>
        <v>1.4235733840485721E-6</v>
      </c>
      <c r="G161">
        <f t="shared" si="11"/>
        <v>-1.6563683496843018E-3</v>
      </c>
      <c r="J161">
        <v>130</v>
      </c>
      <c r="K161">
        <v>0.1623177700185876</v>
      </c>
    </row>
    <row r="162" spans="1:11" x14ac:dyDescent="0.25">
      <c r="A162" s="3">
        <v>41373</v>
      </c>
      <c r="B162">
        <v>2489.4299999999998</v>
      </c>
      <c r="C162">
        <f t="shared" si="8"/>
        <v>1.006928770780245</v>
      </c>
      <c r="D162">
        <v>146</v>
      </c>
      <c r="E162">
        <f t="shared" si="9"/>
        <v>6.9048771534654619E-3</v>
      </c>
      <c r="F162">
        <f t="shared" si="10"/>
        <v>5.4289038455972837E-5</v>
      </c>
      <c r="G162">
        <f t="shared" si="11"/>
        <v>6.9048771534654619E-3</v>
      </c>
      <c r="J162">
        <v>131</v>
      </c>
      <c r="K162">
        <v>0.16289272425906742</v>
      </c>
    </row>
    <row r="163" spans="1:11" x14ac:dyDescent="0.25">
      <c r="A163" s="3">
        <v>41372</v>
      </c>
      <c r="B163">
        <v>2472.3000000000002</v>
      </c>
      <c r="C163">
        <f t="shared" si="8"/>
        <v>0.99547019387570213</v>
      </c>
      <c r="D163">
        <v>147</v>
      </c>
      <c r="E163">
        <f t="shared" si="9"/>
        <v>-4.5400967842821041E-3</v>
      </c>
      <c r="F163">
        <f t="shared" si="10"/>
        <v>1.6620823172358474E-5</v>
      </c>
      <c r="G163">
        <f t="shared" si="11"/>
        <v>-4.5400967842821041E-3</v>
      </c>
      <c r="J163">
        <v>132</v>
      </c>
      <c r="K163">
        <v>0.16387799266897385</v>
      </c>
    </row>
    <row r="164" spans="1:11" x14ac:dyDescent="0.25">
      <c r="A164" s="3">
        <v>41367</v>
      </c>
      <c r="B164">
        <v>2483.5500000000002</v>
      </c>
      <c r="C164">
        <f t="shared" si="8"/>
        <v>0.99885778176392293</v>
      </c>
      <c r="D164">
        <v>148</v>
      </c>
      <c r="E164">
        <f t="shared" si="9"/>
        <v>-1.1428710644888465E-3</v>
      </c>
      <c r="F164">
        <f t="shared" si="10"/>
        <v>4.6190870835520926E-7</v>
      </c>
      <c r="G164">
        <f t="shared" si="11"/>
        <v>-1.1428710644888465E-3</v>
      </c>
      <c r="J164">
        <v>133</v>
      </c>
      <c r="K164">
        <v>0.16387344445091823</v>
      </c>
    </row>
    <row r="165" spans="1:11" x14ac:dyDescent="0.25">
      <c r="A165" s="3">
        <v>41366</v>
      </c>
      <c r="B165">
        <v>2486.39</v>
      </c>
      <c r="C165">
        <f t="shared" si="8"/>
        <v>0.99727257048199291</v>
      </c>
      <c r="D165">
        <v>149</v>
      </c>
      <c r="E165">
        <f t="shared" si="9"/>
        <v>-2.7311557307588782E-3</v>
      </c>
      <c r="F165">
        <f t="shared" si="10"/>
        <v>5.1434762144691193E-6</v>
      </c>
      <c r="G165">
        <f t="shared" si="11"/>
        <v>-2.7311557307588782E-3</v>
      </c>
      <c r="J165">
        <v>134</v>
      </c>
      <c r="K165">
        <v>0.16406394994885876</v>
      </c>
    </row>
    <row r="166" spans="1:11" x14ac:dyDescent="0.25">
      <c r="A166" s="3">
        <v>41365</v>
      </c>
      <c r="B166">
        <v>2493.19</v>
      </c>
      <c r="C166">
        <f t="shared" si="8"/>
        <v>0.99924250925822022</v>
      </c>
      <c r="D166">
        <v>150</v>
      </c>
      <c r="E166">
        <f t="shared" si="9"/>
        <v>-7.577777828548421E-4</v>
      </c>
      <c r="F166">
        <f t="shared" si="10"/>
        <v>8.6756979998509865E-8</v>
      </c>
      <c r="G166">
        <f t="shared" si="11"/>
        <v>-7.577777828548421E-4</v>
      </c>
      <c r="J166">
        <v>135</v>
      </c>
      <c r="K166">
        <v>0.16441223449889528</v>
      </c>
    </row>
    <row r="167" spans="1:11" x14ac:dyDescent="0.25">
      <c r="A167" s="3">
        <v>41362</v>
      </c>
      <c r="B167">
        <v>2495.08</v>
      </c>
      <c r="C167">
        <f t="shared" si="8"/>
        <v>0.99831152722762362</v>
      </c>
      <c r="D167">
        <v>151</v>
      </c>
      <c r="E167">
        <f t="shared" si="9"/>
        <v>-1.6898998491409825E-3</v>
      </c>
      <c r="F167">
        <f t="shared" si="10"/>
        <v>1.5047130201098265E-6</v>
      </c>
      <c r="G167">
        <f t="shared" si="11"/>
        <v>-1.6898998491409825E-3</v>
      </c>
      <c r="J167">
        <v>136</v>
      </c>
      <c r="K167">
        <v>0.16551659172242789</v>
      </c>
    </row>
    <row r="168" spans="1:11" x14ac:dyDescent="0.25">
      <c r="A168" s="3">
        <v>41361</v>
      </c>
      <c r="B168">
        <v>2499.3000000000002</v>
      </c>
      <c r="C168">
        <f t="shared" si="8"/>
        <v>0.96739732072009998</v>
      </c>
      <c r="D168">
        <v>152</v>
      </c>
      <c r="E168">
        <f t="shared" si="9"/>
        <v>-3.314598816490013E-2</v>
      </c>
      <c r="F168">
        <f t="shared" si="10"/>
        <v>1.0681625241037668E-3</v>
      </c>
      <c r="G168">
        <f t="shared" si="11"/>
        <v>-3.314598816490013E-2</v>
      </c>
      <c r="J168">
        <v>137</v>
      </c>
      <c r="K168">
        <v>0.16865413068901114</v>
      </c>
    </row>
    <row r="169" spans="1:11" x14ac:dyDescent="0.25">
      <c r="A169" s="3">
        <v>41360</v>
      </c>
      <c r="B169">
        <v>2583.5300000000002</v>
      </c>
      <c r="C169">
        <f t="shared" si="8"/>
        <v>1.0032931399390304</v>
      </c>
      <c r="D169">
        <v>153</v>
      </c>
      <c r="E169">
        <f t="shared" si="9"/>
        <v>3.2877294288254492E-3</v>
      </c>
      <c r="F169">
        <f t="shared" si="10"/>
        <v>1.4069714673939574E-5</v>
      </c>
      <c r="G169">
        <f t="shared" si="11"/>
        <v>3.2877294288254492E-3</v>
      </c>
      <c r="J169">
        <v>138</v>
      </c>
      <c r="K169">
        <v>0.16864656529572203</v>
      </c>
    </row>
    <row r="170" spans="1:11" x14ac:dyDescent="0.25">
      <c r="A170" s="3">
        <v>41359</v>
      </c>
      <c r="B170">
        <v>2575.0500000000002</v>
      </c>
      <c r="C170">
        <f t="shared" si="8"/>
        <v>0.98543875090888222</v>
      </c>
      <c r="D170">
        <v>154</v>
      </c>
      <c r="E170">
        <f t="shared" si="9"/>
        <v>-1.4668304590803477E-2</v>
      </c>
      <c r="F170">
        <f t="shared" si="10"/>
        <v>2.0178407582235175E-4</v>
      </c>
      <c r="G170">
        <f t="shared" si="11"/>
        <v>-1.4668304590803477E-2</v>
      </c>
      <c r="J170">
        <v>139</v>
      </c>
      <c r="K170">
        <v>0.17098753304407266</v>
      </c>
    </row>
    <row r="171" spans="1:11" x14ac:dyDescent="0.25">
      <c r="A171" s="3">
        <v>41358</v>
      </c>
      <c r="B171">
        <v>2613.1</v>
      </c>
      <c r="C171">
        <f t="shared" si="8"/>
        <v>0.99801016686335842</v>
      </c>
      <c r="D171">
        <v>155</v>
      </c>
      <c r="E171">
        <f t="shared" si="9"/>
        <v>-1.9918154847285473E-3</v>
      </c>
      <c r="F171">
        <f t="shared" si="10"/>
        <v>2.3365662336193048E-6</v>
      </c>
      <c r="G171">
        <f t="shared" si="11"/>
        <v>-1.9918154847285473E-3</v>
      </c>
      <c r="J171">
        <v>140</v>
      </c>
      <c r="K171">
        <v>0.17100399369457672</v>
      </c>
    </row>
    <row r="172" spans="1:11" x14ac:dyDescent="0.25">
      <c r="A172" s="3">
        <v>41355</v>
      </c>
      <c r="B172">
        <v>2618.31</v>
      </c>
      <c r="C172">
        <f t="shared" si="8"/>
        <v>1.0012696033254429</v>
      </c>
      <c r="D172">
        <v>156</v>
      </c>
      <c r="E172">
        <f t="shared" si="9"/>
        <v>1.2687980606467615E-3</v>
      </c>
      <c r="F172">
        <f t="shared" si="10"/>
        <v>2.9999295316771964E-6</v>
      </c>
      <c r="G172">
        <f t="shared" si="11"/>
        <v>1.2687980606467615E-3</v>
      </c>
      <c r="J172">
        <v>141</v>
      </c>
      <c r="K172">
        <v>0.17099525815279867</v>
      </c>
    </row>
    <row r="173" spans="1:11" x14ac:dyDescent="0.25">
      <c r="A173" s="3">
        <v>41354</v>
      </c>
      <c r="B173">
        <v>2614.9899999999998</v>
      </c>
      <c r="C173">
        <f t="shared" si="8"/>
        <v>1.0018466230168914</v>
      </c>
      <c r="D173">
        <v>157</v>
      </c>
      <c r="E173">
        <f t="shared" si="9"/>
        <v>1.844920104710429E-3</v>
      </c>
      <c r="F173">
        <f t="shared" si="10"/>
        <v>5.3275680050823531E-6</v>
      </c>
      <c r="G173">
        <f t="shared" si="11"/>
        <v>1.844920104710429E-3</v>
      </c>
      <c r="J173">
        <v>142</v>
      </c>
      <c r="K173">
        <v>0.17125914924581909</v>
      </c>
    </row>
    <row r="174" spans="1:11" x14ac:dyDescent="0.25">
      <c r="A174" s="3">
        <v>41353</v>
      </c>
      <c r="B174">
        <v>2610.17</v>
      </c>
      <c r="C174">
        <f t="shared" si="8"/>
        <v>1.0336897548611936</v>
      </c>
      <c r="D174">
        <v>158</v>
      </c>
      <c r="E174">
        <f t="shared" si="9"/>
        <v>3.3134687409582503E-2</v>
      </c>
      <c r="F174">
        <f t="shared" si="10"/>
        <v>1.1288202158234442E-3</v>
      </c>
      <c r="G174">
        <f t="shared" si="11"/>
        <v>3.3134687409582503E-2</v>
      </c>
      <c r="J174">
        <v>143</v>
      </c>
      <c r="K174">
        <v>0.17154847551516575</v>
      </c>
    </row>
    <row r="175" spans="1:11" x14ac:dyDescent="0.25">
      <c r="A175" s="3">
        <v>41352</v>
      </c>
      <c r="B175">
        <v>2525.1</v>
      </c>
      <c r="C175">
        <f t="shared" si="8"/>
        <v>1.0090350011388658</v>
      </c>
      <c r="D175">
        <v>159</v>
      </c>
      <c r="E175">
        <f t="shared" si="9"/>
        <v>8.9944297082446088E-3</v>
      </c>
      <c r="F175">
        <f t="shared" si="10"/>
        <v>8.9447372636009139E-5</v>
      </c>
      <c r="G175">
        <f t="shared" si="11"/>
        <v>8.9944297082446088E-3</v>
      </c>
      <c r="J175">
        <v>144</v>
      </c>
      <c r="K175">
        <v>0.17164773455361915</v>
      </c>
    </row>
    <row r="176" spans="1:11" x14ac:dyDescent="0.25">
      <c r="A176" s="3">
        <v>41351</v>
      </c>
      <c r="B176">
        <v>2502.4899999999998</v>
      </c>
      <c r="C176">
        <f t="shared" si="8"/>
        <v>0.98528271131987066</v>
      </c>
      <c r="D176">
        <v>160</v>
      </c>
      <c r="E176">
        <f t="shared" si="9"/>
        <v>-1.4826662423027189E-2</v>
      </c>
      <c r="F176">
        <f t="shared" si="10"/>
        <v>2.0630812190143452E-4</v>
      </c>
      <c r="G176">
        <f t="shared" si="11"/>
        <v>-1.4826662423027189E-2</v>
      </c>
      <c r="J176">
        <v>145</v>
      </c>
      <c r="K176">
        <v>0.17165962020399436</v>
      </c>
    </row>
    <row r="177" spans="1:11" x14ac:dyDescent="0.25">
      <c r="A177" s="3">
        <v>41348</v>
      </c>
      <c r="B177">
        <v>2539.87</v>
      </c>
      <c r="C177">
        <f t="shared" si="8"/>
        <v>1.002209709304849</v>
      </c>
      <c r="D177">
        <v>161</v>
      </c>
      <c r="E177">
        <f t="shared" si="9"/>
        <v>2.2072714878271309E-3</v>
      </c>
      <c r="F177">
        <f t="shared" si="10"/>
        <v>7.1315910381336672E-6</v>
      </c>
      <c r="G177">
        <f t="shared" si="11"/>
        <v>2.2072714878271309E-3</v>
      </c>
      <c r="J177">
        <v>146</v>
      </c>
      <c r="K177">
        <v>0.17165612750037487</v>
      </c>
    </row>
    <row r="178" spans="1:11" x14ac:dyDescent="0.25">
      <c r="A178" s="3">
        <v>41347</v>
      </c>
      <c r="B178">
        <v>2534.27</v>
      </c>
      <c r="C178">
        <f t="shared" si="8"/>
        <v>1.0026825031948694</v>
      </c>
      <c r="D178">
        <v>162</v>
      </c>
      <c r="E178">
        <f t="shared" si="9"/>
        <v>2.6789117045299864E-3</v>
      </c>
      <c r="F178">
        <f t="shared" si="10"/>
        <v>9.8730696009697479E-6</v>
      </c>
      <c r="G178">
        <f t="shared" si="11"/>
        <v>2.6789117045299864E-3</v>
      </c>
      <c r="J178">
        <v>147</v>
      </c>
      <c r="K178">
        <v>0.17180425177047781</v>
      </c>
    </row>
    <row r="179" spans="1:11" x14ac:dyDescent="0.25">
      <c r="A179" s="3">
        <v>41346</v>
      </c>
      <c r="B179">
        <v>2527.4899999999998</v>
      </c>
      <c r="C179">
        <f t="shared" si="8"/>
        <v>0.98899675615606442</v>
      </c>
      <c r="D179">
        <v>163</v>
      </c>
      <c r="E179">
        <f t="shared" si="9"/>
        <v>-1.1064227287893467E-2</v>
      </c>
      <c r="F179">
        <f t="shared" si="10"/>
        <v>1.1238109252091295E-4</v>
      </c>
      <c r="G179">
        <f t="shared" si="11"/>
        <v>-1.1064227287893467E-2</v>
      </c>
      <c r="J179">
        <v>148</v>
      </c>
      <c r="K179">
        <v>0.17184779840742961</v>
      </c>
    </row>
    <row r="180" spans="1:11" x14ac:dyDescent="0.25">
      <c r="A180" s="3">
        <v>41345</v>
      </c>
      <c r="B180">
        <v>2555.61</v>
      </c>
      <c r="C180">
        <f t="shared" si="8"/>
        <v>0.98581992539645202</v>
      </c>
      <c r="D180">
        <v>164</v>
      </c>
      <c r="E180">
        <f t="shared" si="9"/>
        <v>-1.4281572502415175E-2</v>
      </c>
      <c r="F180">
        <f t="shared" si="10"/>
        <v>1.909465230657935E-4</v>
      </c>
      <c r="G180">
        <f t="shared" si="11"/>
        <v>-1.4281572502415175E-2</v>
      </c>
      <c r="J180">
        <v>149</v>
      </c>
      <c r="K180">
        <v>0.17184163152512644</v>
      </c>
    </row>
    <row r="181" spans="1:11" x14ac:dyDescent="0.25">
      <c r="A181" s="3">
        <v>41344</v>
      </c>
      <c r="B181">
        <v>2592.37</v>
      </c>
      <c r="C181">
        <f t="shared" si="8"/>
        <v>0.99441488647566301</v>
      </c>
      <c r="D181">
        <v>165</v>
      </c>
      <c r="E181">
        <f t="shared" si="9"/>
        <v>-5.6007685882940366E-3</v>
      </c>
      <c r="F181">
        <f t="shared" si="10"/>
        <v>2.6394278041333367E-5</v>
      </c>
      <c r="G181">
        <f t="shared" si="11"/>
        <v>-5.6007685882940366E-3</v>
      </c>
      <c r="J181">
        <v>150</v>
      </c>
      <c r="K181">
        <v>0.17185004356563682</v>
      </c>
    </row>
    <row r="182" spans="1:11" x14ac:dyDescent="0.25">
      <c r="A182" s="3">
        <v>41341</v>
      </c>
      <c r="B182">
        <v>2606.9299999999998</v>
      </c>
      <c r="C182">
        <f t="shared" si="8"/>
        <v>0.99520897277322207</v>
      </c>
      <c r="D182">
        <v>166</v>
      </c>
      <c r="E182">
        <f t="shared" si="9"/>
        <v>-4.8025409876030611E-3</v>
      </c>
      <c r="F182">
        <f t="shared" si="10"/>
        <v>1.8829598980692938E-5</v>
      </c>
      <c r="G182">
        <f t="shared" si="11"/>
        <v>-4.8025409876030611E-3</v>
      </c>
      <c r="J182">
        <v>151</v>
      </c>
      <c r="K182">
        <v>0.17184274009302752</v>
      </c>
    </row>
    <row r="183" spans="1:11" x14ac:dyDescent="0.25">
      <c r="A183" s="3">
        <v>41340</v>
      </c>
      <c r="B183">
        <v>2619.48</v>
      </c>
      <c r="C183">
        <f t="shared" si="8"/>
        <v>0.98840842200588641</v>
      </c>
      <c r="D183">
        <v>167</v>
      </c>
      <c r="E183">
        <f t="shared" si="9"/>
        <v>-1.1659284056264299E-2</v>
      </c>
      <c r="F183">
        <f t="shared" si="10"/>
        <v>1.25351572592331E-4</v>
      </c>
      <c r="G183">
        <f t="shared" si="11"/>
        <v>-1.1659284056264299E-2</v>
      </c>
      <c r="J183">
        <v>152</v>
      </c>
      <c r="K183">
        <v>0.17184004686079377</v>
      </c>
    </row>
    <row r="184" spans="1:11" x14ac:dyDescent="0.25">
      <c r="A184" s="3">
        <v>41339</v>
      </c>
      <c r="B184">
        <v>2650.2</v>
      </c>
      <c r="C184">
        <f t="shared" si="8"/>
        <v>1.0104429981584635</v>
      </c>
      <c r="D184">
        <v>168</v>
      </c>
      <c r="E184">
        <f t="shared" si="9"/>
        <v>1.0388846729108336E-2</v>
      </c>
      <c r="F184">
        <f t="shared" si="10"/>
        <v>1.177676215188437E-4</v>
      </c>
      <c r="G184">
        <f t="shared" si="11"/>
        <v>1.0388846729108336E-2</v>
      </c>
      <c r="J184">
        <v>153</v>
      </c>
      <c r="K184">
        <v>0.17494398161802069</v>
      </c>
    </row>
    <row r="185" spans="1:11" x14ac:dyDescent="0.25">
      <c r="A185" s="3">
        <v>41338</v>
      </c>
      <c r="B185">
        <v>2622.81</v>
      </c>
      <c r="C185">
        <f t="shared" si="8"/>
        <v>1.0302821991420896</v>
      </c>
      <c r="D185">
        <v>169</v>
      </c>
      <c r="E185">
        <f t="shared" si="9"/>
        <v>2.98327444655484E-2</v>
      </c>
      <c r="F185">
        <f t="shared" si="10"/>
        <v>9.1784621450142405E-4</v>
      </c>
      <c r="G185">
        <f t="shared" si="11"/>
        <v>2.98327444655484E-2</v>
      </c>
      <c r="J185">
        <v>154</v>
      </c>
      <c r="K185">
        <v>0.17498041230671607</v>
      </c>
    </row>
    <row r="186" spans="1:11" x14ac:dyDescent="0.25">
      <c r="A186" s="3">
        <v>41337</v>
      </c>
      <c r="B186">
        <v>2545.7199999999998</v>
      </c>
      <c r="C186">
        <f t="shared" si="8"/>
        <v>0.95386759790770514</v>
      </c>
      <c r="D186">
        <v>170</v>
      </c>
      <c r="E186">
        <f t="shared" si="9"/>
        <v>-4.7230403425821868E-2</v>
      </c>
      <c r="F186">
        <f t="shared" si="10"/>
        <v>2.1871682853515898E-3</v>
      </c>
      <c r="G186">
        <f t="shared" si="11"/>
        <v>-4.7230403425821868E-2</v>
      </c>
      <c r="J186">
        <v>155</v>
      </c>
      <c r="K186">
        <v>0.17554164673316766</v>
      </c>
    </row>
    <row r="187" spans="1:11" x14ac:dyDescent="0.25">
      <c r="A187" s="3">
        <v>41334</v>
      </c>
      <c r="B187">
        <v>2668.84</v>
      </c>
      <c r="C187">
        <f t="shared" si="8"/>
        <v>0.99832044678359955</v>
      </c>
      <c r="D187">
        <v>171</v>
      </c>
      <c r="E187">
        <f t="shared" si="9"/>
        <v>-1.6809652471791918E-3</v>
      </c>
      <c r="F187">
        <f t="shared" si="10"/>
        <v>1.4828732765046551E-6</v>
      </c>
      <c r="G187">
        <f t="shared" si="11"/>
        <v>-1.6809652471791918E-3</v>
      </c>
      <c r="J187">
        <v>156</v>
      </c>
      <c r="K187">
        <v>0.17553917268481697</v>
      </c>
    </row>
    <row r="188" spans="1:11" x14ac:dyDescent="0.25">
      <c r="A188" s="3">
        <v>41333</v>
      </c>
      <c r="B188">
        <v>2673.33</v>
      </c>
      <c r="C188">
        <f t="shared" si="8"/>
        <v>1.0303120230625742</v>
      </c>
      <c r="D188">
        <v>172</v>
      </c>
      <c r="E188">
        <f t="shared" si="9"/>
        <v>2.9861691378206181E-2</v>
      </c>
      <c r="F188">
        <f t="shared" si="10"/>
        <v>9.1960100241784666E-4</v>
      </c>
      <c r="G188">
        <f t="shared" si="11"/>
        <v>2.9861691378206181E-2</v>
      </c>
      <c r="J188">
        <v>157</v>
      </c>
      <c r="K188">
        <v>0.17554297378739792</v>
      </c>
    </row>
    <row r="189" spans="1:11" x14ac:dyDescent="0.25">
      <c r="A189" s="3">
        <v>41332</v>
      </c>
      <c r="B189">
        <v>2594.6799999999998</v>
      </c>
      <c r="C189">
        <f t="shared" si="8"/>
        <v>1.0105507499250268</v>
      </c>
      <c r="D189">
        <v>173</v>
      </c>
      <c r="E189">
        <f t="shared" si="9"/>
        <v>1.049547918828104E-2</v>
      </c>
      <c r="F189">
        <f t="shared" si="10"/>
        <v>1.2009335977046783E-4</v>
      </c>
      <c r="G189">
        <f t="shared" si="11"/>
        <v>1.049547918828104E-2</v>
      </c>
      <c r="J189">
        <v>158</v>
      </c>
      <c r="K189">
        <v>0.17555412249485358</v>
      </c>
    </row>
    <row r="190" spans="1:11" x14ac:dyDescent="0.25">
      <c r="A190" s="3">
        <v>41331</v>
      </c>
      <c r="B190">
        <v>2567.59</v>
      </c>
      <c r="C190">
        <f t="shared" si="8"/>
        <v>0.98565429027701001</v>
      </c>
      <c r="D190">
        <v>174</v>
      </c>
      <c r="E190">
        <f t="shared" si="9"/>
        <v>-1.444960424081166E-2</v>
      </c>
      <c r="F190">
        <f t="shared" si="10"/>
        <v>1.956185971477655E-4</v>
      </c>
      <c r="G190">
        <f t="shared" si="11"/>
        <v>-1.444960424081166E-2</v>
      </c>
      <c r="J190">
        <v>159</v>
      </c>
      <c r="K190">
        <v>0.17879188381555361</v>
      </c>
    </row>
    <row r="191" spans="1:11" x14ac:dyDescent="0.25">
      <c r="A191" s="3">
        <v>41330</v>
      </c>
      <c r="B191">
        <v>2604.96</v>
      </c>
      <c r="C191">
        <f t="shared" si="8"/>
        <v>1.0032195948548102</v>
      </c>
      <c r="D191">
        <v>175</v>
      </c>
      <c r="E191">
        <f t="shared" si="9"/>
        <v>3.2144230570513516E-3</v>
      </c>
      <c r="F191">
        <f t="shared" si="10"/>
        <v>1.3525149692775824E-5</v>
      </c>
      <c r="G191">
        <f t="shared" si="11"/>
        <v>3.2144230570513516E-3</v>
      </c>
      <c r="J191">
        <v>160</v>
      </c>
      <c r="K191">
        <v>0.17903576673719296</v>
      </c>
    </row>
    <row r="192" spans="1:11" x14ac:dyDescent="0.25">
      <c r="A192" s="3">
        <v>41327</v>
      </c>
      <c r="B192">
        <v>2596.6</v>
      </c>
      <c r="C192">
        <f t="shared" si="8"/>
        <v>0.99465629848116288</v>
      </c>
      <c r="D192">
        <v>176</v>
      </c>
      <c r="E192">
        <f t="shared" si="9"/>
        <v>-5.3580301599149768E-3</v>
      </c>
      <c r="F192">
        <f t="shared" si="10"/>
        <v>2.3959045067883089E-5</v>
      </c>
      <c r="G192">
        <f t="shared" si="11"/>
        <v>-5.3580301599149768E-3</v>
      </c>
      <c r="J192">
        <v>161</v>
      </c>
      <c r="K192">
        <v>0.1796132097059869</v>
      </c>
    </row>
    <row r="193" spans="1:11" x14ac:dyDescent="0.25">
      <c r="A193" s="3">
        <v>41326</v>
      </c>
      <c r="B193">
        <v>2610.5500000000002</v>
      </c>
      <c r="C193">
        <f t="shared" si="8"/>
        <v>0.96592590948110002</v>
      </c>
      <c r="D193">
        <v>177</v>
      </c>
      <c r="E193">
        <f t="shared" si="9"/>
        <v>-3.466814597081181E-2</v>
      </c>
      <c r="F193">
        <f t="shared" si="10"/>
        <v>1.1699761120891172E-3</v>
      </c>
      <c r="G193">
        <f t="shared" si="11"/>
        <v>-3.466814597081181E-2</v>
      </c>
      <c r="J193">
        <v>162</v>
      </c>
      <c r="K193">
        <v>0.17962651949830599</v>
      </c>
    </row>
    <row r="194" spans="1:11" x14ac:dyDescent="0.25">
      <c r="A194" s="3">
        <v>41325</v>
      </c>
      <c r="B194">
        <v>2702.64</v>
      </c>
      <c r="C194">
        <f t="shared" si="8"/>
        <v>1.0063412036743979</v>
      </c>
      <c r="D194">
        <v>178</v>
      </c>
      <c r="E194">
        <f t="shared" si="9"/>
        <v>6.3211828352822399E-3</v>
      </c>
      <c r="F194">
        <f t="shared" si="10"/>
        <v>4.6028290143755356E-5</v>
      </c>
      <c r="G194">
        <f t="shared" si="11"/>
        <v>6.3211828352822399E-3</v>
      </c>
      <c r="J194">
        <v>163</v>
      </c>
      <c r="K194">
        <v>0.17964734871193352</v>
      </c>
    </row>
    <row r="195" spans="1:11" x14ac:dyDescent="0.25">
      <c r="A195" s="3">
        <v>41324</v>
      </c>
      <c r="B195">
        <v>2685.61</v>
      </c>
      <c r="C195">
        <f t="shared" si="8"/>
        <v>0.98105550015159992</v>
      </c>
      <c r="D195">
        <v>179</v>
      </c>
      <c r="E195">
        <f t="shared" si="9"/>
        <v>-1.9126245938999829E-2</v>
      </c>
      <c r="F195">
        <f t="shared" si="10"/>
        <v>3.4830807419451953E-4</v>
      </c>
      <c r="G195">
        <f t="shared" si="11"/>
        <v>-1.9126245938999829E-2</v>
      </c>
      <c r="J195">
        <v>164</v>
      </c>
      <c r="K195">
        <v>0.17995591447323719</v>
      </c>
    </row>
    <row r="196" spans="1:11" x14ac:dyDescent="0.25">
      <c r="A196" s="3">
        <v>41323</v>
      </c>
      <c r="B196">
        <v>2737.47</v>
      </c>
      <c r="C196">
        <f t="shared" si="8"/>
        <v>0.98764305196773128</v>
      </c>
      <c r="D196">
        <v>180</v>
      </c>
      <c r="E196">
        <f t="shared" si="9"/>
        <v>-1.243392994632244E-2</v>
      </c>
      <c r="F196">
        <f t="shared" si="10"/>
        <v>1.4329759964138298E-4</v>
      </c>
      <c r="G196">
        <f t="shared" si="11"/>
        <v>-1.243392994632244E-2</v>
      </c>
      <c r="J196">
        <v>165</v>
      </c>
      <c r="K196">
        <v>0.18047838369090738</v>
      </c>
    </row>
    <row r="197" spans="1:11" x14ac:dyDescent="0.25">
      <c r="A197" s="3">
        <v>41313</v>
      </c>
      <c r="B197">
        <v>2771.72</v>
      </c>
      <c r="C197">
        <f t="shared" si="8"/>
        <v>1.0042936804994438</v>
      </c>
      <c r="D197">
        <v>181</v>
      </c>
      <c r="E197">
        <f t="shared" si="9"/>
        <v>4.2844889543076784E-3</v>
      </c>
      <c r="F197">
        <f t="shared" si="10"/>
        <v>2.2540858099455134E-5</v>
      </c>
      <c r="G197">
        <f t="shared" si="11"/>
        <v>4.2844889543076784E-3</v>
      </c>
      <c r="J197">
        <v>166</v>
      </c>
      <c r="K197">
        <v>0.18054149874514214</v>
      </c>
    </row>
    <row r="198" spans="1:11" x14ac:dyDescent="0.25">
      <c r="A198" s="3">
        <v>41312</v>
      </c>
      <c r="B198">
        <v>2759.87</v>
      </c>
      <c r="C198">
        <f t="shared" si="8"/>
        <v>0.99424678655830301</v>
      </c>
      <c r="D198">
        <v>182</v>
      </c>
      <c r="E198">
        <f t="shared" si="9"/>
        <v>-5.7698269254056554E-3</v>
      </c>
      <c r="F198">
        <f t="shared" si="10"/>
        <v>2.8159945410896981E-5</v>
      </c>
      <c r="G198">
        <f t="shared" si="11"/>
        <v>-5.7698269254056554E-3</v>
      </c>
      <c r="J198">
        <v>167</v>
      </c>
      <c r="K198">
        <v>0.18058347999934485</v>
      </c>
    </row>
    <row r="199" spans="1:11" x14ac:dyDescent="0.25">
      <c r="A199" s="3">
        <v>41311</v>
      </c>
      <c r="B199">
        <v>2775.84</v>
      </c>
      <c r="C199">
        <f t="shared" si="8"/>
        <v>1.0015045081124376</v>
      </c>
      <c r="D199">
        <v>183</v>
      </c>
      <c r="E199">
        <f t="shared" si="9"/>
        <v>1.5033774740018343E-3</v>
      </c>
      <c r="F199">
        <f t="shared" si="10"/>
        <v>3.8675544136313552E-6</v>
      </c>
      <c r="G199">
        <f t="shared" si="11"/>
        <v>1.5033774740018343E-3</v>
      </c>
      <c r="J199">
        <v>168</v>
      </c>
      <c r="K199">
        <v>0.18091413432990963</v>
      </c>
    </row>
    <row r="200" spans="1:11" x14ac:dyDescent="0.25">
      <c r="A200" s="3">
        <v>41310</v>
      </c>
      <c r="B200">
        <v>2771.67</v>
      </c>
      <c r="C200">
        <f t="shared" si="8"/>
        <v>1.0086025261732949</v>
      </c>
      <c r="D200">
        <v>184</v>
      </c>
      <c r="E200">
        <f t="shared" si="9"/>
        <v>8.5657352907985707E-3</v>
      </c>
      <c r="F200">
        <f t="shared" si="10"/>
        <v>8.1522257640038044E-5</v>
      </c>
      <c r="G200">
        <f t="shared" si="11"/>
        <v>8.5657352907985707E-3</v>
      </c>
      <c r="J200">
        <v>169</v>
      </c>
      <c r="K200">
        <v>0.18125034505919035</v>
      </c>
    </row>
    <row r="201" spans="1:11" x14ac:dyDescent="0.25">
      <c r="A201" s="3">
        <v>41309</v>
      </c>
      <c r="B201">
        <v>2748.03</v>
      </c>
      <c r="C201">
        <f t="shared" si="8"/>
        <v>1.0017168977735007</v>
      </c>
      <c r="D201">
        <v>185</v>
      </c>
      <c r="E201">
        <f t="shared" si="9"/>
        <v>1.7154255893373162E-3</v>
      </c>
      <c r="F201">
        <f t="shared" si="10"/>
        <v>4.7465506534580179E-6</v>
      </c>
      <c r="G201">
        <f t="shared" si="11"/>
        <v>1.7154255893373162E-3</v>
      </c>
      <c r="J201">
        <v>170</v>
      </c>
      <c r="K201">
        <v>0.18380475047069764</v>
      </c>
    </row>
    <row r="202" spans="1:11" x14ac:dyDescent="0.25">
      <c r="A202" s="3">
        <v>41306</v>
      </c>
      <c r="B202">
        <v>2743.32</v>
      </c>
      <c r="C202">
        <f t="shared" si="8"/>
        <v>1.0210057762162805</v>
      </c>
      <c r="D202">
        <v>186</v>
      </c>
      <c r="E202">
        <f t="shared" si="9"/>
        <v>2.0788196577182151E-2</v>
      </c>
      <c r="F202">
        <f t="shared" si="10"/>
        <v>4.516232337571083E-4</v>
      </c>
      <c r="G202">
        <f t="shared" si="11"/>
        <v>2.0788196577182151E-2</v>
      </c>
      <c r="J202">
        <v>171</v>
      </c>
      <c r="K202">
        <v>0.1896868165434723</v>
      </c>
    </row>
    <row r="203" spans="1:11" x14ac:dyDescent="0.25">
      <c r="A203" s="3">
        <v>41305</v>
      </c>
      <c r="B203">
        <v>2686.88</v>
      </c>
      <c r="C203">
        <f t="shared" si="8"/>
        <v>0.99931937620643363</v>
      </c>
      <c r="D203">
        <v>187</v>
      </c>
      <c r="E203">
        <f t="shared" si="9"/>
        <v>-6.8085552309360756E-4</v>
      </c>
      <c r="F203">
        <f t="shared" si="10"/>
        <v>4.7359821811656756E-8</v>
      </c>
      <c r="G203">
        <f t="shared" si="11"/>
        <v>-6.8085552309360756E-4</v>
      </c>
      <c r="J203">
        <v>172</v>
      </c>
      <c r="K203">
        <v>0.1896826061593945</v>
      </c>
    </row>
    <row r="204" spans="1:11" x14ac:dyDescent="0.25">
      <c r="A204" s="3">
        <v>41304</v>
      </c>
      <c r="B204">
        <v>2688.71</v>
      </c>
      <c r="C204">
        <f t="shared" si="8"/>
        <v>1.0047984393860689</v>
      </c>
      <c r="D204">
        <v>188</v>
      </c>
      <c r="E204">
        <f t="shared" si="9"/>
        <v>4.7869635718220584E-3</v>
      </c>
      <c r="F204">
        <f t="shared" si="10"/>
        <v>2.7564557788214183E-5</v>
      </c>
      <c r="G204">
        <f t="shared" si="11"/>
        <v>4.7869635718220584E-3</v>
      </c>
      <c r="J204">
        <v>173</v>
      </c>
      <c r="K204">
        <v>0.1921449815348667</v>
      </c>
    </row>
    <row r="205" spans="1:11" x14ac:dyDescent="0.25">
      <c r="A205" s="3">
        <v>41303</v>
      </c>
      <c r="B205">
        <v>2675.87</v>
      </c>
      <c r="C205">
        <f t="shared" si="8"/>
        <v>1.0090540224597075</v>
      </c>
      <c r="D205">
        <v>189</v>
      </c>
      <c r="E205">
        <f t="shared" si="9"/>
        <v>9.0132805325837603E-3</v>
      </c>
      <c r="F205">
        <f t="shared" si="10"/>
        <v>8.980429744387454E-5</v>
      </c>
      <c r="G205">
        <f t="shared" si="11"/>
        <v>9.0132805325837603E-3</v>
      </c>
      <c r="J205">
        <v>174</v>
      </c>
      <c r="K205">
        <v>0.19245897040435539</v>
      </c>
    </row>
    <row r="206" spans="1:11" x14ac:dyDescent="0.25">
      <c r="A206" s="3">
        <v>41302</v>
      </c>
      <c r="B206">
        <v>2651.86</v>
      </c>
      <c r="C206">
        <f t="shared" si="8"/>
        <v>1.0311820723498739</v>
      </c>
      <c r="D206">
        <v>190</v>
      </c>
      <c r="E206">
        <f t="shared" si="9"/>
        <v>3.070578726079436E-2</v>
      </c>
      <c r="F206">
        <f t="shared" si="10"/>
        <v>9.7150778688616119E-4</v>
      </c>
      <c r="G206">
        <f t="shared" si="11"/>
        <v>3.070578726079436E-2</v>
      </c>
      <c r="J206">
        <v>175</v>
      </c>
      <c r="K206">
        <v>0.19295963745294026</v>
      </c>
    </row>
    <row r="207" spans="1:11" x14ac:dyDescent="0.25">
      <c r="A207" s="3">
        <v>41299</v>
      </c>
      <c r="B207">
        <v>2571.67</v>
      </c>
      <c r="C207">
        <f t="shared" si="8"/>
        <v>0.99570999903203949</v>
      </c>
      <c r="D207">
        <v>191</v>
      </c>
      <c r="E207">
        <f t="shared" si="9"/>
        <v>-4.2992294249633283E-3</v>
      </c>
      <c r="F207">
        <f t="shared" si="10"/>
        <v>1.4714873142153668E-5</v>
      </c>
      <c r="G207">
        <f t="shared" si="11"/>
        <v>-4.2992294249633283E-3</v>
      </c>
      <c r="J207">
        <v>176</v>
      </c>
      <c r="K207">
        <v>0.19299102016249753</v>
      </c>
    </row>
    <row r="208" spans="1:11" x14ac:dyDescent="0.25">
      <c r="A208" s="3">
        <v>41298</v>
      </c>
      <c r="B208">
        <v>2582.75</v>
      </c>
      <c r="C208">
        <f t="shared" si="8"/>
        <v>0.99052334455753877</v>
      </c>
      <c r="D208">
        <v>192</v>
      </c>
      <c r="E208">
        <f t="shared" si="9"/>
        <v>-9.5218446633744628E-3</v>
      </c>
      <c r="F208">
        <f t="shared" si="10"/>
        <v>8.2058456059346733E-5</v>
      </c>
      <c r="G208">
        <f t="shared" si="11"/>
        <v>-9.5218446633744628E-3</v>
      </c>
      <c r="J208">
        <v>177</v>
      </c>
      <c r="K208">
        <v>0.19304451776512505</v>
      </c>
    </row>
    <row r="209" spans="1:11" x14ac:dyDescent="0.25">
      <c r="A209" s="3">
        <v>41297</v>
      </c>
      <c r="B209">
        <v>2607.46</v>
      </c>
      <c r="C209">
        <f t="shared" si="8"/>
        <v>1.0040663868458546</v>
      </c>
      <c r="D209">
        <v>193</v>
      </c>
      <c r="E209">
        <f t="shared" si="9"/>
        <v>4.0581414399796746E-3</v>
      </c>
      <c r="F209">
        <f t="shared" si="10"/>
        <v>2.0442821440189281E-5</v>
      </c>
      <c r="G209">
        <f t="shared" si="11"/>
        <v>4.0581414399796746E-3</v>
      </c>
      <c r="J209">
        <v>178</v>
      </c>
      <c r="K209">
        <v>0.19603899356905502</v>
      </c>
    </row>
    <row r="210" spans="1:11" x14ac:dyDescent="0.25">
      <c r="A210" s="3">
        <v>41296</v>
      </c>
      <c r="B210">
        <v>2596.9</v>
      </c>
      <c r="C210">
        <f t="shared" ref="C210:C273" si="12">B210/B211</f>
        <v>0.99463786433796775</v>
      </c>
      <c r="D210">
        <v>194</v>
      </c>
      <c r="E210">
        <f t="shared" ref="E210:E273" si="13">IF(D210&gt;$B$6,0,LN(C210))</f>
        <v>-5.3765635106282142E-3</v>
      </c>
      <c r="F210">
        <f t="shared" ref="F210:F273" si="14">IF(D210&gt;$B$6,0,(E210-$B$7)^2)</f>
        <v>2.4140822559920252E-5</v>
      </c>
      <c r="G210">
        <f t="shared" ref="G210:G273" si="15">IF(D210&lt;=$B$6,E210,"extra")</f>
        <v>-5.3765635106282142E-3</v>
      </c>
      <c r="J210">
        <v>179</v>
      </c>
      <c r="K210">
        <v>0.19616236640098367</v>
      </c>
    </row>
    <row r="211" spans="1:11" x14ac:dyDescent="0.25">
      <c r="A211" s="3">
        <v>41295</v>
      </c>
      <c r="B211">
        <v>2610.9</v>
      </c>
      <c r="C211">
        <f t="shared" si="12"/>
        <v>1.0059566008075702</v>
      </c>
      <c r="D211">
        <v>195</v>
      </c>
      <c r="E211">
        <f t="shared" si="13"/>
        <v>5.9389303966479656E-3</v>
      </c>
      <c r="F211">
        <f t="shared" si="14"/>
        <v>4.0987688530483224E-5</v>
      </c>
      <c r="G211">
        <f t="shared" si="15"/>
        <v>5.9389303966479656E-3</v>
      </c>
      <c r="J211">
        <v>180</v>
      </c>
      <c r="K211">
        <v>0.19702004355365227</v>
      </c>
    </row>
    <row r="212" spans="1:11" x14ac:dyDescent="0.25">
      <c r="A212" s="3">
        <v>41292</v>
      </c>
      <c r="B212">
        <v>2595.44</v>
      </c>
      <c r="C212">
        <f t="shared" si="12"/>
        <v>1.0167191588711826</v>
      </c>
      <c r="D212">
        <v>196</v>
      </c>
      <c r="E212">
        <f t="shared" si="13"/>
        <v>1.6580932294914461E-2</v>
      </c>
      <c r="F212">
        <f t="shared" si="14"/>
        <v>2.9050355029565568E-4</v>
      </c>
      <c r="G212">
        <f t="shared" si="15"/>
        <v>1.6580932294914461E-2</v>
      </c>
      <c r="J212">
        <v>181</v>
      </c>
      <c r="K212">
        <v>0.19735602448048117</v>
      </c>
    </row>
    <row r="213" spans="1:11" x14ac:dyDescent="0.25">
      <c r="A213" s="3">
        <v>41291</v>
      </c>
      <c r="B213">
        <v>2552.7600000000002</v>
      </c>
      <c r="C213">
        <f t="shared" si="12"/>
        <v>0.9905591190063211</v>
      </c>
      <c r="D213">
        <v>197</v>
      </c>
      <c r="E213">
        <f t="shared" si="13"/>
        <v>-9.4857286011264894E-3</v>
      </c>
      <c r="F213">
        <f t="shared" si="14"/>
        <v>8.140543762084467E-5</v>
      </c>
      <c r="G213">
        <f t="shared" si="15"/>
        <v>-9.4857286011264894E-3</v>
      </c>
      <c r="J213">
        <v>182</v>
      </c>
      <c r="K213">
        <v>0.19741883368835861</v>
      </c>
    </row>
    <row r="214" spans="1:11" x14ac:dyDescent="0.25">
      <c r="A214" s="3">
        <v>41290</v>
      </c>
      <c r="B214">
        <v>2577.09</v>
      </c>
      <c r="C214">
        <f t="shared" si="12"/>
        <v>0.99276925566093699</v>
      </c>
      <c r="D214">
        <v>198</v>
      </c>
      <c r="E214">
        <f t="shared" si="13"/>
        <v>-7.2570128748857309E-3</v>
      </c>
      <c r="F214">
        <f t="shared" si="14"/>
        <v>4.6155453081831521E-5</v>
      </c>
      <c r="G214">
        <f t="shared" si="15"/>
        <v>-7.2570128748857309E-3</v>
      </c>
      <c r="J214">
        <v>183</v>
      </c>
      <c r="K214">
        <v>0.19747356154525156</v>
      </c>
    </row>
    <row r="215" spans="1:11" x14ac:dyDescent="0.25">
      <c r="A215" s="3">
        <v>41289</v>
      </c>
      <c r="B215">
        <v>2595.86</v>
      </c>
      <c r="C215">
        <f t="shared" si="12"/>
        <v>1.007033320014121</v>
      </c>
      <c r="D215">
        <v>199</v>
      </c>
      <c r="E215">
        <f t="shared" si="13"/>
        <v>7.0087015843699361E-3</v>
      </c>
      <c r="F215">
        <f t="shared" si="14"/>
        <v>5.5829797531789508E-5</v>
      </c>
      <c r="G215">
        <f t="shared" si="15"/>
        <v>7.0087015843699361E-3</v>
      </c>
      <c r="J215">
        <v>184</v>
      </c>
      <c r="K215">
        <v>0.19748250117162466</v>
      </c>
    </row>
    <row r="216" spans="1:11" x14ac:dyDescent="0.25">
      <c r="A216" s="3">
        <v>41288</v>
      </c>
      <c r="B216">
        <v>2577.73</v>
      </c>
      <c r="C216">
        <f t="shared" si="12"/>
        <v>1.0380552747832461</v>
      </c>
      <c r="D216">
        <v>200</v>
      </c>
      <c r="E216">
        <f t="shared" si="13"/>
        <v>0</v>
      </c>
      <c r="F216">
        <f t="shared" si="14"/>
        <v>0</v>
      </c>
      <c r="G216" t="str">
        <f t="shared" si="15"/>
        <v>extra</v>
      </c>
      <c r="J216">
        <v>185</v>
      </c>
      <c r="K216">
        <v>0.19770460655506314</v>
      </c>
    </row>
    <row r="217" spans="1:11" x14ac:dyDescent="0.25">
      <c r="A217" s="3">
        <v>41285</v>
      </c>
      <c r="B217">
        <v>2483.23</v>
      </c>
      <c r="C217">
        <f t="shared" si="12"/>
        <v>0.98129275222578305</v>
      </c>
      <c r="D217">
        <v>201</v>
      </c>
      <c r="E217">
        <f t="shared" si="13"/>
        <v>0</v>
      </c>
      <c r="F217">
        <f t="shared" si="14"/>
        <v>0</v>
      </c>
      <c r="G217" t="str">
        <f t="shared" si="15"/>
        <v>extra</v>
      </c>
      <c r="J217">
        <v>186</v>
      </c>
      <c r="K217">
        <v>0.19771551563856132</v>
      </c>
    </row>
    <row r="218" spans="1:11" x14ac:dyDescent="0.25">
      <c r="A218" s="3">
        <v>41284</v>
      </c>
      <c r="B218">
        <v>2530.5700000000002</v>
      </c>
      <c r="C218">
        <f t="shared" si="12"/>
        <v>1.0017576292589851</v>
      </c>
      <c r="D218">
        <v>202</v>
      </c>
      <c r="E218">
        <f t="shared" si="13"/>
        <v>0</v>
      </c>
      <c r="F218">
        <f t="shared" si="14"/>
        <v>0</v>
      </c>
      <c r="G218" t="str">
        <f t="shared" si="15"/>
        <v>extra</v>
      </c>
      <c r="J218">
        <v>187</v>
      </c>
      <c r="K218">
        <v>0.19889500220533698</v>
      </c>
    </row>
    <row r="219" spans="1:11" x14ac:dyDescent="0.25">
      <c r="A219" s="3">
        <v>41283</v>
      </c>
      <c r="B219">
        <v>2526.13</v>
      </c>
      <c r="C219">
        <f t="shared" si="12"/>
        <v>1.0003167902808743</v>
      </c>
      <c r="D219">
        <v>203</v>
      </c>
      <c r="E219">
        <f t="shared" si="13"/>
        <v>0</v>
      </c>
      <c r="F219">
        <f t="shared" si="14"/>
        <v>0</v>
      </c>
      <c r="G219" t="str">
        <f t="shared" si="15"/>
        <v>extra</v>
      </c>
      <c r="J219">
        <v>188</v>
      </c>
      <c r="K219">
        <v>0.19888928738743208</v>
      </c>
    </row>
    <row r="220" spans="1:11" x14ac:dyDescent="0.25">
      <c r="A220" s="3">
        <v>41282</v>
      </c>
      <c r="B220">
        <v>2525.33</v>
      </c>
      <c r="C220">
        <f t="shared" si="12"/>
        <v>0.99579651339319164</v>
      </c>
      <c r="D220">
        <v>204</v>
      </c>
      <c r="E220">
        <f t="shared" si="13"/>
        <v>0</v>
      </c>
      <c r="F220">
        <f t="shared" si="14"/>
        <v>0</v>
      </c>
      <c r="G220" t="str">
        <f t="shared" si="15"/>
        <v>extra</v>
      </c>
      <c r="J220">
        <v>189</v>
      </c>
      <c r="K220">
        <v>0.19896021765541227</v>
      </c>
    </row>
    <row r="221" spans="1:11" x14ac:dyDescent="0.25">
      <c r="A221" s="3">
        <v>41281</v>
      </c>
      <c r="B221">
        <v>2535.9899999999998</v>
      </c>
      <c r="C221">
        <f t="shared" si="12"/>
        <v>1.0045872104769036</v>
      </c>
      <c r="D221">
        <v>205</v>
      </c>
      <c r="E221">
        <f t="shared" si="13"/>
        <v>0</v>
      </c>
      <c r="F221">
        <f t="shared" si="14"/>
        <v>0</v>
      </c>
      <c r="G221" t="str">
        <f t="shared" si="15"/>
        <v>extra</v>
      </c>
      <c r="J221">
        <v>190</v>
      </c>
      <c r="K221">
        <v>0.19919230433647331</v>
      </c>
    </row>
    <row r="222" spans="1:11" x14ac:dyDescent="0.25">
      <c r="A222" s="3">
        <v>41278</v>
      </c>
      <c r="B222">
        <v>2524.41</v>
      </c>
      <c r="C222">
        <f t="shared" si="12"/>
        <v>1.000578687647397</v>
      </c>
      <c r="D222">
        <v>206</v>
      </c>
      <c r="E222">
        <f t="shared" si="13"/>
        <v>0</v>
      </c>
      <c r="F222">
        <f t="shared" si="14"/>
        <v>0</v>
      </c>
      <c r="G222" t="str">
        <f t="shared" si="15"/>
        <v>extra</v>
      </c>
      <c r="J222">
        <v>191</v>
      </c>
      <c r="K222">
        <v>0.20165057010166923</v>
      </c>
    </row>
    <row r="223" spans="1:11" x14ac:dyDescent="0.25">
      <c r="A223" s="3">
        <v>41274</v>
      </c>
      <c r="B223">
        <v>2522.9499999999998</v>
      </c>
      <c r="C223">
        <f t="shared" si="12"/>
        <v>1.0172980383460009</v>
      </c>
      <c r="D223">
        <v>207</v>
      </c>
      <c r="E223">
        <f t="shared" si="13"/>
        <v>0</v>
      </c>
      <c r="F223">
        <f t="shared" si="14"/>
        <v>0</v>
      </c>
      <c r="G223" t="str">
        <f t="shared" si="15"/>
        <v>extra</v>
      </c>
      <c r="J223">
        <v>192</v>
      </c>
      <c r="K223">
        <v>0.20168150569558602</v>
      </c>
    </row>
    <row r="224" spans="1:11" x14ac:dyDescent="0.25">
      <c r="A224" s="3">
        <v>41271</v>
      </c>
      <c r="B224">
        <v>2480.0500000000002</v>
      </c>
      <c r="C224">
        <f t="shared" si="12"/>
        <v>1.0145054998997787</v>
      </c>
      <c r="D224">
        <v>208</v>
      </c>
      <c r="E224">
        <f t="shared" si="13"/>
        <v>0</v>
      </c>
      <c r="F224">
        <f t="shared" si="14"/>
        <v>0</v>
      </c>
      <c r="G224" t="str">
        <f t="shared" si="15"/>
        <v>extra</v>
      </c>
      <c r="J224">
        <v>193</v>
      </c>
      <c r="K224">
        <v>0.20187907091074658</v>
      </c>
    </row>
    <row r="225" spans="1:11" x14ac:dyDescent="0.25">
      <c r="A225" s="3">
        <v>41270</v>
      </c>
      <c r="B225">
        <v>2444.59</v>
      </c>
      <c r="C225">
        <f t="shared" si="12"/>
        <v>0.99469812257387236</v>
      </c>
      <c r="D225">
        <v>209</v>
      </c>
      <c r="E225">
        <f t="shared" si="13"/>
        <v>0</v>
      </c>
      <c r="F225">
        <f t="shared" si="14"/>
        <v>0</v>
      </c>
      <c r="G225" t="str">
        <f t="shared" si="15"/>
        <v>extra</v>
      </c>
      <c r="J225">
        <v>194</v>
      </c>
      <c r="K225">
        <v>0.2019262505464646</v>
      </c>
    </row>
    <row r="226" spans="1:11" x14ac:dyDescent="0.25">
      <c r="A226" s="3">
        <v>41269</v>
      </c>
      <c r="B226">
        <v>2457.62</v>
      </c>
      <c r="C226">
        <f t="shared" si="12"/>
        <v>1.0037657245548113</v>
      </c>
      <c r="D226">
        <v>210</v>
      </c>
      <c r="E226">
        <f t="shared" si="13"/>
        <v>0</v>
      </c>
      <c r="F226">
        <f t="shared" si="14"/>
        <v>0</v>
      </c>
      <c r="G226" t="str">
        <f t="shared" si="15"/>
        <v>extra</v>
      </c>
      <c r="J226">
        <v>195</v>
      </c>
      <c r="K226">
        <v>0.20197965069463891</v>
      </c>
    </row>
    <row r="227" spans="1:11" x14ac:dyDescent="0.25">
      <c r="A227" s="3">
        <v>41268</v>
      </c>
      <c r="B227">
        <v>2448.4</v>
      </c>
      <c r="C227">
        <f t="shared" si="12"/>
        <v>1.0282124289229893</v>
      </c>
      <c r="D227">
        <v>211</v>
      </c>
      <c r="E227">
        <f t="shared" si="13"/>
        <v>0</v>
      </c>
      <c r="F227">
        <f t="shared" si="14"/>
        <v>0</v>
      </c>
      <c r="G227" t="str">
        <f t="shared" si="15"/>
        <v>extra</v>
      </c>
      <c r="J227">
        <v>196</v>
      </c>
      <c r="K227">
        <v>0.20207876766329186</v>
      </c>
    </row>
    <row r="228" spans="1:11" x14ac:dyDescent="0.25">
      <c r="A228" s="3">
        <v>41267</v>
      </c>
      <c r="B228">
        <v>2381.2199999999998</v>
      </c>
      <c r="C228">
        <f t="shared" si="12"/>
        <v>1.0038870151770656</v>
      </c>
      <c r="D228">
        <v>212</v>
      </c>
      <c r="E228">
        <f t="shared" si="13"/>
        <v>0</v>
      </c>
      <c r="F228">
        <f t="shared" si="14"/>
        <v>0</v>
      </c>
      <c r="G228" t="str">
        <f t="shared" si="15"/>
        <v>extra</v>
      </c>
      <c r="J228">
        <v>197</v>
      </c>
      <c r="K228">
        <v>0.20279844122097154</v>
      </c>
    </row>
    <row r="229" spans="1:11" x14ac:dyDescent="0.25">
      <c r="A229" s="3">
        <v>41264</v>
      </c>
      <c r="B229">
        <v>2372</v>
      </c>
      <c r="C229">
        <f t="shared" si="12"/>
        <v>0.9946243322347178</v>
      </c>
      <c r="D229">
        <v>213</v>
      </c>
      <c r="E229">
        <f t="shared" si="13"/>
        <v>0</v>
      </c>
      <c r="F229">
        <f t="shared" si="14"/>
        <v>0</v>
      </c>
      <c r="G229" t="str">
        <f t="shared" si="15"/>
        <v>extra</v>
      </c>
      <c r="J229">
        <v>198</v>
      </c>
      <c r="K229">
        <v>0.20299672435212454</v>
      </c>
    </row>
    <row r="230" spans="1:11" x14ac:dyDescent="0.25">
      <c r="A230" s="3">
        <v>41263</v>
      </c>
      <c r="B230">
        <v>2384.8200000000002</v>
      </c>
      <c r="C230">
        <f t="shared" si="12"/>
        <v>1.0057821020534687</v>
      </c>
      <c r="D230">
        <v>214</v>
      </c>
      <c r="E230">
        <f t="shared" si="13"/>
        <v>0</v>
      </c>
      <c r="F230">
        <f t="shared" si="14"/>
        <v>0</v>
      </c>
      <c r="G230" t="str">
        <f t="shared" si="15"/>
        <v>extra</v>
      </c>
      <c r="J230">
        <v>199</v>
      </c>
      <c r="K230">
        <v>0.20310563451598485</v>
      </c>
    </row>
    <row r="231" spans="1:11" x14ac:dyDescent="0.25">
      <c r="A231" s="3">
        <v>41262</v>
      </c>
      <c r="B231">
        <v>2371.11</v>
      </c>
      <c r="C231">
        <f t="shared" si="12"/>
        <v>1.0012626049355609</v>
      </c>
      <c r="D231">
        <v>215</v>
      </c>
      <c r="E231">
        <f t="shared" si="13"/>
        <v>0</v>
      </c>
      <c r="F231">
        <f t="shared" si="14"/>
        <v>0</v>
      </c>
      <c r="G231" t="str">
        <f t="shared" si="15"/>
        <v>extra</v>
      </c>
      <c r="J231">
        <v>200</v>
      </c>
      <c r="K231">
        <v>0.20323996512777626</v>
      </c>
    </row>
    <row r="232" spans="1:11" x14ac:dyDescent="0.25">
      <c r="A232" s="3">
        <v>41261</v>
      </c>
      <c r="B232">
        <v>2368.12</v>
      </c>
      <c r="C232">
        <f t="shared" si="12"/>
        <v>1.0005999915494148</v>
      </c>
      <c r="D232">
        <v>216</v>
      </c>
      <c r="E232">
        <f t="shared" si="13"/>
        <v>0</v>
      </c>
      <c r="F232">
        <f t="shared" si="14"/>
        <v>0</v>
      </c>
      <c r="G232" t="str">
        <f t="shared" si="15"/>
        <v>extra</v>
      </c>
      <c r="J232">
        <v>201</v>
      </c>
      <c r="K232">
        <v>0.20673974966916256</v>
      </c>
    </row>
    <row r="233" spans="1:11" x14ac:dyDescent="0.25">
      <c r="A233" s="3">
        <v>41260</v>
      </c>
      <c r="B233">
        <v>2366.6999999999998</v>
      </c>
      <c r="C233">
        <f t="shared" si="12"/>
        <v>1.0045970278495842</v>
      </c>
      <c r="D233">
        <v>217</v>
      </c>
      <c r="E233">
        <f t="shared" si="13"/>
        <v>0</v>
      </c>
      <c r="F233">
        <f t="shared" si="14"/>
        <v>0</v>
      </c>
      <c r="G233" t="str">
        <f t="shared" si="15"/>
        <v>extra</v>
      </c>
      <c r="J233">
        <v>202</v>
      </c>
      <c r="K233">
        <v>0.20757471649285036</v>
      </c>
    </row>
    <row r="234" spans="1:11" x14ac:dyDescent="0.25">
      <c r="A234" s="3">
        <v>41257</v>
      </c>
      <c r="B234">
        <v>2355.87</v>
      </c>
      <c r="C234">
        <f t="shared" si="12"/>
        <v>1.050489601541041</v>
      </c>
      <c r="D234">
        <v>218</v>
      </c>
      <c r="E234">
        <f t="shared" si="13"/>
        <v>0</v>
      </c>
      <c r="F234">
        <f t="shared" si="14"/>
        <v>0</v>
      </c>
      <c r="G234" t="str">
        <f t="shared" si="15"/>
        <v>extra</v>
      </c>
      <c r="J234">
        <v>203</v>
      </c>
      <c r="K234">
        <v>0.20758051279067619</v>
      </c>
    </row>
    <row r="235" spans="1:11" x14ac:dyDescent="0.25">
      <c r="A235" s="3">
        <v>41256</v>
      </c>
      <c r="B235">
        <v>2242.64</v>
      </c>
      <c r="C235">
        <f t="shared" si="12"/>
        <v>0.98891862931426022</v>
      </c>
      <c r="D235">
        <v>219</v>
      </c>
      <c r="E235">
        <f t="shared" si="13"/>
        <v>0</v>
      </c>
      <c r="F235">
        <f t="shared" si="14"/>
        <v>0</v>
      </c>
      <c r="G235" t="str">
        <f t="shared" si="15"/>
        <v>extra</v>
      </c>
      <c r="J235">
        <v>204</v>
      </c>
      <c r="K235">
        <v>0.20757654686928295</v>
      </c>
    </row>
    <row r="236" spans="1:11" x14ac:dyDescent="0.25">
      <c r="A236" s="3">
        <v>41255</v>
      </c>
      <c r="B236">
        <v>2267.77</v>
      </c>
      <c r="C236">
        <f t="shared" si="12"/>
        <v>1.0041044941332742</v>
      </c>
      <c r="D236">
        <v>220</v>
      </c>
      <c r="E236">
        <f t="shared" si="13"/>
        <v>0</v>
      </c>
      <c r="F236">
        <f t="shared" si="14"/>
        <v>0</v>
      </c>
      <c r="G236" t="str">
        <f t="shared" si="15"/>
        <v>extra</v>
      </c>
      <c r="J236">
        <v>205</v>
      </c>
      <c r="K236">
        <v>0.20760758640855326</v>
      </c>
    </row>
    <row r="237" spans="1:11" x14ac:dyDescent="0.25">
      <c r="A237" s="3">
        <v>41254</v>
      </c>
      <c r="B237">
        <v>2258.5</v>
      </c>
      <c r="C237">
        <f t="shared" si="12"/>
        <v>0.99447392175425453</v>
      </c>
      <c r="D237">
        <v>221</v>
      </c>
      <c r="E237">
        <f t="shared" si="13"/>
        <v>0</v>
      </c>
      <c r="F237">
        <f t="shared" si="14"/>
        <v>0</v>
      </c>
      <c r="G237" t="str">
        <f t="shared" si="15"/>
        <v>extra</v>
      </c>
      <c r="J237">
        <v>206</v>
      </c>
      <c r="K237">
        <v>0.20766188029381979</v>
      </c>
    </row>
    <row r="238" spans="1:11" x14ac:dyDescent="0.25">
      <c r="A238" s="3">
        <v>41253</v>
      </c>
      <c r="B238">
        <v>2271.0500000000002</v>
      </c>
      <c r="C238">
        <f t="shared" si="12"/>
        <v>1.0108111235735013</v>
      </c>
      <c r="D238">
        <v>222</v>
      </c>
      <c r="E238">
        <f t="shared" si="13"/>
        <v>0</v>
      </c>
      <c r="F238">
        <f t="shared" si="14"/>
        <v>0</v>
      </c>
      <c r="G238" t="str">
        <f t="shared" si="15"/>
        <v>extra</v>
      </c>
      <c r="J238">
        <v>207</v>
      </c>
      <c r="K238">
        <v>0.20765903854307466</v>
      </c>
    </row>
    <row r="239" spans="1:11" x14ac:dyDescent="0.25">
      <c r="A239" s="3">
        <v>41250</v>
      </c>
      <c r="B239">
        <v>2246.7600000000002</v>
      </c>
      <c r="C239">
        <f t="shared" si="12"/>
        <v>1.0195861317843531</v>
      </c>
      <c r="D239">
        <v>223</v>
      </c>
      <c r="E239">
        <f t="shared" si="13"/>
        <v>0</v>
      </c>
      <c r="F239">
        <f t="shared" si="14"/>
        <v>0</v>
      </c>
      <c r="G239" t="str">
        <f t="shared" si="15"/>
        <v>extra</v>
      </c>
      <c r="J239">
        <v>208</v>
      </c>
      <c r="K239">
        <v>0.20839325649760063</v>
      </c>
    </row>
    <row r="240" spans="1:11" x14ac:dyDescent="0.25">
      <c r="A240" s="3">
        <v>41249</v>
      </c>
      <c r="B240">
        <v>2203.6</v>
      </c>
      <c r="C240">
        <f t="shared" si="12"/>
        <v>0.99806148884903156</v>
      </c>
      <c r="D240">
        <v>224</v>
      </c>
      <c r="E240">
        <f t="shared" si="13"/>
        <v>0</v>
      </c>
      <c r="F240">
        <f t="shared" si="14"/>
        <v>0</v>
      </c>
      <c r="G240" t="str">
        <f t="shared" si="15"/>
        <v>extra</v>
      </c>
      <c r="J240">
        <v>209</v>
      </c>
      <c r="K240">
        <v>0.20890591482862172</v>
      </c>
    </row>
    <row r="241" spans="1:11" x14ac:dyDescent="0.25">
      <c r="A241" s="3">
        <v>41248</v>
      </c>
      <c r="B241">
        <v>2207.88</v>
      </c>
      <c r="C241">
        <f t="shared" si="12"/>
        <v>1.0358484989232783</v>
      </c>
      <c r="D241">
        <v>225</v>
      </c>
      <c r="E241">
        <f t="shared" si="13"/>
        <v>0</v>
      </c>
      <c r="F241">
        <f t="shared" si="14"/>
        <v>0</v>
      </c>
      <c r="G241" t="str">
        <f t="shared" si="15"/>
        <v>extra</v>
      </c>
      <c r="J241">
        <v>210</v>
      </c>
      <c r="K241">
        <v>0.20896433454478147</v>
      </c>
    </row>
    <row r="242" spans="1:11" x14ac:dyDescent="0.25">
      <c r="A242" s="3">
        <v>41247</v>
      </c>
      <c r="B242">
        <v>2131.4699999999998</v>
      </c>
      <c r="C242">
        <f t="shared" si="12"/>
        <v>1.010726225193826</v>
      </c>
      <c r="D242">
        <v>226</v>
      </c>
      <c r="E242">
        <f t="shared" si="13"/>
        <v>0</v>
      </c>
      <c r="F242">
        <f t="shared" si="14"/>
        <v>0</v>
      </c>
      <c r="G242" t="str">
        <f t="shared" si="15"/>
        <v>extra</v>
      </c>
      <c r="J242">
        <v>211</v>
      </c>
      <c r="K242">
        <v>0.20899748935742554</v>
      </c>
    </row>
    <row r="243" spans="1:11" x14ac:dyDescent="0.25">
      <c r="A243" s="3">
        <v>41246</v>
      </c>
      <c r="B243">
        <v>2108.85</v>
      </c>
      <c r="C243">
        <f t="shared" si="12"/>
        <v>0.98560051596982701</v>
      </c>
      <c r="D243">
        <v>227</v>
      </c>
      <c r="E243">
        <f t="shared" si="13"/>
        <v>0</v>
      </c>
      <c r="F243">
        <f t="shared" si="14"/>
        <v>0</v>
      </c>
      <c r="G243" t="str">
        <f t="shared" si="15"/>
        <v>extra</v>
      </c>
      <c r="J243">
        <v>212</v>
      </c>
      <c r="K243">
        <v>0.21087099108917079</v>
      </c>
    </row>
    <row r="244" spans="1:11" x14ac:dyDescent="0.25">
      <c r="A244" s="3">
        <v>41243</v>
      </c>
      <c r="B244">
        <v>2139.66</v>
      </c>
      <c r="C244">
        <f t="shared" si="12"/>
        <v>1.011334417303184</v>
      </c>
      <c r="D244">
        <v>228</v>
      </c>
      <c r="E244">
        <f t="shared" si="13"/>
        <v>0</v>
      </c>
      <c r="F244">
        <f t="shared" si="14"/>
        <v>0</v>
      </c>
      <c r="G244" t="str">
        <f t="shared" si="15"/>
        <v>extra</v>
      </c>
      <c r="J244">
        <v>213</v>
      </c>
      <c r="K244">
        <v>0.21090326687686511</v>
      </c>
    </row>
    <row r="245" spans="1:11" x14ac:dyDescent="0.25">
      <c r="A245" s="3">
        <v>41242</v>
      </c>
      <c r="B245">
        <v>2115.6799999999998</v>
      </c>
      <c r="C245">
        <f t="shared" si="12"/>
        <v>0.99366886471660187</v>
      </c>
      <c r="D245">
        <v>229</v>
      </c>
      <c r="E245">
        <f t="shared" si="13"/>
        <v>0</v>
      </c>
      <c r="F245">
        <f t="shared" si="14"/>
        <v>0</v>
      </c>
      <c r="G245" t="str">
        <f t="shared" si="15"/>
        <v>extra</v>
      </c>
      <c r="J245">
        <v>214</v>
      </c>
      <c r="K245">
        <v>0.21096670319297633</v>
      </c>
    </row>
    <row r="246" spans="1:11" x14ac:dyDescent="0.25">
      <c r="A246" s="3">
        <v>41241</v>
      </c>
      <c r="B246">
        <v>2129.16</v>
      </c>
      <c r="C246">
        <f t="shared" si="12"/>
        <v>0.99001227541569026</v>
      </c>
      <c r="D246">
        <v>230</v>
      </c>
      <c r="E246">
        <f t="shared" si="13"/>
        <v>0</v>
      </c>
      <c r="F246">
        <f t="shared" si="14"/>
        <v>0</v>
      </c>
      <c r="G246" t="str">
        <f t="shared" si="15"/>
        <v>extra</v>
      </c>
      <c r="J246">
        <v>215</v>
      </c>
      <c r="K246">
        <v>0.2110430771922896</v>
      </c>
    </row>
    <row r="247" spans="1:11" x14ac:dyDescent="0.25">
      <c r="A247" s="3">
        <v>41240</v>
      </c>
      <c r="B247">
        <v>2150.64</v>
      </c>
      <c r="C247">
        <f t="shared" si="12"/>
        <v>0.98852730281301704</v>
      </c>
      <c r="D247">
        <v>231</v>
      </c>
      <c r="E247">
        <f t="shared" si="13"/>
        <v>0</v>
      </c>
      <c r="F247">
        <f t="shared" si="14"/>
        <v>0</v>
      </c>
      <c r="G247" t="str">
        <f t="shared" si="15"/>
        <v>extra</v>
      </c>
      <c r="J247">
        <v>216</v>
      </c>
      <c r="K247">
        <v>0.21104252613385455</v>
      </c>
    </row>
    <row r="248" spans="1:11" x14ac:dyDescent="0.25">
      <c r="A248" s="3">
        <v>41239</v>
      </c>
      <c r="B248">
        <v>2175.6</v>
      </c>
      <c r="C248">
        <f t="shared" si="12"/>
        <v>0.9922104456646661</v>
      </c>
      <c r="D248">
        <v>232</v>
      </c>
      <c r="E248">
        <f t="shared" si="13"/>
        <v>0</v>
      </c>
      <c r="F248">
        <f t="shared" si="14"/>
        <v>0</v>
      </c>
      <c r="G248" t="str">
        <f t="shared" si="15"/>
        <v>extra</v>
      </c>
      <c r="J248">
        <v>217</v>
      </c>
      <c r="K248">
        <v>0.21103893869032442</v>
      </c>
    </row>
    <row r="249" spans="1:11" x14ac:dyDescent="0.25">
      <c r="A249" s="3">
        <v>41236</v>
      </c>
      <c r="B249">
        <v>2192.6799999999998</v>
      </c>
      <c r="C249">
        <f t="shared" si="12"/>
        <v>1.0069481757020504</v>
      </c>
      <c r="D249">
        <v>233</v>
      </c>
      <c r="E249">
        <f t="shared" si="13"/>
        <v>0</v>
      </c>
      <c r="F249">
        <f t="shared" si="14"/>
        <v>0</v>
      </c>
      <c r="G249" t="str">
        <f t="shared" si="15"/>
        <v>extra</v>
      </c>
      <c r="J249">
        <v>218</v>
      </c>
      <c r="K249">
        <v>0.21108518652079869</v>
      </c>
    </row>
    <row r="250" spans="1:11" x14ac:dyDescent="0.25">
      <c r="A250" s="3">
        <v>41235</v>
      </c>
      <c r="B250">
        <v>2177.5500000000002</v>
      </c>
      <c r="C250">
        <f t="shared" si="12"/>
        <v>0.99209531185931021</v>
      </c>
      <c r="D250">
        <v>234</v>
      </c>
      <c r="E250">
        <f t="shared" si="13"/>
        <v>0</v>
      </c>
      <c r="F250">
        <f t="shared" si="14"/>
        <v>0</v>
      </c>
      <c r="G250" t="str">
        <f t="shared" si="15"/>
        <v>extra</v>
      </c>
      <c r="J250">
        <v>219</v>
      </c>
      <c r="K250">
        <v>0.21677957697711031</v>
      </c>
    </row>
    <row r="251" spans="1:11" x14ac:dyDescent="0.25">
      <c r="A251" s="3">
        <v>41234</v>
      </c>
      <c r="B251">
        <v>2194.9</v>
      </c>
      <c r="C251">
        <f t="shared" si="12"/>
        <v>1.013866819408004</v>
      </c>
      <c r="D251">
        <v>235</v>
      </c>
      <c r="E251">
        <f t="shared" si="13"/>
        <v>0</v>
      </c>
      <c r="F251">
        <f t="shared" si="14"/>
        <v>0</v>
      </c>
      <c r="G251" t="str">
        <f t="shared" si="15"/>
        <v>extra</v>
      </c>
      <c r="J251">
        <v>220</v>
      </c>
      <c r="K251">
        <v>0.21707380291433312</v>
      </c>
    </row>
    <row r="252" spans="1:11" x14ac:dyDescent="0.25">
      <c r="A252" s="3">
        <v>41233</v>
      </c>
      <c r="B252">
        <v>2164.88</v>
      </c>
      <c r="C252">
        <f t="shared" si="12"/>
        <v>0.99535627913819902</v>
      </c>
      <c r="D252">
        <v>236</v>
      </c>
      <c r="E252">
        <f t="shared" si="13"/>
        <v>0</v>
      </c>
      <c r="F252">
        <f t="shared" si="14"/>
        <v>0</v>
      </c>
      <c r="G252" t="str">
        <f t="shared" si="15"/>
        <v>extra</v>
      </c>
      <c r="J252">
        <v>221</v>
      </c>
      <c r="K252">
        <v>0.21710506913210234</v>
      </c>
    </row>
    <row r="253" spans="1:11" x14ac:dyDescent="0.25">
      <c r="A253" s="3">
        <v>41232</v>
      </c>
      <c r="B253">
        <v>2174.98</v>
      </c>
      <c r="C253">
        <f t="shared" si="12"/>
        <v>0.99896198857268848</v>
      </c>
      <c r="D253">
        <v>237</v>
      </c>
      <c r="E253">
        <f t="shared" si="13"/>
        <v>0</v>
      </c>
      <c r="F253">
        <f t="shared" si="14"/>
        <v>0</v>
      </c>
      <c r="G253" t="str">
        <f t="shared" si="15"/>
        <v>extra</v>
      </c>
      <c r="J253">
        <v>222</v>
      </c>
      <c r="K253">
        <v>0.2171763728722991</v>
      </c>
    </row>
    <row r="254" spans="1:11" x14ac:dyDescent="0.25">
      <c r="A254" s="3">
        <v>41229</v>
      </c>
      <c r="B254">
        <v>2177.2399999999998</v>
      </c>
      <c r="C254">
        <f t="shared" si="12"/>
        <v>0.99253289083797558</v>
      </c>
      <c r="D254">
        <v>238</v>
      </c>
      <c r="E254">
        <f t="shared" si="13"/>
        <v>0</v>
      </c>
      <c r="F254">
        <f t="shared" si="14"/>
        <v>0</v>
      </c>
      <c r="G254" t="str">
        <f t="shared" si="15"/>
        <v>extra</v>
      </c>
      <c r="J254">
        <v>223</v>
      </c>
      <c r="K254">
        <v>0.21743150164678637</v>
      </c>
    </row>
    <row r="255" spans="1:11" x14ac:dyDescent="0.25">
      <c r="A255" s="3">
        <v>41228</v>
      </c>
      <c r="B255">
        <v>2193.62</v>
      </c>
      <c r="C255">
        <f t="shared" si="12"/>
        <v>0.98673479944762055</v>
      </c>
      <c r="D255">
        <v>239</v>
      </c>
      <c r="E255">
        <f t="shared" si="13"/>
        <v>0</v>
      </c>
      <c r="F255">
        <f t="shared" si="14"/>
        <v>0</v>
      </c>
      <c r="G255" t="str">
        <f t="shared" si="15"/>
        <v>extra</v>
      </c>
      <c r="J255">
        <v>224</v>
      </c>
      <c r="K255">
        <v>0.21827636608999093</v>
      </c>
    </row>
    <row r="256" spans="1:11" x14ac:dyDescent="0.25">
      <c r="A256" s="3">
        <v>41227</v>
      </c>
      <c r="B256">
        <v>2223.11</v>
      </c>
      <c r="C256">
        <f t="shared" si="12"/>
        <v>1.0048227296559455</v>
      </c>
      <c r="D256">
        <v>240</v>
      </c>
      <c r="E256">
        <f t="shared" si="13"/>
        <v>0</v>
      </c>
      <c r="F256">
        <f t="shared" si="14"/>
        <v>0</v>
      </c>
      <c r="G256" t="str">
        <f t="shared" si="15"/>
        <v>extra</v>
      </c>
      <c r="J256">
        <v>225</v>
      </c>
      <c r="K256">
        <v>0.21828344074959483</v>
      </c>
    </row>
    <row r="257" spans="1:11" x14ac:dyDescent="0.25">
      <c r="A257" s="3">
        <v>41226</v>
      </c>
      <c r="B257">
        <v>2212.44</v>
      </c>
      <c r="C257">
        <f t="shared" si="12"/>
        <v>0.98249883429180462</v>
      </c>
      <c r="D257">
        <v>241</v>
      </c>
      <c r="E257">
        <f t="shared" si="13"/>
        <v>0</v>
      </c>
      <c r="F257">
        <f t="shared" si="14"/>
        <v>0</v>
      </c>
      <c r="G257" t="str">
        <f t="shared" si="15"/>
        <v>extra</v>
      </c>
      <c r="J257">
        <v>226</v>
      </c>
      <c r="K257">
        <v>0.22107028400192205</v>
      </c>
    </row>
    <row r="258" spans="1:11" x14ac:dyDescent="0.25">
      <c r="A258" s="3">
        <v>41225</v>
      </c>
      <c r="B258">
        <v>2251.85</v>
      </c>
      <c r="C258">
        <f t="shared" si="12"/>
        <v>1.004877461042786</v>
      </c>
      <c r="D258">
        <v>242</v>
      </c>
      <c r="E258">
        <f t="shared" si="13"/>
        <v>0</v>
      </c>
      <c r="F258">
        <f t="shared" si="14"/>
        <v>0</v>
      </c>
      <c r="G258" t="str">
        <f t="shared" si="15"/>
        <v>extra</v>
      </c>
      <c r="J258">
        <v>227</v>
      </c>
      <c r="K258">
        <v>0.22130373943299123</v>
      </c>
    </row>
    <row r="259" spans="1:11" x14ac:dyDescent="0.25">
      <c r="A259" s="3">
        <v>41222</v>
      </c>
      <c r="B259">
        <v>2240.92</v>
      </c>
      <c r="C259">
        <f t="shared" si="12"/>
        <v>0.99800036518943103</v>
      </c>
      <c r="D259">
        <v>243</v>
      </c>
      <c r="E259">
        <f t="shared" si="13"/>
        <v>0</v>
      </c>
      <c r="F259">
        <f t="shared" si="14"/>
        <v>0</v>
      </c>
      <c r="G259" t="str">
        <f t="shared" si="15"/>
        <v>extra</v>
      </c>
      <c r="J259">
        <v>228</v>
      </c>
      <c r="K259">
        <v>0.22180839424601073</v>
      </c>
    </row>
    <row r="260" spans="1:11" x14ac:dyDescent="0.25">
      <c r="A260" s="3">
        <v>41221</v>
      </c>
      <c r="B260">
        <v>2245.41</v>
      </c>
      <c r="C260">
        <f t="shared" si="12"/>
        <v>0.98159570887121794</v>
      </c>
      <c r="D260">
        <v>244</v>
      </c>
      <c r="E260">
        <f t="shared" si="13"/>
        <v>0</v>
      </c>
      <c r="F260">
        <f t="shared" si="14"/>
        <v>0</v>
      </c>
      <c r="G260" t="str">
        <f t="shared" si="15"/>
        <v>extra</v>
      </c>
      <c r="J260">
        <v>229</v>
      </c>
      <c r="K260">
        <v>0.22207079273076732</v>
      </c>
    </row>
    <row r="261" spans="1:11" x14ac:dyDescent="0.25">
      <c r="A261" s="3">
        <v>41220</v>
      </c>
      <c r="B261">
        <v>2287.5100000000002</v>
      </c>
      <c r="C261">
        <f t="shared" si="12"/>
        <v>0.99794957704573328</v>
      </c>
      <c r="D261">
        <v>245</v>
      </c>
      <c r="E261">
        <f t="shared" si="13"/>
        <v>0</v>
      </c>
      <c r="F261">
        <f t="shared" si="14"/>
        <v>0</v>
      </c>
      <c r="G261" t="str">
        <f t="shared" si="15"/>
        <v>extra</v>
      </c>
      <c r="J261">
        <v>230</v>
      </c>
      <c r="K261">
        <v>0.22217149233129133</v>
      </c>
    </row>
    <row r="262" spans="1:11" x14ac:dyDescent="0.25">
      <c r="A262" s="3">
        <v>41219</v>
      </c>
      <c r="B262">
        <v>2292.21</v>
      </c>
      <c r="C262">
        <f t="shared" si="12"/>
        <v>0.99579908596451594</v>
      </c>
      <c r="D262">
        <v>246</v>
      </c>
      <c r="E262">
        <f t="shared" si="13"/>
        <v>0</v>
      </c>
      <c r="F262">
        <f t="shared" si="14"/>
        <v>0</v>
      </c>
      <c r="G262" t="str">
        <f t="shared" si="15"/>
        <v>extra</v>
      </c>
      <c r="J262">
        <v>231</v>
      </c>
      <c r="K262">
        <v>0.22241492829369272</v>
      </c>
    </row>
    <row r="263" spans="1:11" x14ac:dyDescent="0.25">
      <c r="A263" s="3">
        <v>41218</v>
      </c>
      <c r="B263">
        <v>2301.88</v>
      </c>
      <c r="C263">
        <f t="shared" si="12"/>
        <v>0.99788015276772291</v>
      </c>
      <c r="D263">
        <v>247</v>
      </c>
      <c r="E263">
        <f t="shared" si="13"/>
        <v>0</v>
      </c>
      <c r="F263">
        <f t="shared" si="14"/>
        <v>0</v>
      </c>
      <c r="G263" t="str">
        <f t="shared" si="15"/>
        <v>extra</v>
      </c>
      <c r="J263">
        <v>232</v>
      </c>
      <c r="K263">
        <v>0.22273162905343841</v>
      </c>
    </row>
    <row r="264" spans="1:11" x14ac:dyDescent="0.25">
      <c r="A264" s="3">
        <v>41215</v>
      </c>
      <c r="B264">
        <v>2306.77</v>
      </c>
      <c r="C264">
        <f t="shared" si="12"/>
        <v>1.0038687834003517</v>
      </c>
      <c r="D264">
        <v>248</v>
      </c>
      <c r="E264">
        <f t="shared" si="13"/>
        <v>0</v>
      </c>
      <c r="F264">
        <f t="shared" si="14"/>
        <v>0</v>
      </c>
      <c r="G264" t="str">
        <f t="shared" si="15"/>
        <v>extra</v>
      </c>
      <c r="J264">
        <v>233</v>
      </c>
      <c r="K264">
        <v>0.22287736832974947</v>
      </c>
    </row>
    <row r="265" spans="1:11" x14ac:dyDescent="0.25">
      <c r="A265" s="3">
        <v>41214</v>
      </c>
      <c r="B265">
        <v>2297.88</v>
      </c>
      <c r="C265">
        <f t="shared" si="12"/>
        <v>1.019096868042682</v>
      </c>
      <c r="D265">
        <v>249</v>
      </c>
      <c r="E265">
        <f t="shared" si="13"/>
        <v>0</v>
      </c>
      <c r="F265">
        <f t="shared" si="14"/>
        <v>0</v>
      </c>
      <c r="G265" t="str">
        <f t="shared" si="15"/>
        <v>extra</v>
      </c>
      <c r="J265">
        <v>234</v>
      </c>
      <c r="K265">
        <v>0.22297208573207045</v>
      </c>
    </row>
    <row r="266" spans="1:11" x14ac:dyDescent="0.25">
      <c r="A266" s="3">
        <v>41213</v>
      </c>
      <c r="B266">
        <v>2254.8200000000002</v>
      </c>
      <c r="C266">
        <f t="shared" si="12"/>
        <v>1.0066700001785811</v>
      </c>
      <c r="D266">
        <v>250</v>
      </c>
      <c r="E266">
        <f t="shared" si="13"/>
        <v>0</v>
      </c>
      <c r="F266">
        <f t="shared" si="14"/>
        <v>0</v>
      </c>
      <c r="G266" t="str">
        <f t="shared" si="15"/>
        <v>extra</v>
      </c>
      <c r="J266">
        <v>235</v>
      </c>
      <c r="K266">
        <v>0.22312176420942337</v>
      </c>
    </row>
    <row r="267" spans="1:11" x14ac:dyDescent="0.25">
      <c r="A267" s="3">
        <v>41212</v>
      </c>
      <c r="B267">
        <v>2239.88</v>
      </c>
      <c r="C267">
        <f t="shared" si="12"/>
        <v>1.001802446496858</v>
      </c>
      <c r="D267">
        <v>251</v>
      </c>
      <c r="E267">
        <f t="shared" si="13"/>
        <v>0</v>
      </c>
      <c r="F267">
        <f t="shared" si="14"/>
        <v>0</v>
      </c>
      <c r="G267" t="str">
        <f t="shared" si="15"/>
        <v>extra</v>
      </c>
      <c r="J267">
        <v>236</v>
      </c>
      <c r="K267">
        <v>0.22352617825735588</v>
      </c>
    </row>
    <row r="268" spans="1:11" x14ac:dyDescent="0.25">
      <c r="A268" s="3">
        <v>41211</v>
      </c>
      <c r="B268">
        <v>2235.85</v>
      </c>
      <c r="C268">
        <f t="shared" si="12"/>
        <v>0.99463501652646236</v>
      </c>
      <c r="D268">
        <v>252</v>
      </c>
      <c r="E268">
        <f t="shared" si="13"/>
        <v>0</v>
      </c>
      <c r="F268">
        <f t="shared" si="14"/>
        <v>0</v>
      </c>
      <c r="G268" t="str">
        <f t="shared" si="15"/>
        <v>extra</v>
      </c>
      <c r="J268">
        <v>237</v>
      </c>
      <c r="K268">
        <v>0.22357841313881407</v>
      </c>
    </row>
    <row r="269" spans="1:11" x14ac:dyDescent="0.25">
      <c r="A269" s="3">
        <v>41208</v>
      </c>
      <c r="B269">
        <v>2247.91</v>
      </c>
      <c r="C269">
        <f t="shared" si="12"/>
        <v>0.9810888427227179</v>
      </c>
      <c r="D269">
        <v>253</v>
      </c>
      <c r="E269">
        <f t="shared" si="13"/>
        <v>0</v>
      </c>
      <c r="F269">
        <f t="shared" si="14"/>
        <v>0</v>
      </c>
      <c r="G269" t="str">
        <f t="shared" si="15"/>
        <v>extra</v>
      </c>
      <c r="J269">
        <v>238</v>
      </c>
      <c r="K269">
        <v>0.22357861749888383</v>
      </c>
    </row>
    <row r="270" spans="1:11" x14ac:dyDescent="0.25">
      <c r="A270" s="3">
        <v>41207</v>
      </c>
      <c r="B270">
        <v>2291.2399999999998</v>
      </c>
      <c r="C270">
        <f t="shared" si="12"/>
        <v>0.99283293901498393</v>
      </c>
      <c r="D270">
        <v>254</v>
      </c>
      <c r="E270">
        <f t="shared" si="13"/>
        <v>0</v>
      </c>
      <c r="F270">
        <f t="shared" si="14"/>
        <v>0</v>
      </c>
      <c r="G270" t="str">
        <f t="shared" si="15"/>
        <v>extra</v>
      </c>
      <c r="J270">
        <v>239</v>
      </c>
      <c r="K270">
        <v>0.22371189837021055</v>
      </c>
    </row>
    <row r="271" spans="1:11" x14ac:dyDescent="0.25">
      <c r="A271" s="3">
        <v>41206</v>
      </c>
      <c r="B271">
        <v>2307.7800000000002</v>
      </c>
      <c r="C271">
        <f t="shared" si="12"/>
        <v>0.99814020276115023</v>
      </c>
      <c r="D271">
        <v>255</v>
      </c>
      <c r="E271">
        <f t="shared" si="13"/>
        <v>0</v>
      </c>
      <c r="F271">
        <f t="shared" si="14"/>
        <v>0</v>
      </c>
      <c r="G271" t="str">
        <f t="shared" si="15"/>
        <v>extra</v>
      </c>
      <c r="J271">
        <v>240</v>
      </c>
      <c r="K271">
        <v>0.22412542957717832</v>
      </c>
    </row>
    <row r="272" spans="1:11" x14ac:dyDescent="0.25">
      <c r="A272" s="3">
        <v>41205</v>
      </c>
      <c r="B272">
        <v>2312.08</v>
      </c>
      <c r="C272">
        <f t="shared" si="12"/>
        <v>0.98739745215857588</v>
      </c>
      <c r="D272">
        <v>256</v>
      </c>
      <c r="E272">
        <f t="shared" si="13"/>
        <v>0</v>
      </c>
      <c r="F272">
        <f t="shared" si="14"/>
        <v>0</v>
      </c>
      <c r="G272" t="str">
        <f t="shared" si="15"/>
        <v>extra</v>
      </c>
      <c r="J272">
        <v>241</v>
      </c>
      <c r="K272">
        <v>0.22416845968005789</v>
      </c>
    </row>
    <row r="273" spans="1:11" x14ac:dyDescent="0.25">
      <c r="A273" s="3">
        <v>41204</v>
      </c>
      <c r="B273">
        <v>2341.59</v>
      </c>
      <c r="C273">
        <f t="shared" si="12"/>
        <v>1.0039100181352816</v>
      </c>
      <c r="D273">
        <v>257</v>
      </c>
      <c r="E273">
        <f t="shared" si="13"/>
        <v>0</v>
      </c>
      <c r="F273">
        <f t="shared" si="14"/>
        <v>0</v>
      </c>
      <c r="G273" t="str">
        <f t="shared" si="15"/>
        <v>extra</v>
      </c>
      <c r="J273">
        <v>242</v>
      </c>
      <c r="K273">
        <v>0.22488177941534404</v>
      </c>
    </row>
    <row r="274" spans="1:11" x14ac:dyDescent="0.25">
      <c r="A274" s="3">
        <v>41201</v>
      </c>
      <c r="B274">
        <v>2332.4699999999998</v>
      </c>
      <c r="C274">
        <f t="shared" ref="C274:C337" si="16">B274/B275</f>
        <v>0.99845467620971884</v>
      </c>
      <c r="D274">
        <v>258</v>
      </c>
      <c r="E274">
        <f t="shared" ref="E274:E337" si="17">IF(D274&gt;$B$6,0,LN(C274))</f>
        <v>0</v>
      </c>
      <c r="F274">
        <f t="shared" ref="F274:F337" si="18">IF(D274&gt;$B$6,0,(E274-$B$7)^2)</f>
        <v>0</v>
      </c>
      <c r="G274" t="str">
        <f t="shared" ref="G274:G337" si="19">IF(D274&lt;=$B$6,E274,"extra")</f>
        <v>extra</v>
      </c>
      <c r="J274">
        <v>243</v>
      </c>
      <c r="K274">
        <v>0.22492697028680111</v>
      </c>
    </row>
    <row r="275" spans="1:11" x14ac:dyDescent="0.25">
      <c r="A275" s="3">
        <v>41200</v>
      </c>
      <c r="B275">
        <v>2336.08</v>
      </c>
      <c r="C275">
        <f t="shared" si="16"/>
        <v>1.0153337969401945</v>
      </c>
      <c r="D275">
        <v>259</v>
      </c>
      <c r="E275">
        <f t="shared" si="17"/>
        <v>0</v>
      </c>
      <c r="F275">
        <f t="shared" si="18"/>
        <v>0</v>
      </c>
      <c r="G275" t="str">
        <f t="shared" si="19"/>
        <v>extra</v>
      </c>
      <c r="J275">
        <v>244</v>
      </c>
      <c r="K275">
        <v>0.22493394192973637</v>
      </c>
    </row>
    <row r="276" spans="1:11" x14ac:dyDescent="0.25">
      <c r="A276" s="3">
        <v>41199</v>
      </c>
      <c r="B276">
        <v>2300.8000000000002</v>
      </c>
      <c r="C276">
        <f t="shared" si="16"/>
        <v>1.001148745083023</v>
      </c>
      <c r="D276">
        <v>260</v>
      </c>
      <c r="E276">
        <f t="shared" si="17"/>
        <v>0</v>
      </c>
      <c r="F276">
        <f t="shared" si="18"/>
        <v>0</v>
      </c>
      <c r="G276" t="str">
        <f t="shared" si="19"/>
        <v>extra</v>
      </c>
      <c r="J276">
        <v>245</v>
      </c>
      <c r="K276">
        <v>0.2257146804255897</v>
      </c>
    </row>
    <row r="277" spans="1:11" x14ac:dyDescent="0.25">
      <c r="A277" s="3">
        <v>41198</v>
      </c>
      <c r="B277">
        <v>2298.16</v>
      </c>
      <c r="C277">
        <f t="shared" si="16"/>
        <v>1.0014379962176341</v>
      </c>
      <c r="D277">
        <v>261</v>
      </c>
      <c r="E277">
        <f t="shared" si="17"/>
        <v>0</v>
      </c>
      <c r="F277">
        <f t="shared" si="18"/>
        <v>0</v>
      </c>
      <c r="G277" t="str">
        <f t="shared" si="19"/>
        <v>extra</v>
      </c>
      <c r="J277">
        <v>246</v>
      </c>
      <c r="K277">
        <v>0.22572132287816216</v>
      </c>
    </row>
    <row r="278" spans="1:11" x14ac:dyDescent="0.25">
      <c r="A278" s="3">
        <v>41197</v>
      </c>
      <c r="B278">
        <v>2294.86</v>
      </c>
      <c r="C278">
        <f t="shared" si="16"/>
        <v>0.99580391663376044</v>
      </c>
      <c r="D278">
        <v>262</v>
      </c>
      <c r="E278">
        <f t="shared" si="17"/>
        <v>0</v>
      </c>
      <c r="F278">
        <f t="shared" si="18"/>
        <v>0</v>
      </c>
      <c r="G278" t="str">
        <f t="shared" si="19"/>
        <v>extra</v>
      </c>
      <c r="J278">
        <v>247</v>
      </c>
      <c r="K278">
        <v>0.22575894113595107</v>
      </c>
    </row>
    <row r="279" spans="1:11" x14ac:dyDescent="0.25">
      <c r="A279" s="3">
        <v>41194</v>
      </c>
      <c r="B279">
        <v>2304.5300000000002</v>
      </c>
      <c r="C279">
        <f t="shared" si="16"/>
        <v>1.0008686097466699</v>
      </c>
      <c r="D279">
        <v>263</v>
      </c>
      <c r="E279">
        <f t="shared" si="17"/>
        <v>0</v>
      </c>
      <c r="F279">
        <f t="shared" si="18"/>
        <v>0</v>
      </c>
      <c r="G279" t="str">
        <f t="shared" si="19"/>
        <v>extra</v>
      </c>
      <c r="J279">
        <v>248</v>
      </c>
      <c r="K279">
        <v>0.22576606149312411</v>
      </c>
    </row>
    <row r="280" spans="1:11" x14ac:dyDescent="0.25">
      <c r="A280" s="3">
        <v>41193</v>
      </c>
      <c r="B280">
        <v>2302.5300000000002</v>
      </c>
      <c r="C280">
        <f t="shared" si="16"/>
        <v>0.99071046245460659</v>
      </c>
      <c r="D280">
        <v>264</v>
      </c>
      <c r="E280">
        <f t="shared" si="17"/>
        <v>0</v>
      </c>
      <c r="F280">
        <f t="shared" si="18"/>
        <v>0</v>
      </c>
      <c r="G280" t="str">
        <f t="shared" si="19"/>
        <v>extra</v>
      </c>
      <c r="J280">
        <v>249</v>
      </c>
      <c r="K280">
        <v>0.22579422825555123</v>
      </c>
    </row>
    <row r="281" spans="1:11" x14ac:dyDescent="0.25">
      <c r="A281" s="3">
        <v>41192</v>
      </c>
      <c r="B281">
        <v>2324.12</v>
      </c>
      <c r="C281">
        <f t="shared" si="16"/>
        <v>1.0017067788428384</v>
      </c>
      <c r="D281">
        <v>265</v>
      </c>
      <c r="E281">
        <f t="shared" si="17"/>
        <v>0</v>
      </c>
      <c r="F281">
        <f t="shared" si="18"/>
        <v>0</v>
      </c>
      <c r="G281" t="str">
        <f t="shared" si="19"/>
        <v>extra</v>
      </c>
      <c r="J281">
        <v>250</v>
      </c>
      <c r="K281">
        <v>0.22657711878241785</v>
      </c>
    </row>
    <row r="282" spans="1:11" x14ac:dyDescent="0.25">
      <c r="A282" s="3">
        <v>41191</v>
      </c>
      <c r="B282">
        <v>2320.16</v>
      </c>
      <c r="C282">
        <f t="shared" si="16"/>
        <v>1.0220744036474967</v>
      </c>
      <c r="D282">
        <v>266</v>
      </c>
      <c r="E282">
        <f t="shared" si="17"/>
        <v>0</v>
      </c>
      <c r="F282">
        <f t="shared" si="18"/>
        <v>0</v>
      </c>
      <c r="G282" t="str">
        <f t="shared" si="19"/>
        <v>extra</v>
      </c>
      <c r="J282">
        <v>251</v>
      </c>
      <c r="K282">
        <v>0.22666651063026416</v>
      </c>
    </row>
    <row r="283" spans="1:11" x14ac:dyDescent="0.25">
      <c r="A283" s="3">
        <v>41190</v>
      </c>
      <c r="B283">
        <v>2270.0500000000002</v>
      </c>
      <c r="C283">
        <f t="shared" si="16"/>
        <v>0.98994378813053019</v>
      </c>
      <c r="D283">
        <v>267</v>
      </c>
      <c r="E283">
        <f t="shared" si="17"/>
        <v>0</v>
      </c>
      <c r="F283">
        <f t="shared" si="18"/>
        <v>0</v>
      </c>
      <c r="G283" t="str">
        <f t="shared" si="19"/>
        <v>extra</v>
      </c>
      <c r="J283">
        <v>252</v>
      </c>
      <c r="K283">
        <v>0.22666862202276003</v>
      </c>
    </row>
    <row r="284" spans="1:11" x14ac:dyDescent="0.25">
      <c r="A284" s="3">
        <v>41180</v>
      </c>
      <c r="B284">
        <v>2293.11</v>
      </c>
      <c r="C284">
        <f t="shared" si="16"/>
        <v>1.0183815039170059</v>
      </c>
      <c r="D284">
        <v>268</v>
      </c>
      <c r="E284">
        <f t="shared" si="17"/>
        <v>0</v>
      </c>
      <c r="F284">
        <f t="shared" si="18"/>
        <v>0</v>
      </c>
      <c r="G284" t="str">
        <f t="shared" si="19"/>
        <v>extra</v>
      </c>
      <c r="J284">
        <v>253</v>
      </c>
      <c r="K284">
        <v>0.22673396064204013</v>
      </c>
    </row>
    <row r="285" spans="1:11" x14ac:dyDescent="0.25">
      <c r="A285" s="3">
        <v>41179</v>
      </c>
      <c r="B285">
        <v>2251.7199999999998</v>
      </c>
      <c r="C285">
        <f t="shared" si="16"/>
        <v>1.0305873522236817</v>
      </c>
      <c r="D285">
        <v>269</v>
      </c>
      <c r="E285">
        <f t="shared" si="17"/>
        <v>0</v>
      </c>
      <c r="F285">
        <f t="shared" si="18"/>
        <v>0</v>
      </c>
      <c r="G285" t="str">
        <f t="shared" si="19"/>
        <v>extra</v>
      </c>
      <c r="J285">
        <v>254</v>
      </c>
      <c r="K285">
        <v>0.22755102026413312</v>
      </c>
    </row>
    <row r="286" spans="1:11" x14ac:dyDescent="0.25">
      <c r="A286" s="3">
        <v>41178</v>
      </c>
      <c r="B286">
        <v>2184.89</v>
      </c>
      <c r="C286">
        <f t="shared" si="16"/>
        <v>0.98857091147659648</v>
      </c>
      <c r="D286">
        <v>270</v>
      </c>
      <c r="E286">
        <f t="shared" si="17"/>
        <v>0</v>
      </c>
      <c r="F286">
        <f t="shared" si="18"/>
        <v>0</v>
      </c>
      <c r="G286" t="str">
        <f t="shared" si="19"/>
        <v>extra</v>
      </c>
      <c r="J286">
        <v>255</v>
      </c>
      <c r="K286">
        <v>0.22766481916796374</v>
      </c>
    </row>
    <row r="287" spans="1:11" x14ac:dyDescent="0.25">
      <c r="A287" s="3">
        <v>41177</v>
      </c>
      <c r="B287">
        <v>2210.15</v>
      </c>
      <c r="C287">
        <f t="shared" si="16"/>
        <v>0.9975761897884019</v>
      </c>
      <c r="D287">
        <v>271</v>
      </c>
      <c r="E287">
        <f t="shared" si="17"/>
        <v>0</v>
      </c>
      <c r="F287">
        <f t="shared" si="18"/>
        <v>0</v>
      </c>
      <c r="G287" t="str">
        <f t="shared" si="19"/>
        <v>extra</v>
      </c>
      <c r="J287">
        <v>256</v>
      </c>
      <c r="K287">
        <v>0.2276695520525569</v>
      </c>
    </row>
    <row r="288" spans="1:11" x14ac:dyDescent="0.25">
      <c r="A288" s="3">
        <v>41176</v>
      </c>
      <c r="B288">
        <v>2215.52</v>
      </c>
      <c r="C288">
        <f t="shared" si="16"/>
        <v>1.0074850163251572</v>
      </c>
      <c r="D288">
        <v>272</v>
      </c>
      <c r="E288">
        <f t="shared" si="17"/>
        <v>0</v>
      </c>
      <c r="F288">
        <f t="shared" si="18"/>
        <v>0</v>
      </c>
      <c r="G288" t="str">
        <f t="shared" si="19"/>
        <v>extra</v>
      </c>
      <c r="J288">
        <v>257</v>
      </c>
      <c r="K288">
        <v>0.22802406489248134</v>
      </c>
    </row>
    <row r="289" spans="1:11" x14ac:dyDescent="0.25">
      <c r="A289" s="3">
        <v>41173</v>
      </c>
      <c r="B289">
        <v>2199.06</v>
      </c>
      <c r="C289">
        <f t="shared" si="16"/>
        <v>1.0014162435392429</v>
      </c>
      <c r="D289">
        <v>273</v>
      </c>
      <c r="E289">
        <f t="shared" si="17"/>
        <v>0</v>
      </c>
      <c r="F289">
        <f t="shared" si="18"/>
        <v>0</v>
      </c>
      <c r="G289" t="str">
        <f t="shared" si="19"/>
        <v>extra</v>
      </c>
      <c r="J289">
        <v>258</v>
      </c>
      <c r="K289">
        <v>0.22805385880645876</v>
      </c>
    </row>
    <row r="290" spans="1:11" x14ac:dyDescent="0.25">
      <c r="A290" s="3">
        <v>41172</v>
      </c>
      <c r="B290">
        <v>2195.9499999999998</v>
      </c>
      <c r="C290">
        <f t="shared" si="16"/>
        <v>0.97761147517629465</v>
      </c>
      <c r="D290">
        <v>274</v>
      </c>
      <c r="E290">
        <f t="shared" si="17"/>
        <v>0</v>
      </c>
      <c r="F290">
        <f t="shared" si="18"/>
        <v>0</v>
      </c>
      <c r="G290" t="str">
        <f t="shared" si="19"/>
        <v>extra</v>
      </c>
      <c r="J290">
        <v>259</v>
      </c>
      <c r="K290">
        <v>0.22805589206131444</v>
      </c>
    </row>
    <row r="291" spans="1:11" x14ac:dyDescent="0.25">
      <c r="A291" s="3">
        <v>41171</v>
      </c>
      <c r="B291">
        <v>2246.2399999999998</v>
      </c>
      <c r="C291">
        <f t="shared" si="16"/>
        <v>1.0049211717757378</v>
      </c>
      <c r="D291">
        <v>275</v>
      </c>
      <c r="E291">
        <f t="shared" si="17"/>
        <v>0</v>
      </c>
      <c r="F291">
        <f t="shared" si="18"/>
        <v>0</v>
      </c>
      <c r="G291" t="str">
        <f t="shared" si="19"/>
        <v>extra</v>
      </c>
      <c r="J291">
        <v>260</v>
      </c>
      <c r="K291">
        <v>0.228559964905688</v>
      </c>
    </row>
    <row r="292" spans="1:11" x14ac:dyDescent="0.25">
      <c r="A292" s="3">
        <v>41170</v>
      </c>
      <c r="B292">
        <v>2235.2399999999998</v>
      </c>
      <c r="C292">
        <f t="shared" si="16"/>
        <v>0.98961349448797975</v>
      </c>
      <c r="D292">
        <v>276</v>
      </c>
      <c r="E292">
        <f t="shared" si="17"/>
        <v>0</v>
      </c>
      <c r="F292">
        <f t="shared" si="18"/>
        <v>0</v>
      </c>
      <c r="G292" t="str">
        <f t="shared" si="19"/>
        <v>extra</v>
      </c>
      <c r="J292">
        <v>261</v>
      </c>
      <c r="K292">
        <v>0.22855906247636637</v>
      </c>
    </row>
    <row r="293" spans="1:11" x14ac:dyDescent="0.25">
      <c r="A293" s="3">
        <v>41169</v>
      </c>
      <c r="B293">
        <v>2258.6999999999998</v>
      </c>
      <c r="C293">
        <f t="shared" si="16"/>
        <v>0.97545281014363816</v>
      </c>
      <c r="D293">
        <v>277</v>
      </c>
      <c r="E293">
        <f t="shared" si="17"/>
        <v>0</v>
      </c>
      <c r="F293">
        <f t="shared" si="18"/>
        <v>0</v>
      </c>
      <c r="G293" t="str">
        <f t="shared" si="19"/>
        <v>extra</v>
      </c>
      <c r="J293">
        <v>262</v>
      </c>
      <c r="K293">
        <v>0.22855969643667562</v>
      </c>
    </row>
    <row r="294" spans="1:11" x14ac:dyDescent="0.25">
      <c r="A294" s="3">
        <v>41166</v>
      </c>
      <c r="B294">
        <v>2315.54</v>
      </c>
      <c r="C294">
        <f t="shared" si="16"/>
        <v>1.0074310625375251</v>
      </c>
      <c r="D294">
        <v>278</v>
      </c>
      <c r="E294">
        <f t="shared" si="17"/>
        <v>0</v>
      </c>
      <c r="F294">
        <f t="shared" si="18"/>
        <v>0</v>
      </c>
      <c r="G294" t="str">
        <f t="shared" si="19"/>
        <v>extra</v>
      </c>
      <c r="J294">
        <v>263</v>
      </c>
      <c r="K294">
        <v>0.22859689908859787</v>
      </c>
    </row>
    <row r="295" spans="1:11" x14ac:dyDescent="0.25">
      <c r="A295" s="3">
        <v>41165</v>
      </c>
      <c r="B295">
        <v>2298.46</v>
      </c>
      <c r="C295">
        <f t="shared" si="16"/>
        <v>0.99068562586473674</v>
      </c>
      <c r="D295">
        <v>279</v>
      </c>
      <c r="E295">
        <f t="shared" si="17"/>
        <v>0</v>
      </c>
      <c r="F295">
        <f t="shared" si="18"/>
        <v>0</v>
      </c>
      <c r="G295" t="str">
        <f t="shared" si="19"/>
        <v>extra</v>
      </c>
      <c r="J295">
        <v>264</v>
      </c>
      <c r="K295">
        <v>0.22859496041001479</v>
      </c>
    </row>
    <row r="296" spans="1:11" x14ac:dyDescent="0.25">
      <c r="A296" s="3">
        <v>41164</v>
      </c>
      <c r="B296">
        <v>2320.0700000000002</v>
      </c>
      <c r="C296">
        <f t="shared" si="16"/>
        <v>1.0035382306251597</v>
      </c>
      <c r="D296">
        <v>280</v>
      </c>
      <c r="E296">
        <f t="shared" si="17"/>
        <v>0</v>
      </c>
      <c r="F296">
        <f t="shared" si="18"/>
        <v>0</v>
      </c>
      <c r="G296" t="str">
        <f t="shared" si="19"/>
        <v>extra</v>
      </c>
      <c r="J296">
        <v>265</v>
      </c>
      <c r="K296">
        <v>0.22878607222591305</v>
      </c>
    </row>
    <row r="297" spans="1:11" x14ac:dyDescent="0.25">
      <c r="A297" s="3">
        <v>41163</v>
      </c>
      <c r="B297">
        <v>2311.89</v>
      </c>
      <c r="C297">
        <f t="shared" si="16"/>
        <v>0.99364757357081146</v>
      </c>
      <c r="D297">
        <v>281</v>
      </c>
      <c r="E297">
        <f t="shared" si="17"/>
        <v>0</v>
      </c>
      <c r="F297">
        <f t="shared" si="18"/>
        <v>0</v>
      </c>
      <c r="G297" t="str">
        <f t="shared" si="19"/>
        <v>extra</v>
      </c>
      <c r="J297">
        <v>266</v>
      </c>
      <c r="K297">
        <v>0.22878886295385131</v>
      </c>
    </row>
    <row r="298" spans="1:11" x14ac:dyDescent="0.25">
      <c r="A298" s="3">
        <v>41162</v>
      </c>
      <c r="B298">
        <v>2326.67</v>
      </c>
      <c r="C298">
        <f t="shared" si="16"/>
        <v>1.0040954953866339</v>
      </c>
      <c r="D298">
        <v>282</v>
      </c>
      <c r="E298">
        <f t="shared" si="17"/>
        <v>0</v>
      </c>
      <c r="F298">
        <f t="shared" si="18"/>
        <v>0</v>
      </c>
      <c r="G298" t="str">
        <f t="shared" si="19"/>
        <v>extra</v>
      </c>
      <c r="J298">
        <v>267</v>
      </c>
      <c r="K298">
        <v>0.22982433396160118</v>
      </c>
    </row>
    <row r="299" spans="1:11" x14ac:dyDescent="0.25">
      <c r="A299" s="3">
        <v>41159</v>
      </c>
      <c r="B299">
        <v>2317.1799999999998</v>
      </c>
      <c r="C299">
        <f t="shared" si="16"/>
        <v>1.044800750286317</v>
      </c>
      <c r="D299">
        <v>283</v>
      </c>
      <c r="E299">
        <f t="shared" si="17"/>
        <v>0</v>
      </c>
      <c r="F299">
        <f t="shared" si="18"/>
        <v>0</v>
      </c>
      <c r="G299" t="str">
        <f t="shared" si="19"/>
        <v>extra</v>
      </c>
      <c r="J299">
        <v>268</v>
      </c>
      <c r="K299">
        <v>0.23004989617677923</v>
      </c>
    </row>
    <row r="300" spans="1:11" x14ac:dyDescent="0.25">
      <c r="A300" s="3">
        <v>41158</v>
      </c>
      <c r="B300">
        <v>2217.8200000000002</v>
      </c>
      <c r="C300">
        <f t="shared" si="16"/>
        <v>1.0081549902721967</v>
      </c>
      <c r="D300">
        <v>284</v>
      </c>
      <c r="E300">
        <f t="shared" si="17"/>
        <v>0</v>
      </c>
      <c r="F300">
        <f t="shared" si="18"/>
        <v>0</v>
      </c>
      <c r="G300" t="str">
        <f t="shared" si="19"/>
        <v>extra</v>
      </c>
      <c r="J300">
        <v>269</v>
      </c>
      <c r="K300">
        <v>0.23076198863517344</v>
      </c>
    </row>
    <row r="301" spans="1:11" x14ac:dyDescent="0.25">
      <c r="A301" s="3">
        <v>41157</v>
      </c>
      <c r="B301">
        <v>2199.88</v>
      </c>
      <c r="C301">
        <f t="shared" si="16"/>
        <v>0.99794502837493948</v>
      </c>
      <c r="D301">
        <v>285</v>
      </c>
      <c r="E301">
        <f t="shared" si="17"/>
        <v>0</v>
      </c>
      <c r="F301">
        <f t="shared" si="18"/>
        <v>0</v>
      </c>
      <c r="G301" t="str">
        <f t="shared" si="19"/>
        <v>extra</v>
      </c>
      <c r="J301">
        <v>270</v>
      </c>
      <c r="K301">
        <v>0.23270379649210055</v>
      </c>
    </row>
    <row r="302" spans="1:11" x14ac:dyDescent="0.25">
      <c r="A302" s="3">
        <v>41156</v>
      </c>
      <c r="B302">
        <v>2204.41</v>
      </c>
      <c r="C302">
        <f t="shared" si="16"/>
        <v>0.98924774611038557</v>
      </c>
      <c r="D302">
        <v>286</v>
      </c>
      <c r="E302">
        <f t="shared" si="17"/>
        <v>0</v>
      </c>
      <c r="F302">
        <f t="shared" si="18"/>
        <v>0</v>
      </c>
      <c r="G302" t="str">
        <f t="shared" si="19"/>
        <v>extra</v>
      </c>
      <c r="J302">
        <v>271</v>
      </c>
      <c r="K302">
        <v>0.23299900836315379</v>
      </c>
    </row>
    <row r="303" spans="1:11" x14ac:dyDescent="0.25">
      <c r="A303" s="3">
        <v>41155</v>
      </c>
      <c r="B303">
        <v>2228.37</v>
      </c>
      <c r="C303">
        <f t="shared" si="16"/>
        <v>1.0106582247479443</v>
      </c>
      <c r="D303">
        <v>287</v>
      </c>
      <c r="E303">
        <f t="shared" si="17"/>
        <v>0</v>
      </c>
      <c r="F303">
        <f t="shared" si="18"/>
        <v>0</v>
      </c>
      <c r="G303" t="str">
        <f t="shared" si="19"/>
        <v>extra</v>
      </c>
      <c r="J303">
        <v>272</v>
      </c>
      <c r="K303">
        <v>0.23301100788660994</v>
      </c>
    </row>
    <row r="304" spans="1:11" x14ac:dyDescent="0.25">
      <c r="A304" s="3">
        <v>41152</v>
      </c>
      <c r="B304">
        <v>2204.87</v>
      </c>
      <c r="C304">
        <f t="shared" si="16"/>
        <v>0.99706064566309571</v>
      </c>
      <c r="D304">
        <v>288</v>
      </c>
      <c r="E304">
        <f t="shared" si="17"/>
        <v>0</v>
      </c>
      <c r="F304">
        <f t="shared" si="18"/>
        <v>0</v>
      </c>
      <c r="G304" t="str">
        <f t="shared" si="19"/>
        <v>extra</v>
      </c>
      <c r="J304">
        <v>273</v>
      </c>
      <c r="K304">
        <v>0.23312066807730267</v>
      </c>
    </row>
    <row r="305" spans="1:11" x14ac:dyDescent="0.25">
      <c r="A305" s="3">
        <v>41151</v>
      </c>
      <c r="B305">
        <v>2211.37</v>
      </c>
      <c r="C305">
        <f t="shared" si="16"/>
        <v>0.99844681936599522</v>
      </c>
      <c r="D305">
        <v>289</v>
      </c>
      <c r="E305">
        <f t="shared" si="17"/>
        <v>0</v>
      </c>
      <c r="F305">
        <f t="shared" si="18"/>
        <v>0</v>
      </c>
      <c r="G305" t="str">
        <f t="shared" si="19"/>
        <v>extra</v>
      </c>
      <c r="J305">
        <v>274</v>
      </c>
      <c r="K305">
        <v>0.23312047562785546</v>
      </c>
    </row>
    <row r="306" spans="1:11" x14ac:dyDescent="0.25">
      <c r="A306" s="3">
        <v>41150</v>
      </c>
      <c r="B306">
        <v>2214.81</v>
      </c>
      <c r="C306">
        <f t="shared" si="16"/>
        <v>0.98945680192636742</v>
      </c>
      <c r="D306">
        <v>290</v>
      </c>
      <c r="E306">
        <f t="shared" si="17"/>
        <v>0</v>
      </c>
      <c r="F306">
        <f t="shared" si="18"/>
        <v>0</v>
      </c>
      <c r="G306" t="str">
        <f t="shared" si="19"/>
        <v>extra</v>
      </c>
      <c r="J306">
        <v>275</v>
      </c>
      <c r="K306">
        <v>0.23424277950401254</v>
      </c>
    </row>
    <row r="307" spans="1:11" x14ac:dyDescent="0.25">
      <c r="A307" s="3">
        <v>41149</v>
      </c>
      <c r="B307">
        <v>2238.41</v>
      </c>
      <c r="C307">
        <f t="shared" si="16"/>
        <v>1.0045821739520691</v>
      </c>
      <c r="D307">
        <v>291</v>
      </c>
      <c r="E307">
        <f t="shared" si="17"/>
        <v>0</v>
      </c>
      <c r="F307">
        <f t="shared" si="18"/>
        <v>0</v>
      </c>
      <c r="G307" t="str">
        <f t="shared" si="19"/>
        <v>extra</v>
      </c>
      <c r="J307">
        <v>276</v>
      </c>
      <c r="K307">
        <v>0.23428786296152121</v>
      </c>
    </row>
    <row r="308" spans="1:11" x14ac:dyDescent="0.25">
      <c r="A308" s="3">
        <v>41148</v>
      </c>
      <c r="B308">
        <v>2228.1999999999998</v>
      </c>
      <c r="C308">
        <f t="shared" si="16"/>
        <v>0.97913590663010619</v>
      </c>
      <c r="D308">
        <v>292</v>
      </c>
      <c r="E308">
        <f t="shared" si="17"/>
        <v>0</v>
      </c>
      <c r="F308">
        <f t="shared" si="18"/>
        <v>0</v>
      </c>
      <c r="G308" t="str">
        <f t="shared" si="19"/>
        <v>extra</v>
      </c>
      <c r="J308">
        <v>277</v>
      </c>
      <c r="K308">
        <v>0.23452640557164814</v>
      </c>
    </row>
    <row r="309" spans="1:11" x14ac:dyDescent="0.25">
      <c r="A309" s="3">
        <v>41145</v>
      </c>
      <c r="B309">
        <v>2275.6799999999998</v>
      </c>
      <c r="C309">
        <f t="shared" si="16"/>
        <v>0.98848058378941883</v>
      </c>
      <c r="D309">
        <v>293</v>
      </c>
      <c r="E309">
        <f t="shared" si="17"/>
        <v>0</v>
      </c>
      <c r="F309">
        <f t="shared" si="18"/>
        <v>0</v>
      </c>
      <c r="G309" t="str">
        <f t="shared" si="19"/>
        <v>extra</v>
      </c>
      <c r="J309">
        <v>278</v>
      </c>
      <c r="K309">
        <v>0.23585665488437291</v>
      </c>
    </row>
    <row r="310" spans="1:11" x14ac:dyDescent="0.25">
      <c r="A310" s="3">
        <v>41144</v>
      </c>
      <c r="B310">
        <v>2302.1999999999998</v>
      </c>
      <c r="C310">
        <f t="shared" si="16"/>
        <v>1.002879434045278</v>
      </c>
      <c r="D310">
        <v>294</v>
      </c>
      <c r="E310">
        <f t="shared" si="17"/>
        <v>0</v>
      </c>
      <c r="F310">
        <f t="shared" si="18"/>
        <v>0</v>
      </c>
      <c r="G310" t="str">
        <f t="shared" si="19"/>
        <v>extra</v>
      </c>
      <c r="J310">
        <v>279</v>
      </c>
      <c r="K310">
        <v>0.23596847452016015</v>
      </c>
    </row>
    <row r="311" spans="1:11" x14ac:dyDescent="0.25">
      <c r="A311" s="3">
        <v>41143</v>
      </c>
      <c r="B311">
        <v>2295.59</v>
      </c>
      <c r="C311">
        <f t="shared" si="16"/>
        <v>0.99217271037731791</v>
      </c>
      <c r="D311">
        <v>295</v>
      </c>
      <c r="E311">
        <f t="shared" si="17"/>
        <v>0</v>
      </c>
      <c r="F311">
        <f t="shared" si="18"/>
        <v>0</v>
      </c>
      <c r="G311" t="str">
        <f t="shared" si="19"/>
        <v>extra</v>
      </c>
      <c r="J311">
        <v>280</v>
      </c>
      <c r="K311">
        <v>0.23615481692714585</v>
      </c>
    </row>
    <row r="312" spans="1:11" x14ac:dyDescent="0.25">
      <c r="A312" s="3">
        <v>41142</v>
      </c>
      <c r="B312">
        <v>2313.6999999999998</v>
      </c>
      <c r="C312">
        <f t="shared" si="16"/>
        <v>1.0051742339657397</v>
      </c>
      <c r="D312">
        <v>296</v>
      </c>
      <c r="E312">
        <f t="shared" si="17"/>
        <v>0</v>
      </c>
      <c r="F312">
        <f t="shared" si="18"/>
        <v>0</v>
      </c>
      <c r="G312" t="str">
        <f t="shared" si="19"/>
        <v>extra</v>
      </c>
      <c r="J312">
        <v>281</v>
      </c>
      <c r="K312">
        <v>0.2361775981948076</v>
      </c>
    </row>
    <row r="313" spans="1:11" x14ac:dyDescent="0.25">
      <c r="A313" s="3">
        <v>41141</v>
      </c>
      <c r="B313">
        <v>2301.79</v>
      </c>
      <c r="C313">
        <f t="shared" si="16"/>
        <v>0.9949470062416792</v>
      </c>
      <c r="D313">
        <v>297</v>
      </c>
      <c r="E313">
        <f t="shared" si="17"/>
        <v>0</v>
      </c>
      <c r="F313">
        <f t="shared" si="18"/>
        <v>0</v>
      </c>
      <c r="G313" t="str">
        <f t="shared" si="19"/>
        <v>extra</v>
      </c>
      <c r="J313">
        <v>282</v>
      </c>
      <c r="K313">
        <v>0.23626248181273327</v>
      </c>
    </row>
    <row r="314" spans="1:11" x14ac:dyDescent="0.25">
      <c r="A314" s="3">
        <v>41138</v>
      </c>
      <c r="B314">
        <v>2313.48</v>
      </c>
      <c r="C314">
        <f t="shared" si="16"/>
        <v>0.99733151698301914</v>
      </c>
      <c r="D314">
        <v>298</v>
      </c>
      <c r="E314">
        <f t="shared" si="17"/>
        <v>0</v>
      </c>
      <c r="F314">
        <f t="shared" si="18"/>
        <v>0</v>
      </c>
      <c r="G314" t="str">
        <f t="shared" si="19"/>
        <v>extra</v>
      </c>
      <c r="J314">
        <v>283</v>
      </c>
      <c r="K314">
        <v>0.23629434262637483</v>
      </c>
    </row>
    <row r="315" spans="1:11" x14ac:dyDescent="0.25">
      <c r="A315" s="3">
        <v>41137</v>
      </c>
      <c r="B315">
        <v>2319.67</v>
      </c>
      <c r="C315">
        <f t="shared" si="16"/>
        <v>0.99487907497394501</v>
      </c>
      <c r="D315">
        <v>299</v>
      </c>
      <c r="E315">
        <f t="shared" si="17"/>
        <v>0</v>
      </c>
      <c r="F315">
        <f t="shared" si="18"/>
        <v>0</v>
      </c>
      <c r="G315" t="str">
        <f t="shared" si="19"/>
        <v>extra</v>
      </c>
      <c r="J315">
        <v>284</v>
      </c>
      <c r="K315">
        <v>0.24032615019461739</v>
      </c>
    </row>
    <row r="316" spans="1:11" x14ac:dyDescent="0.25">
      <c r="A316" s="3">
        <v>41136</v>
      </c>
      <c r="B316">
        <v>2331.61</v>
      </c>
      <c r="C316">
        <f t="shared" si="16"/>
        <v>0.98921943810404667</v>
      </c>
      <c r="D316">
        <v>300</v>
      </c>
      <c r="E316">
        <f t="shared" si="17"/>
        <v>0</v>
      </c>
      <c r="F316">
        <f t="shared" si="18"/>
        <v>0</v>
      </c>
      <c r="G316" t="str">
        <f t="shared" si="19"/>
        <v>extra</v>
      </c>
      <c r="J316">
        <v>285</v>
      </c>
      <c r="K316">
        <v>0.24045396454899653</v>
      </c>
    </row>
    <row r="317" spans="1:11" x14ac:dyDescent="0.25">
      <c r="A317" s="3">
        <v>41135</v>
      </c>
      <c r="B317">
        <v>2357.02</v>
      </c>
      <c r="C317">
        <f t="shared" si="16"/>
        <v>1.0021641800563792</v>
      </c>
      <c r="D317">
        <v>301</v>
      </c>
      <c r="E317">
        <f t="shared" si="17"/>
        <v>0</v>
      </c>
      <c r="F317">
        <f t="shared" si="18"/>
        <v>0</v>
      </c>
      <c r="G317" t="str">
        <f t="shared" si="19"/>
        <v>extra</v>
      </c>
      <c r="J317">
        <v>286</v>
      </c>
      <c r="K317">
        <v>0.24046194239982438</v>
      </c>
    </row>
    <row r="318" spans="1:11" x14ac:dyDescent="0.25">
      <c r="A318" s="3">
        <v>41134</v>
      </c>
      <c r="B318">
        <v>2351.9299999999998</v>
      </c>
      <c r="C318">
        <f t="shared" si="16"/>
        <v>0.98007292426294401</v>
      </c>
      <c r="D318">
        <v>302</v>
      </c>
      <c r="E318">
        <f t="shared" si="17"/>
        <v>0</v>
      </c>
      <c r="F318">
        <f t="shared" si="18"/>
        <v>0</v>
      </c>
      <c r="G318" t="str">
        <f t="shared" si="19"/>
        <v>extra</v>
      </c>
      <c r="J318">
        <v>287</v>
      </c>
      <c r="K318">
        <v>0.24071299403587273</v>
      </c>
    </row>
    <row r="319" spans="1:11" x14ac:dyDescent="0.25">
      <c r="A319" s="3">
        <v>41131</v>
      </c>
      <c r="B319">
        <v>2399.75</v>
      </c>
      <c r="C319">
        <f t="shared" si="16"/>
        <v>0.99504498901190042</v>
      </c>
      <c r="D319">
        <v>303</v>
      </c>
      <c r="E319">
        <f t="shared" si="17"/>
        <v>0</v>
      </c>
      <c r="F319">
        <f t="shared" si="18"/>
        <v>0</v>
      </c>
      <c r="G319" t="str">
        <f t="shared" si="19"/>
        <v>extra</v>
      </c>
      <c r="J319">
        <v>288</v>
      </c>
      <c r="K319">
        <v>0.24093605407009699</v>
      </c>
    </row>
    <row r="320" spans="1:11" x14ac:dyDescent="0.25">
      <c r="A320" s="3">
        <v>41130</v>
      </c>
      <c r="B320">
        <v>2411.6999999999998</v>
      </c>
      <c r="C320">
        <f t="shared" si="16"/>
        <v>1.0091681695881227</v>
      </c>
      <c r="D320">
        <v>304</v>
      </c>
      <c r="E320">
        <f t="shared" si="17"/>
        <v>0</v>
      </c>
      <c r="F320">
        <f t="shared" si="18"/>
        <v>0</v>
      </c>
      <c r="G320" t="str">
        <f t="shared" si="19"/>
        <v>extra</v>
      </c>
      <c r="J320">
        <v>289</v>
      </c>
      <c r="K320">
        <v>0.24095402357397031</v>
      </c>
    </row>
    <row r="321" spans="1:11" x14ac:dyDescent="0.25">
      <c r="A321" s="3">
        <v>41129</v>
      </c>
      <c r="B321">
        <v>2389.79</v>
      </c>
      <c r="C321">
        <f t="shared" si="16"/>
        <v>1.0003851193241993</v>
      </c>
      <c r="D321">
        <v>305</v>
      </c>
      <c r="E321">
        <f t="shared" si="17"/>
        <v>0</v>
      </c>
      <c r="F321">
        <f t="shared" si="18"/>
        <v>0</v>
      </c>
      <c r="G321" t="str">
        <f t="shared" si="19"/>
        <v>extra</v>
      </c>
      <c r="J321">
        <v>290</v>
      </c>
      <c r="K321">
        <v>0.24095762698247583</v>
      </c>
    </row>
    <row r="322" spans="1:11" x14ac:dyDescent="0.25">
      <c r="A322" s="3">
        <v>41128</v>
      </c>
      <c r="B322">
        <v>2388.87</v>
      </c>
      <c r="C322">
        <f t="shared" si="16"/>
        <v>1.0013665268002732</v>
      </c>
      <c r="D322">
        <v>306</v>
      </c>
      <c r="E322">
        <f t="shared" si="17"/>
        <v>0</v>
      </c>
      <c r="F322">
        <f t="shared" si="18"/>
        <v>0</v>
      </c>
      <c r="G322" t="str">
        <f t="shared" si="19"/>
        <v>extra</v>
      </c>
      <c r="J322">
        <v>291</v>
      </c>
      <c r="K322">
        <v>0.24119773773980699</v>
      </c>
    </row>
    <row r="323" spans="1:11" x14ac:dyDescent="0.25">
      <c r="A323" s="3">
        <v>41127</v>
      </c>
      <c r="B323">
        <v>2385.61</v>
      </c>
      <c r="C323">
        <f t="shared" si="16"/>
        <v>1.0135401531180166</v>
      </c>
      <c r="D323">
        <v>307</v>
      </c>
      <c r="E323">
        <f t="shared" si="17"/>
        <v>0</v>
      </c>
      <c r="F323">
        <f t="shared" si="18"/>
        <v>0</v>
      </c>
      <c r="G323" t="str">
        <f t="shared" si="19"/>
        <v>extra</v>
      </c>
      <c r="J323">
        <v>292</v>
      </c>
      <c r="K323">
        <v>0.24123520039008298</v>
      </c>
    </row>
    <row r="324" spans="1:11" x14ac:dyDescent="0.25">
      <c r="A324" s="3">
        <v>41124</v>
      </c>
      <c r="B324">
        <v>2353.7399999999998</v>
      </c>
      <c r="C324">
        <f t="shared" si="16"/>
        <v>1.0080775029123552</v>
      </c>
      <c r="D324">
        <v>308</v>
      </c>
      <c r="E324">
        <f t="shared" si="17"/>
        <v>0</v>
      </c>
      <c r="F324">
        <f t="shared" si="18"/>
        <v>0</v>
      </c>
      <c r="G324" t="str">
        <f t="shared" si="19"/>
        <v>extra</v>
      </c>
      <c r="J324">
        <v>293</v>
      </c>
      <c r="K324">
        <v>0.24217134938229251</v>
      </c>
    </row>
    <row r="325" spans="1:11" x14ac:dyDescent="0.25">
      <c r="A325" s="3">
        <v>41123</v>
      </c>
      <c r="B325">
        <v>2334.88</v>
      </c>
      <c r="C325">
        <f t="shared" si="16"/>
        <v>0.98992220125919483</v>
      </c>
      <c r="D325">
        <v>309</v>
      </c>
      <c r="E325">
        <f t="shared" si="17"/>
        <v>0</v>
      </c>
      <c r="F325">
        <f t="shared" si="18"/>
        <v>0</v>
      </c>
      <c r="G325" t="str">
        <f t="shared" si="19"/>
        <v>extra</v>
      </c>
      <c r="J325">
        <v>294</v>
      </c>
      <c r="K325">
        <v>0.24245182537438528</v>
      </c>
    </row>
    <row r="326" spans="1:11" x14ac:dyDescent="0.25">
      <c r="A326" s="3">
        <v>41122</v>
      </c>
      <c r="B326">
        <v>2358.65</v>
      </c>
      <c r="C326">
        <f t="shared" si="16"/>
        <v>1.0110290965828233</v>
      </c>
      <c r="D326">
        <v>310</v>
      </c>
      <c r="E326">
        <f t="shared" si="17"/>
        <v>0</v>
      </c>
      <c r="F326">
        <f t="shared" si="18"/>
        <v>0</v>
      </c>
      <c r="G326" t="str">
        <f t="shared" si="19"/>
        <v>extra</v>
      </c>
      <c r="J326">
        <v>295</v>
      </c>
      <c r="K326">
        <v>0.24246528113344296</v>
      </c>
    </row>
    <row r="327" spans="1:11" x14ac:dyDescent="0.25">
      <c r="A327" s="3">
        <v>41121</v>
      </c>
      <c r="B327">
        <v>2332.92</v>
      </c>
      <c r="C327">
        <f t="shared" si="16"/>
        <v>0.9987712936522547</v>
      </c>
      <c r="D327">
        <v>311</v>
      </c>
      <c r="E327">
        <f t="shared" si="17"/>
        <v>0</v>
      </c>
      <c r="F327">
        <f t="shared" si="18"/>
        <v>0</v>
      </c>
      <c r="G327" t="str">
        <f t="shared" si="19"/>
        <v>extra</v>
      </c>
      <c r="J327">
        <v>296</v>
      </c>
      <c r="K327">
        <v>0.24259285922862922</v>
      </c>
    </row>
    <row r="328" spans="1:11" x14ac:dyDescent="0.25">
      <c r="A328" s="3">
        <v>41120</v>
      </c>
      <c r="B328">
        <v>2335.79</v>
      </c>
      <c r="C328">
        <f t="shared" si="16"/>
        <v>0.99432976744384038</v>
      </c>
      <c r="D328">
        <v>312</v>
      </c>
      <c r="E328">
        <f t="shared" si="17"/>
        <v>0</v>
      </c>
      <c r="F328">
        <f t="shared" si="18"/>
        <v>0</v>
      </c>
      <c r="G328" t="str">
        <f t="shared" si="19"/>
        <v>extra</v>
      </c>
      <c r="J328">
        <v>297</v>
      </c>
      <c r="K328">
        <v>0.24264401431632043</v>
      </c>
    </row>
    <row r="329" spans="1:11" x14ac:dyDescent="0.25">
      <c r="A329" s="3">
        <v>41117</v>
      </c>
      <c r="B329">
        <v>2349.11</v>
      </c>
      <c r="C329">
        <f t="shared" si="16"/>
        <v>1.0006900987863634</v>
      </c>
      <c r="D329">
        <v>313</v>
      </c>
      <c r="E329">
        <f t="shared" si="17"/>
        <v>0</v>
      </c>
      <c r="F329">
        <f t="shared" si="18"/>
        <v>0</v>
      </c>
      <c r="G329" t="str">
        <f t="shared" si="19"/>
        <v>extra</v>
      </c>
      <c r="J329">
        <v>298</v>
      </c>
      <c r="K329">
        <v>0.24269580679988667</v>
      </c>
    </row>
    <row r="330" spans="1:11" x14ac:dyDescent="0.25">
      <c r="A330" s="3">
        <v>41116</v>
      </c>
      <c r="B330">
        <v>2347.4899999999998</v>
      </c>
      <c r="C330">
        <f t="shared" si="16"/>
        <v>0.99466543506999761</v>
      </c>
      <c r="D330">
        <v>314</v>
      </c>
      <c r="E330">
        <f t="shared" si="17"/>
        <v>0</v>
      </c>
      <c r="F330">
        <f t="shared" si="18"/>
        <v>0</v>
      </c>
      <c r="G330" t="str">
        <f t="shared" si="19"/>
        <v>extra</v>
      </c>
      <c r="J330">
        <v>299</v>
      </c>
      <c r="K330">
        <v>0.24270842324661374</v>
      </c>
    </row>
    <row r="331" spans="1:11" x14ac:dyDescent="0.25">
      <c r="A331" s="3">
        <v>41115</v>
      </c>
      <c r="B331">
        <v>2360.08</v>
      </c>
      <c r="C331">
        <f t="shared" si="16"/>
        <v>0.99330384387139681</v>
      </c>
      <c r="D331">
        <v>315</v>
      </c>
      <c r="E331">
        <f t="shared" si="17"/>
        <v>0</v>
      </c>
      <c r="F331">
        <f t="shared" si="18"/>
        <v>0</v>
      </c>
      <c r="G331" t="str">
        <f t="shared" si="19"/>
        <v>extra</v>
      </c>
      <c r="J331">
        <v>300</v>
      </c>
      <c r="K331">
        <v>0.24276112799432395</v>
      </c>
    </row>
    <row r="332" spans="1:11" x14ac:dyDescent="0.25">
      <c r="A332" s="3">
        <v>41114</v>
      </c>
      <c r="B332">
        <v>2375.9899999999998</v>
      </c>
      <c r="C332">
        <f t="shared" si="16"/>
        <v>1.0044643045873265</v>
      </c>
      <c r="D332">
        <v>316</v>
      </c>
      <c r="E332">
        <f t="shared" si="17"/>
        <v>0</v>
      </c>
      <c r="F332">
        <f t="shared" si="18"/>
        <v>0</v>
      </c>
      <c r="G332" t="str">
        <f t="shared" si="19"/>
        <v>extra</v>
      </c>
      <c r="J332">
        <v>301</v>
      </c>
      <c r="K332">
        <v>0.24300231205949496</v>
      </c>
    </row>
    <row r="333" spans="1:11" x14ac:dyDescent="0.25">
      <c r="A333" s="3">
        <v>41113</v>
      </c>
      <c r="B333">
        <v>2365.4299999999998</v>
      </c>
      <c r="C333">
        <f t="shared" si="16"/>
        <v>0.98622866339234339</v>
      </c>
      <c r="D333">
        <v>317</v>
      </c>
      <c r="E333">
        <f t="shared" si="17"/>
        <v>0</v>
      </c>
      <c r="F333">
        <f t="shared" si="18"/>
        <v>0</v>
      </c>
      <c r="G333" t="str">
        <f t="shared" si="19"/>
        <v>extra</v>
      </c>
      <c r="J333">
        <v>302</v>
      </c>
      <c r="K333">
        <v>0.24300934880492717</v>
      </c>
    </row>
    <row r="334" spans="1:11" x14ac:dyDescent="0.25">
      <c r="A334" s="3">
        <v>41110</v>
      </c>
      <c r="B334">
        <v>2398.46</v>
      </c>
      <c r="C334">
        <f t="shared" si="16"/>
        <v>0.98933309134107705</v>
      </c>
      <c r="D334">
        <v>318</v>
      </c>
      <c r="E334">
        <f t="shared" si="17"/>
        <v>0</v>
      </c>
      <c r="F334">
        <f t="shared" si="18"/>
        <v>0</v>
      </c>
      <c r="G334" t="str">
        <f t="shared" si="19"/>
        <v>extra</v>
      </c>
      <c r="J334">
        <v>303</v>
      </c>
      <c r="K334">
        <v>0.24384147670694922</v>
      </c>
    </row>
    <row r="335" spans="1:11" x14ac:dyDescent="0.25">
      <c r="A335" s="3">
        <v>41109</v>
      </c>
      <c r="B335">
        <v>2424.3200000000002</v>
      </c>
      <c r="C335">
        <f t="shared" si="16"/>
        <v>1.0041377939221234</v>
      </c>
      <c r="D335">
        <v>319</v>
      </c>
      <c r="E335">
        <f t="shared" si="17"/>
        <v>0</v>
      </c>
      <c r="F335">
        <f t="shared" si="18"/>
        <v>0</v>
      </c>
      <c r="G335" t="str">
        <f t="shared" si="19"/>
        <v>extra</v>
      </c>
      <c r="J335">
        <v>304</v>
      </c>
      <c r="K335">
        <v>0.24388818236067286</v>
      </c>
    </row>
    <row r="336" spans="1:11" x14ac:dyDescent="0.25">
      <c r="A336" s="3">
        <v>41108</v>
      </c>
      <c r="B336">
        <v>2414.33</v>
      </c>
      <c r="C336">
        <f t="shared" si="16"/>
        <v>1.0000538480656118</v>
      </c>
      <c r="D336">
        <v>320</v>
      </c>
      <c r="E336">
        <f t="shared" si="17"/>
        <v>0</v>
      </c>
      <c r="F336">
        <f t="shared" si="18"/>
        <v>0</v>
      </c>
      <c r="G336" t="str">
        <f t="shared" si="19"/>
        <v>extra</v>
      </c>
      <c r="J336">
        <v>305</v>
      </c>
      <c r="K336">
        <v>0.24405998002315096</v>
      </c>
    </row>
    <row r="337" spans="1:11" x14ac:dyDescent="0.25">
      <c r="A337" s="3">
        <v>41107</v>
      </c>
      <c r="B337">
        <v>2414.1999999999998</v>
      </c>
      <c r="C337">
        <f t="shared" si="16"/>
        <v>1.0060298450242318</v>
      </c>
      <c r="D337">
        <v>321</v>
      </c>
      <c r="E337">
        <f t="shared" si="17"/>
        <v>0</v>
      </c>
      <c r="F337">
        <f t="shared" si="18"/>
        <v>0</v>
      </c>
      <c r="G337" t="str">
        <f t="shared" si="19"/>
        <v>extra</v>
      </c>
      <c r="J337">
        <v>306</v>
      </c>
      <c r="K337">
        <v>0.24405774436368999</v>
      </c>
    </row>
    <row r="338" spans="1:11" x14ac:dyDescent="0.25">
      <c r="A338" s="3">
        <v>41106</v>
      </c>
      <c r="B338">
        <v>2399.73</v>
      </c>
      <c r="C338">
        <f t="shared" ref="C338:C401" si="20">B338/B339</f>
        <v>0.9792298306965963</v>
      </c>
      <c r="D338">
        <v>322</v>
      </c>
      <c r="E338">
        <f t="shared" ref="E338:E401" si="21">IF(D338&gt;$B$6,0,LN(C338))</f>
        <v>0</v>
      </c>
      <c r="F338">
        <f t="shared" ref="F338:F401" si="22">IF(D338&gt;$B$6,0,(E338-$B$7)^2)</f>
        <v>0</v>
      </c>
      <c r="G338" t="str">
        <f t="shared" ref="G338:G401" si="23">IF(D338&lt;=$B$6,E338,"extra")</f>
        <v>extra</v>
      </c>
      <c r="J338">
        <v>307</v>
      </c>
      <c r="K338">
        <v>0.24405926430002786</v>
      </c>
    </row>
    <row r="339" spans="1:11" x14ac:dyDescent="0.25">
      <c r="A339" s="3">
        <v>41103</v>
      </c>
      <c r="B339">
        <v>2450.63</v>
      </c>
      <c r="C339">
        <f t="shared" si="20"/>
        <v>1.0005920348851454</v>
      </c>
      <c r="D339">
        <v>323</v>
      </c>
      <c r="E339">
        <f t="shared" si="21"/>
        <v>0</v>
      </c>
      <c r="F339">
        <f t="shared" si="22"/>
        <v>0</v>
      </c>
      <c r="G339" t="str">
        <f t="shared" si="23"/>
        <v>extra</v>
      </c>
      <c r="J339">
        <v>308</v>
      </c>
      <c r="K339">
        <v>0.24443082994953177</v>
      </c>
    </row>
    <row r="340" spans="1:11" x14ac:dyDescent="0.25">
      <c r="A340" s="3">
        <v>41102</v>
      </c>
      <c r="B340">
        <v>2449.1799999999998</v>
      </c>
      <c r="C340">
        <f t="shared" si="20"/>
        <v>1.0097337945307701</v>
      </c>
      <c r="D340">
        <v>324</v>
      </c>
      <c r="E340">
        <f t="shared" si="21"/>
        <v>0</v>
      </c>
      <c r="F340">
        <f t="shared" si="22"/>
        <v>0</v>
      </c>
      <c r="G340" t="str">
        <f t="shared" si="23"/>
        <v>extra</v>
      </c>
      <c r="J340">
        <v>309</v>
      </c>
      <c r="K340">
        <v>0.2445611728116871</v>
      </c>
    </row>
    <row r="341" spans="1:11" x14ac:dyDescent="0.25">
      <c r="A341" s="3">
        <v>41101</v>
      </c>
      <c r="B341">
        <v>2425.5700000000002</v>
      </c>
      <c r="C341">
        <f t="shared" si="20"/>
        <v>1.0078364239979059</v>
      </c>
      <c r="D341">
        <v>325</v>
      </c>
      <c r="E341">
        <f t="shared" si="21"/>
        <v>0</v>
      </c>
      <c r="F341">
        <f t="shared" si="22"/>
        <v>0</v>
      </c>
      <c r="G341" t="str">
        <f t="shared" si="23"/>
        <v>extra</v>
      </c>
      <c r="J341">
        <v>310</v>
      </c>
      <c r="K341">
        <v>0.24476986002552473</v>
      </c>
    </row>
    <row r="342" spans="1:11" x14ac:dyDescent="0.25">
      <c r="A342" s="3">
        <v>41100</v>
      </c>
      <c r="B342">
        <v>2406.71</v>
      </c>
      <c r="C342">
        <f t="shared" si="20"/>
        <v>0.99613830896839461</v>
      </c>
      <c r="D342">
        <v>326</v>
      </c>
      <c r="E342">
        <f t="shared" si="21"/>
        <v>0</v>
      </c>
      <c r="F342">
        <f t="shared" si="22"/>
        <v>0</v>
      </c>
      <c r="G342" t="str">
        <f t="shared" si="23"/>
        <v>extra</v>
      </c>
      <c r="J342">
        <v>311</v>
      </c>
      <c r="K342">
        <v>0.24501423237224687</v>
      </c>
    </row>
    <row r="343" spans="1:11" x14ac:dyDescent="0.25">
      <c r="A343" s="3">
        <v>41099</v>
      </c>
      <c r="B343">
        <v>2416.04</v>
      </c>
      <c r="C343">
        <f t="shared" si="20"/>
        <v>0.97712134141655982</v>
      </c>
      <c r="D343">
        <v>327</v>
      </c>
      <c r="E343">
        <f t="shared" si="21"/>
        <v>0</v>
      </c>
      <c r="F343">
        <f t="shared" si="22"/>
        <v>0</v>
      </c>
      <c r="G343" t="str">
        <f t="shared" si="23"/>
        <v>extra</v>
      </c>
      <c r="J343">
        <v>312</v>
      </c>
      <c r="K343">
        <v>0.2450149103150665</v>
      </c>
    </row>
    <row r="344" spans="1:11" x14ac:dyDescent="0.25">
      <c r="A344" s="3">
        <v>41096</v>
      </c>
      <c r="B344">
        <v>2472.61</v>
      </c>
      <c r="C344">
        <f t="shared" si="20"/>
        <v>1.0173800697013213</v>
      </c>
      <c r="D344">
        <v>328</v>
      </c>
      <c r="E344">
        <f t="shared" si="21"/>
        <v>0</v>
      </c>
      <c r="F344">
        <f t="shared" si="22"/>
        <v>0</v>
      </c>
      <c r="G344" t="str">
        <f t="shared" si="23"/>
        <v>extra</v>
      </c>
      <c r="J344">
        <v>313</v>
      </c>
      <c r="K344">
        <v>0.24507905185540416</v>
      </c>
    </row>
    <row r="345" spans="1:11" x14ac:dyDescent="0.25">
      <c r="A345" s="3">
        <v>41095</v>
      </c>
      <c r="B345">
        <v>2430.37</v>
      </c>
      <c r="C345">
        <f t="shared" si="20"/>
        <v>0.98598331791701144</v>
      </c>
      <c r="D345">
        <v>329</v>
      </c>
      <c r="E345">
        <f t="shared" si="21"/>
        <v>0</v>
      </c>
      <c r="F345">
        <f t="shared" si="22"/>
        <v>0</v>
      </c>
      <c r="G345" t="str">
        <f t="shared" si="23"/>
        <v>extra</v>
      </c>
      <c r="J345">
        <v>314</v>
      </c>
      <c r="K345">
        <v>0.24507751003447892</v>
      </c>
    </row>
    <row r="346" spans="1:11" x14ac:dyDescent="0.25">
      <c r="A346" s="3">
        <v>41094</v>
      </c>
      <c r="B346">
        <v>2464.92</v>
      </c>
      <c r="C346">
        <f t="shared" si="20"/>
        <v>0.99846074078874891</v>
      </c>
      <c r="D346">
        <v>330</v>
      </c>
      <c r="E346">
        <f t="shared" si="21"/>
        <v>0</v>
      </c>
      <c r="F346">
        <f t="shared" si="22"/>
        <v>0</v>
      </c>
      <c r="G346" t="str">
        <f t="shared" si="23"/>
        <v>extra</v>
      </c>
      <c r="J346">
        <v>315</v>
      </c>
      <c r="K346">
        <v>0.24513366196592218</v>
      </c>
    </row>
    <row r="347" spans="1:11" x14ac:dyDescent="0.25">
      <c r="A347" s="3">
        <v>41093</v>
      </c>
      <c r="B347">
        <v>2468.7199999999998</v>
      </c>
      <c r="C347">
        <f t="shared" si="20"/>
        <v>1.0014116272654996</v>
      </c>
      <c r="D347">
        <v>331</v>
      </c>
      <c r="E347">
        <f t="shared" si="21"/>
        <v>0</v>
      </c>
      <c r="F347">
        <f t="shared" si="22"/>
        <v>0</v>
      </c>
      <c r="G347" t="str">
        <f t="shared" si="23"/>
        <v>extra</v>
      </c>
      <c r="J347">
        <v>316</v>
      </c>
      <c r="K347">
        <v>0.24522318575201271</v>
      </c>
    </row>
    <row r="348" spans="1:11" x14ac:dyDescent="0.25">
      <c r="A348" s="3">
        <v>41092</v>
      </c>
      <c r="B348">
        <v>2465.2399999999998</v>
      </c>
      <c r="C348">
        <f t="shared" si="20"/>
        <v>1.00147464464314</v>
      </c>
      <c r="D348">
        <v>332</v>
      </c>
      <c r="E348">
        <f t="shared" si="21"/>
        <v>0</v>
      </c>
      <c r="F348">
        <f t="shared" si="22"/>
        <v>0</v>
      </c>
      <c r="G348" t="str">
        <f t="shared" si="23"/>
        <v>extra</v>
      </c>
      <c r="J348">
        <v>317</v>
      </c>
      <c r="K348">
        <v>0.24526192360843713</v>
      </c>
    </row>
    <row r="349" spans="1:11" x14ac:dyDescent="0.25">
      <c r="A349" s="3">
        <v>41089</v>
      </c>
      <c r="B349">
        <v>2461.61</v>
      </c>
      <c r="C349">
        <f t="shared" si="20"/>
        <v>1.0147914236126858</v>
      </c>
      <c r="D349">
        <v>333</v>
      </c>
      <c r="E349">
        <f t="shared" si="21"/>
        <v>0</v>
      </c>
      <c r="F349">
        <f t="shared" si="22"/>
        <v>0</v>
      </c>
      <c r="G349" t="str">
        <f t="shared" si="23"/>
        <v>extra</v>
      </c>
      <c r="J349">
        <v>318</v>
      </c>
      <c r="K349">
        <v>0.24565130397917656</v>
      </c>
    </row>
    <row r="350" spans="1:11" x14ac:dyDescent="0.25">
      <c r="A350" s="3">
        <v>41088</v>
      </c>
      <c r="B350">
        <v>2425.73</v>
      </c>
      <c r="C350">
        <f t="shared" si="20"/>
        <v>0.99123075854347231</v>
      </c>
      <c r="D350">
        <v>334</v>
      </c>
      <c r="E350">
        <f t="shared" si="21"/>
        <v>0</v>
      </c>
      <c r="F350">
        <f t="shared" si="22"/>
        <v>0</v>
      </c>
      <c r="G350" t="str">
        <f t="shared" si="23"/>
        <v>extra</v>
      </c>
      <c r="J350">
        <v>319</v>
      </c>
      <c r="K350">
        <v>0.24588081649073251</v>
      </c>
    </row>
    <row r="351" spans="1:11" x14ac:dyDescent="0.25">
      <c r="A351" s="3">
        <v>41087</v>
      </c>
      <c r="B351">
        <v>2447.19</v>
      </c>
      <c r="C351">
        <f t="shared" si="20"/>
        <v>0.99685122122105807</v>
      </c>
      <c r="D351">
        <v>335</v>
      </c>
      <c r="E351">
        <f t="shared" si="21"/>
        <v>0</v>
      </c>
      <c r="F351">
        <f t="shared" si="22"/>
        <v>0</v>
      </c>
      <c r="G351" t="str">
        <f t="shared" si="23"/>
        <v>extra</v>
      </c>
      <c r="J351">
        <v>320</v>
      </c>
      <c r="K351">
        <v>0.24591482395483563</v>
      </c>
    </row>
    <row r="352" spans="1:11" x14ac:dyDescent="0.25">
      <c r="A352" s="3">
        <v>41086</v>
      </c>
      <c r="B352">
        <v>2454.92</v>
      </c>
      <c r="C352">
        <f t="shared" si="20"/>
        <v>0.99934867210525458</v>
      </c>
      <c r="D352">
        <v>336</v>
      </c>
      <c r="E352">
        <f t="shared" si="21"/>
        <v>0</v>
      </c>
      <c r="F352">
        <f t="shared" si="22"/>
        <v>0</v>
      </c>
      <c r="G352" t="str">
        <f t="shared" si="23"/>
        <v>extra</v>
      </c>
      <c r="J352">
        <v>321</v>
      </c>
      <c r="K352">
        <v>0.24591245348238944</v>
      </c>
    </row>
    <row r="353" spans="1:11" x14ac:dyDescent="0.25">
      <c r="A353" s="3">
        <v>41085</v>
      </c>
      <c r="B353">
        <v>2456.52</v>
      </c>
      <c r="C353">
        <f t="shared" si="20"/>
        <v>0.97784005190690193</v>
      </c>
      <c r="D353">
        <v>337</v>
      </c>
      <c r="E353">
        <f t="shared" si="21"/>
        <v>0</v>
      </c>
      <c r="F353">
        <f t="shared" si="22"/>
        <v>0</v>
      </c>
      <c r="G353" t="str">
        <f t="shared" si="23"/>
        <v>extra</v>
      </c>
      <c r="J353">
        <v>322</v>
      </c>
      <c r="K353">
        <v>0.24598581673353118</v>
      </c>
    </row>
    <row r="354" spans="1:11" x14ac:dyDescent="0.25">
      <c r="A354" s="3">
        <v>41081</v>
      </c>
      <c r="B354">
        <v>2512.19</v>
      </c>
      <c r="C354">
        <f t="shared" si="20"/>
        <v>0.98416522696377429</v>
      </c>
      <c r="D354">
        <v>338</v>
      </c>
      <c r="E354">
        <f t="shared" si="21"/>
        <v>0</v>
      </c>
      <c r="F354">
        <f t="shared" si="22"/>
        <v>0</v>
      </c>
      <c r="G354" t="str">
        <f t="shared" si="23"/>
        <v>extra</v>
      </c>
      <c r="J354">
        <v>323</v>
      </c>
      <c r="K354">
        <v>0.24687456591508142</v>
      </c>
    </row>
    <row r="355" spans="1:11" x14ac:dyDescent="0.25">
      <c r="A355" s="3">
        <v>41080</v>
      </c>
      <c r="B355">
        <v>2552.61</v>
      </c>
      <c r="C355">
        <f t="shared" si="20"/>
        <v>0.9976510775339833</v>
      </c>
      <c r="D355">
        <v>339</v>
      </c>
      <c r="E355">
        <f t="shared" si="21"/>
        <v>0</v>
      </c>
      <c r="F355">
        <f t="shared" si="22"/>
        <v>0</v>
      </c>
      <c r="G355" t="str">
        <f t="shared" si="23"/>
        <v>extra</v>
      </c>
      <c r="J355">
        <v>324</v>
      </c>
      <c r="K355">
        <v>0.24687324868648672</v>
      </c>
    </row>
    <row r="356" spans="1:11" x14ac:dyDescent="0.25">
      <c r="A356" s="3">
        <v>41079</v>
      </c>
      <c r="B356">
        <v>2558.62</v>
      </c>
      <c r="C356">
        <f t="shared" si="20"/>
        <v>0.99124829053041008</v>
      </c>
      <c r="D356">
        <v>340</v>
      </c>
      <c r="E356">
        <f t="shared" si="21"/>
        <v>0</v>
      </c>
      <c r="F356">
        <f t="shared" si="22"/>
        <v>0</v>
      </c>
      <c r="G356" t="str">
        <f t="shared" si="23"/>
        <v>extra</v>
      </c>
      <c r="J356">
        <v>325</v>
      </c>
      <c r="K356">
        <v>0.24706647493283479</v>
      </c>
    </row>
    <row r="357" spans="1:11" x14ac:dyDescent="0.25">
      <c r="A357" s="3">
        <v>41078</v>
      </c>
      <c r="B357">
        <v>2581.21</v>
      </c>
      <c r="C357">
        <f t="shared" si="20"/>
        <v>1.0051245108155993</v>
      </c>
      <c r="D357">
        <v>341</v>
      </c>
      <c r="E357">
        <f t="shared" si="21"/>
        <v>0</v>
      </c>
      <c r="F357">
        <f t="shared" si="22"/>
        <v>0</v>
      </c>
      <c r="G357" t="str">
        <f t="shared" si="23"/>
        <v>extra</v>
      </c>
      <c r="J357">
        <v>326</v>
      </c>
      <c r="K357">
        <v>0.24719087166354875</v>
      </c>
    </row>
    <row r="358" spans="1:11" x14ac:dyDescent="0.25">
      <c r="A358" s="3">
        <v>41075</v>
      </c>
      <c r="B358">
        <v>2568.0500000000002</v>
      </c>
      <c r="C358">
        <f t="shared" si="20"/>
        <v>1.0029799798470564</v>
      </c>
      <c r="D358">
        <v>342</v>
      </c>
      <c r="E358">
        <f t="shared" si="21"/>
        <v>0</v>
      </c>
      <c r="F358">
        <f t="shared" si="22"/>
        <v>0</v>
      </c>
      <c r="G358" t="str">
        <f t="shared" si="23"/>
        <v>extra</v>
      </c>
      <c r="J358">
        <v>327</v>
      </c>
      <c r="K358">
        <v>0.2472177848400702</v>
      </c>
    </row>
    <row r="359" spans="1:11" x14ac:dyDescent="0.25">
      <c r="A359" s="3">
        <v>41074</v>
      </c>
      <c r="B359">
        <v>2560.42</v>
      </c>
      <c r="C359">
        <f t="shared" si="20"/>
        <v>0.99216473432946872</v>
      </c>
      <c r="D359">
        <v>343</v>
      </c>
      <c r="E359">
        <f t="shared" si="21"/>
        <v>0</v>
      </c>
      <c r="F359">
        <f t="shared" si="22"/>
        <v>0</v>
      </c>
      <c r="G359" t="str">
        <f t="shared" si="23"/>
        <v>extra</v>
      </c>
      <c r="J359">
        <v>328</v>
      </c>
      <c r="K359">
        <v>0.24829195249263583</v>
      </c>
    </row>
    <row r="360" spans="1:11" x14ac:dyDescent="0.25">
      <c r="A360" s="3">
        <v>41073</v>
      </c>
      <c r="B360">
        <v>2580.64</v>
      </c>
      <c r="C360">
        <f t="shared" si="20"/>
        <v>1.0159280051020008</v>
      </c>
      <c r="D360">
        <v>344</v>
      </c>
      <c r="E360">
        <f t="shared" si="21"/>
        <v>0</v>
      </c>
      <c r="F360">
        <f t="shared" si="22"/>
        <v>0</v>
      </c>
      <c r="G360" t="str">
        <f t="shared" si="23"/>
        <v>extra</v>
      </c>
      <c r="J360">
        <v>329</v>
      </c>
      <c r="K360">
        <v>0.248899409107006</v>
      </c>
    </row>
    <row r="361" spans="1:11" x14ac:dyDescent="0.25">
      <c r="A361" s="3">
        <v>41072</v>
      </c>
      <c r="B361">
        <v>2540.1799999999998</v>
      </c>
      <c r="C361">
        <f t="shared" si="20"/>
        <v>0.99293269644211291</v>
      </c>
      <c r="D361">
        <v>345</v>
      </c>
      <c r="E361">
        <f t="shared" si="21"/>
        <v>0</v>
      </c>
      <c r="F361">
        <f t="shared" si="22"/>
        <v>0</v>
      </c>
      <c r="G361" t="str">
        <f t="shared" si="23"/>
        <v>extra</v>
      </c>
      <c r="J361">
        <v>330</v>
      </c>
      <c r="K361">
        <v>0.24929252751448855</v>
      </c>
    </row>
    <row r="362" spans="1:11" x14ac:dyDescent="0.25">
      <c r="A362" s="3">
        <v>41071</v>
      </c>
      <c r="B362">
        <v>2558.2600000000002</v>
      </c>
      <c r="C362">
        <f t="shared" si="20"/>
        <v>1.0134411903356535</v>
      </c>
      <c r="D362">
        <v>346</v>
      </c>
      <c r="E362">
        <f t="shared" si="21"/>
        <v>0</v>
      </c>
      <c r="F362">
        <f t="shared" si="22"/>
        <v>0</v>
      </c>
      <c r="G362" t="str">
        <f t="shared" si="23"/>
        <v>extra</v>
      </c>
      <c r="J362">
        <v>331</v>
      </c>
      <c r="K362">
        <v>0.24929415342086642</v>
      </c>
    </row>
    <row r="363" spans="1:11" x14ac:dyDescent="0.25">
      <c r="A363" s="3">
        <v>41068</v>
      </c>
      <c r="B363">
        <v>2524.33</v>
      </c>
      <c r="C363">
        <f t="shared" si="20"/>
        <v>0.99297846729971917</v>
      </c>
      <c r="D363">
        <v>347</v>
      </c>
      <c r="E363">
        <f t="shared" si="21"/>
        <v>0</v>
      </c>
      <c r="F363">
        <f t="shared" si="22"/>
        <v>0</v>
      </c>
      <c r="G363" t="str">
        <f t="shared" si="23"/>
        <v>extra</v>
      </c>
      <c r="J363">
        <v>332</v>
      </c>
      <c r="K363">
        <v>0.24929676080878718</v>
      </c>
    </row>
    <row r="364" spans="1:11" x14ac:dyDescent="0.25">
      <c r="A364" s="3">
        <v>41067</v>
      </c>
      <c r="B364">
        <v>2542.1799999999998</v>
      </c>
      <c r="C364">
        <f t="shared" si="20"/>
        <v>0.9940486431532024</v>
      </c>
      <c r="D364">
        <v>348</v>
      </c>
      <c r="E364">
        <f t="shared" si="21"/>
        <v>0</v>
      </c>
      <c r="F364">
        <f t="shared" si="22"/>
        <v>0</v>
      </c>
      <c r="G364" t="str">
        <f t="shared" si="23"/>
        <v>extra</v>
      </c>
      <c r="J364">
        <v>333</v>
      </c>
      <c r="K364">
        <v>0.24929975380722058</v>
      </c>
    </row>
    <row r="365" spans="1:11" x14ac:dyDescent="0.25">
      <c r="A365" s="3">
        <v>41066</v>
      </c>
      <c r="B365">
        <v>2557.4</v>
      </c>
      <c r="C365">
        <f t="shared" si="20"/>
        <v>0.99943724500164133</v>
      </c>
      <c r="D365">
        <v>349</v>
      </c>
      <c r="E365">
        <f t="shared" si="21"/>
        <v>0</v>
      </c>
      <c r="F365">
        <f t="shared" si="22"/>
        <v>0</v>
      </c>
      <c r="G365" t="str">
        <f t="shared" si="23"/>
        <v>extra</v>
      </c>
      <c r="J365">
        <v>334</v>
      </c>
      <c r="K365">
        <v>0.24973904784238404</v>
      </c>
    </row>
    <row r="366" spans="1:11" x14ac:dyDescent="0.25">
      <c r="A366" s="3">
        <v>41065</v>
      </c>
      <c r="B366">
        <v>2558.84</v>
      </c>
      <c r="C366">
        <f t="shared" si="20"/>
        <v>0.99992575311739207</v>
      </c>
      <c r="D366">
        <v>350</v>
      </c>
      <c r="E366">
        <f t="shared" si="21"/>
        <v>0</v>
      </c>
      <c r="F366">
        <f t="shared" si="22"/>
        <v>0</v>
      </c>
      <c r="G366" t="str">
        <f t="shared" si="23"/>
        <v>extra</v>
      </c>
      <c r="J366">
        <v>335</v>
      </c>
      <c r="K366">
        <v>0.24988922484717527</v>
      </c>
    </row>
    <row r="367" spans="1:11" x14ac:dyDescent="0.25">
      <c r="A367" s="3">
        <v>41064</v>
      </c>
      <c r="B367">
        <v>2559.0300000000002</v>
      </c>
      <c r="C367">
        <f t="shared" si="20"/>
        <v>0.97190657045195605</v>
      </c>
      <c r="D367">
        <v>351</v>
      </c>
      <c r="E367">
        <f t="shared" si="21"/>
        <v>0</v>
      </c>
      <c r="F367">
        <f t="shared" si="22"/>
        <v>0</v>
      </c>
      <c r="G367" t="str">
        <f t="shared" si="23"/>
        <v>extra</v>
      </c>
      <c r="J367">
        <v>336</v>
      </c>
      <c r="K367">
        <v>0.24990545643752871</v>
      </c>
    </row>
    <row r="368" spans="1:11" x14ac:dyDescent="0.25">
      <c r="A368" s="3">
        <v>41061</v>
      </c>
      <c r="B368">
        <v>2633</v>
      </c>
      <c r="C368">
        <f t="shared" si="20"/>
        <v>1.0003647360982355</v>
      </c>
      <c r="D368">
        <v>352</v>
      </c>
      <c r="E368">
        <f t="shared" si="21"/>
        <v>0</v>
      </c>
      <c r="F368">
        <f t="shared" si="22"/>
        <v>0</v>
      </c>
      <c r="G368" t="str">
        <f t="shared" si="23"/>
        <v>extra</v>
      </c>
      <c r="J368">
        <v>337</v>
      </c>
      <c r="K368">
        <v>0.2499037832040148</v>
      </c>
    </row>
    <row r="369" spans="1:11" x14ac:dyDescent="0.25">
      <c r="A369" s="3">
        <v>41060</v>
      </c>
      <c r="B369">
        <v>2632.04</v>
      </c>
      <c r="C369">
        <f t="shared" si="20"/>
        <v>0.99613209903643085</v>
      </c>
      <c r="D369">
        <v>353</v>
      </c>
      <c r="E369">
        <f t="shared" si="21"/>
        <v>0</v>
      </c>
      <c r="F369">
        <f t="shared" si="22"/>
        <v>0</v>
      </c>
      <c r="G369" t="str">
        <f t="shared" si="23"/>
        <v>extra</v>
      </c>
      <c r="J369">
        <v>338</v>
      </c>
      <c r="K369">
        <v>0.25089556954010767</v>
      </c>
    </row>
    <row r="370" spans="1:11" x14ac:dyDescent="0.25">
      <c r="A370" s="3">
        <v>41059</v>
      </c>
      <c r="B370">
        <v>2642.26</v>
      </c>
      <c r="C370">
        <f t="shared" si="20"/>
        <v>0.99675952996208772</v>
      </c>
      <c r="D370">
        <v>354</v>
      </c>
      <c r="E370">
        <f t="shared" si="21"/>
        <v>0</v>
      </c>
      <c r="F370">
        <f t="shared" si="22"/>
        <v>0</v>
      </c>
      <c r="G370" t="str">
        <f t="shared" si="23"/>
        <v>extra</v>
      </c>
      <c r="J370">
        <v>339</v>
      </c>
      <c r="K370">
        <v>0.25138960193705473</v>
      </c>
    </row>
    <row r="371" spans="1:11" x14ac:dyDescent="0.25">
      <c r="A371" s="3">
        <v>41058</v>
      </c>
      <c r="B371">
        <v>2650.85</v>
      </c>
      <c r="C371">
        <f t="shared" si="20"/>
        <v>1.0138295553201335</v>
      </c>
      <c r="D371">
        <v>355</v>
      </c>
      <c r="E371">
        <f t="shared" si="21"/>
        <v>0</v>
      </c>
      <c r="F371">
        <f t="shared" si="22"/>
        <v>0</v>
      </c>
      <c r="G371" t="str">
        <f t="shared" si="23"/>
        <v>extra</v>
      </c>
      <c r="J371">
        <v>340</v>
      </c>
      <c r="K371">
        <v>0.25139627153482885</v>
      </c>
    </row>
    <row r="372" spans="1:11" x14ac:dyDescent="0.25">
      <c r="A372" s="3">
        <v>41057</v>
      </c>
      <c r="B372">
        <v>2614.69</v>
      </c>
      <c r="C372">
        <f t="shared" si="20"/>
        <v>1.0161633826901404</v>
      </c>
      <c r="D372">
        <v>356</v>
      </c>
      <c r="E372">
        <f t="shared" si="21"/>
        <v>0</v>
      </c>
      <c r="F372">
        <f t="shared" si="22"/>
        <v>0</v>
      </c>
      <c r="G372" t="str">
        <f t="shared" si="23"/>
        <v>extra</v>
      </c>
      <c r="J372">
        <v>341</v>
      </c>
      <c r="K372">
        <v>0.25153953792902034</v>
      </c>
    </row>
    <row r="373" spans="1:11" x14ac:dyDescent="0.25">
      <c r="A373" s="3">
        <v>41054</v>
      </c>
      <c r="B373">
        <v>2573.1</v>
      </c>
      <c r="C373">
        <f t="shared" si="20"/>
        <v>0.99146135647295441</v>
      </c>
      <c r="D373">
        <v>357</v>
      </c>
      <c r="E373">
        <f t="shared" si="21"/>
        <v>0</v>
      </c>
      <c r="F373">
        <f t="shared" si="22"/>
        <v>0</v>
      </c>
      <c r="G373" t="str">
        <f t="shared" si="23"/>
        <v>extra</v>
      </c>
      <c r="J373">
        <v>342</v>
      </c>
      <c r="K373">
        <v>0.25159520537297869</v>
      </c>
    </row>
    <row r="374" spans="1:11" x14ac:dyDescent="0.25">
      <c r="A374" s="3">
        <v>41053</v>
      </c>
      <c r="B374">
        <v>2595.2600000000002</v>
      </c>
      <c r="C374">
        <f t="shared" si="20"/>
        <v>0.99174204297500457</v>
      </c>
      <c r="D374">
        <v>358</v>
      </c>
      <c r="E374">
        <f t="shared" si="21"/>
        <v>0</v>
      </c>
      <c r="F374">
        <f t="shared" si="22"/>
        <v>0</v>
      </c>
      <c r="G374" t="str">
        <f t="shared" si="23"/>
        <v>extra</v>
      </c>
      <c r="J374">
        <v>343</v>
      </c>
      <c r="K374">
        <v>0.25161390391006133</v>
      </c>
    </row>
    <row r="375" spans="1:11" x14ac:dyDescent="0.25">
      <c r="A375" s="3">
        <v>41052</v>
      </c>
      <c r="B375">
        <v>2616.87</v>
      </c>
      <c r="C375">
        <f t="shared" si="20"/>
        <v>0.9959429578349247</v>
      </c>
      <c r="D375">
        <v>359</v>
      </c>
      <c r="E375">
        <f t="shared" si="21"/>
        <v>0</v>
      </c>
      <c r="F375">
        <f t="shared" si="22"/>
        <v>0</v>
      </c>
      <c r="G375" t="str">
        <f t="shared" si="23"/>
        <v>extra</v>
      </c>
      <c r="J375">
        <v>344</v>
      </c>
      <c r="K375">
        <v>0.25172734083653486</v>
      </c>
    </row>
    <row r="376" spans="1:11" x14ac:dyDescent="0.25">
      <c r="A376" s="3">
        <v>41051</v>
      </c>
      <c r="B376">
        <v>2627.53</v>
      </c>
      <c r="C376">
        <f t="shared" si="20"/>
        <v>1.0155765046014464</v>
      </c>
      <c r="D376">
        <v>360</v>
      </c>
      <c r="E376">
        <f t="shared" si="21"/>
        <v>0</v>
      </c>
      <c r="F376">
        <f t="shared" si="22"/>
        <v>0</v>
      </c>
      <c r="G376" t="str">
        <f t="shared" si="23"/>
        <v>extra</v>
      </c>
      <c r="J376">
        <v>345</v>
      </c>
      <c r="K376">
        <v>0.25223941348417783</v>
      </c>
    </row>
    <row r="377" spans="1:11" x14ac:dyDescent="0.25">
      <c r="A377" s="3">
        <v>41050</v>
      </c>
      <c r="B377">
        <v>2587.23</v>
      </c>
      <c r="C377">
        <f t="shared" si="20"/>
        <v>1.0051476701450672</v>
      </c>
      <c r="D377">
        <v>361</v>
      </c>
      <c r="E377">
        <f t="shared" si="21"/>
        <v>0</v>
      </c>
      <c r="F377">
        <f t="shared" si="22"/>
        <v>0</v>
      </c>
      <c r="G377" t="str">
        <f t="shared" si="23"/>
        <v>extra</v>
      </c>
      <c r="J377">
        <v>346</v>
      </c>
      <c r="K377">
        <v>0.25233101862276847</v>
      </c>
    </row>
    <row r="378" spans="1:11" x14ac:dyDescent="0.25">
      <c r="A378" s="3">
        <v>41047</v>
      </c>
      <c r="B378">
        <v>2573.98</v>
      </c>
      <c r="C378">
        <f t="shared" si="20"/>
        <v>0.98471273250342395</v>
      </c>
      <c r="D378">
        <v>362</v>
      </c>
      <c r="E378">
        <f t="shared" si="21"/>
        <v>0</v>
      </c>
      <c r="F378">
        <f t="shared" si="22"/>
        <v>0</v>
      </c>
      <c r="G378" t="str">
        <f t="shared" si="23"/>
        <v>extra</v>
      </c>
      <c r="J378">
        <v>347</v>
      </c>
      <c r="K378">
        <v>0.25269603410992197</v>
      </c>
    </row>
    <row r="379" spans="1:11" x14ac:dyDescent="0.25">
      <c r="A379" s="3">
        <v>41046</v>
      </c>
      <c r="B379">
        <v>2613.94</v>
      </c>
      <c r="C379">
        <f t="shared" si="20"/>
        <v>1.0152603266463402</v>
      </c>
      <c r="D379">
        <v>363</v>
      </c>
      <c r="E379">
        <f t="shared" si="21"/>
        <v>0</v>
      </c>
      <c r="F379">
        <f t="shared" si="22"/>
        <v>0</v>
      </c>
      <c r="G379" t="str">
        <f t="shared" si="23"/>
        <v>extra</v>
      </c>
      <c r="J379">
        <v>348</v>
      </c>
      <c r="K379">
        <v>0.25278676296480285</v>
      </c>
    </row>
    <row r="380" spans="1:11" x14ac:dyDescent="0.25">
      <c r="A380" s="3">
        <v>41045</v>
      </c>
      <c r="B380">
        <v>2574.65</v>
      </c>
      <c r="C380">
        <f t="shared" si="20"/>
        <v>0.98367827246434403</v>
      </c>
      <c r="D380">
        <v>364</v>
      </c>
      <c r="E380">
        <f t="shared" si="21"/>
        <v>0</v>
      </c>
      <c r="F380">
        <f t="shared" si="22"/>
        <v>0</v>
      </c>
      <c r="G380" t="str">
        <f t="shared" si="23"/>
        <v>extra</v>
      </c>
      <c r="J380">
        <v>349</v>
      </c>
      <c r="K380">
        <v>0.25285009740911807</v>
      </c>
    </row>
    <row r="381" spans="1:11" x14ac:dyDescent="0.25">
      <c r="A381" s="3">
        <v>41044</v>
      </c>
      <c r="B381">
        <v>2617.37</v>
      </c>
      <c r="C381">
        <f t="shared" si="20"/>
        <v>1.0007034903059799</v>
      </c>
      <c r="D381">
        <v>365</v>
      </c>
      <c r="E381">
        <f t="shared" si="21"/>
        <v>0</v>
      </c>
      <c r="F381">
        <f t="shared" si="22"/>
        <v>0</v>
      </c>
      <c r="G381" t="str">
        <f t="shared" si="23"/>
        <v>extra</v>
      </c>
      <c r="J381">
        <v>350</v>
      </c>
      <c r="K381">
        <v>0.25284821956166859</v>
      </c>
    </row>
    <row r="382" spans="1:11" x14ac:dyDescent="0.25">
      <c r="A382" s="3">
        <v>41043</v>
      </c>
      <c r="B382">
        <v>2615.5300000000002</v>
      </c>
      <c r="C382">
        <f t="shared" si="20"/>
        <v>0.99188826358023763</v>
      </c>
      <c r="D382">
        <v>366</v>
      </c>
      <c r="E382">
        <f t="shared" si="21"/>
        <v>0</v>
      </c>
      <c r="F382">
        <f t="shared" si="22"/>
        <v>0</v>
      </c>
      <c r="G382" t="str">
        <f t="shared" si="23"/>
        <v>extra</v>
      </c>
      <c r="J382">
        <v>351</v>
      </c>
      <c r="K382">
        <v>0.25284620608552333</v>
      </c>
    </row>
    <row r="383" spans="1:11" x14ac:dyDescent="0.25">
      <c r="A383" s="3">
        <v>41040</v>
      </c>
      <c r="B383">
        <v>2636.92</v>
      </c>
      <c r="C383">
        <f t="shared" si="20"/>
        <v>0.99236417144297973</v>
      </c>
      <c r="D383">
        <v>367</v>
      </c>
      <c r="E383">
        <f t="shared" si="21"/>
        <v>0</v>
      </c>
      <c r="F383">
        <f t="shared" si="22"/>
        <v>0</v>
      </c>
      <c r="G383" t="str">
        <f t="shared" si="23"/>
        <v>extra</v>
      </c>
      <c r="J383">
        <v>352</v>
      </c>
      <c r="K383">
        <v>0.25442222887547777</v>
      </c>
    </row>
    <row r="384" spans="1:11" x14ac:dyDescent="0.25">
      <c r="A384" s="3">
        <v>41039</v>
      </c>
      <c r="B384">
        <v>2657.21</v>
      </c>
      <c r="C384">
        <f t="shared" si="20"/>
        <v>0.9998871123721077</v>
      </c>
      <c r="D384">
        <v>368</v>
      </c>
      <c r="E384">
        <f t="shared" si="21"/>
        <v>0</v>
      </c>
      <c r="F384">
        <f t="shared" si="22"/>
        <v>0</v>
      </c>
      <c r="G384" t="str">
        <f t="shared" si="23"/>
        <v>extra</v>
      </c>
      <c r="J384">
        <v>353</v>
      </c>
      <c r="K384">
        <v>0.25442110181389205</v>
      </c>
    </row>
    <row r="385" spans="1:11" x14ac:dyDescent="0.25">
      <c r="A385" s="3">
        <v>41038</v>
      </c>
      <c r="B385">
        <v>2657.51</v>
      </c>
      <c r="C385">
        <f t="shared" si="20"/>
        <v>0.98094953342782909</v>
      </c>
      <c r="D385">
        <v>369</v>
      </c>
      <c r="E385">
        <f t="shared" si="21"/>
        <v>0</v>
      </c>
      <c r="F385">
        <f t="shared" si="22"/>
        <v>0</v>
      </c>
      <c r="G385" t="str">
        <f t="shared" si="23"/>
        <v>extra</v>
      </c>
      <c r="J385">
        <v>354</v>
      </c>
      <c r="K385">
        <v>0.25444395037546569</v>
      </c>
    </row>
    <row r="386" spans="1:11" x14ac:dyDescent="0.25">
      <c r="A386" s="3">
        <v>41037</v>
      </c>
      <c r="B386">
        <v>2709.12</v>
      </c>
      <c r="C386">
        <f t="shared" si="20"/>
        <v>0.9968135757861194</v>
      </c>
      <c r="D386">
        <v>370</v>
      </c>
      <c r="E386">
        <f t="shared" si="21"/>
        <v>0</v>
      </c>
      <c r="F386">
        <f t="shared" si="22"/>
        <v>0</v>
      </c>
      <c r="G386" t="str">
        <f t="shared" si="23"/>
        <v>extra</v>
      </c>
      <c r="J386">
        <v>355</v>
      </c>
      <c r="K386">
        <v>0.25445865336494849</v>
      </c>
    </row>
    <row r="387" spans="1:11" x14ac:dyDescent="0.25">
      <c r="A387" s="3">
        <v>41036</v>
      </c>
      <c r="B387">
        <v>2717.78</v>
      </c>
      <c r="C387">
        <f t="shared" si="20"/>
        <v>1.0006995890834647</v>
      </c>
      <c r="D387">
        <v>371</v>
      </c>
      <c r="E387">
        <f t="shared" si="21"/>
        <v>0</v>
      </c>
      <c r="F387">
        <f t="shared" si="22"/>
        <v>0</v>
      </c>
      <c r="G387" t="str">
        <f t="shared" si="23"/>
        <v>extra</v>
      </c>
      <c r="J387">
        <v>356</v>
      </c>
      <c r="K387">
        <v>0.25484665473293378</v>
      </c>
    </row>
    <row r="388" spans="1:11" x14ac:dyDescent="0.25">
      <c r="A388" s="3">
        <v>41033</v>
      </c>
      <c r="B388">
        <v>2715.88</v>
      </c>
      <c r="C388">
        <f t="shared" si="20"/>
        <v>1.0090506479610035</v>
      </c>
      <c r="D388">
        <v>372</v>
      </c>
      <c r="E388">
        <f t="shared" si="21"/>
        <v>0</v>
      </c>
      <c r="F388">
        <f t="shared" si="22"/>
        <v>0</v>
      </c>
      <c r="G388" t="str">
        <f t="shared" si="23"/>
        <v>extra</v>
      </c>
      <c r="J388">
        <v>357</v>
      </c>
      <c r="K388">
        <v>0.25536901923299987</v>
      </c>
    </row>
    <row r="389" spans="1:11" x14ac:dyDescent="0.25">
      <c r="A389" s="3">
        <v>41032</v>
      </c>
      <c r="B389">
        <v>2691.52</v>
      </c>
      <c r="C389">
        <f t="shared" si="20"/>
        <v>1.0029923718739404</v>
      </c>
      <c r="D389">
        <v>373</v>
      </c>
      <c r="E389">
        <f t="shared" si="21"/>
        <v>0</v>
      </c>
      <c r="F389">
        <f t="shared" si="22"/>
        <v>0</v>
      </c>
      <c r="G389" t="str">
        <f t="shared" si="23"/>
        <v>extra</v>
      </c>
      <c r="J389">
        <v>358</v>
      </c>
      <c r="K389">
        <v>0.25550293473119134</v>
      </c>
    </row>
    <row r="390" spans="1:11" x14ac:dyDescent="0.25">
      <c r="A390" s="3">
        <v>41031</v>
      </c>
      <c r="B390">
        <v>2683.49</v>
      </c>
      <c r="C390">
        <f t="shared" si="20"/>
        <v>1.0218303530630273</v>
      </c>
      <c r="D390">
        <v>374</v>
      </c>
      <c r="E390">
        <f t="shared" si="21"/>
        <v>0</v>
      </c>
      <c r="F390">
        <f t="shared" si="22"/>
        <v>0</v>
      </c>
      <c r="G390" t="str">
        <f t="shared" si="23"/>
        <v>extra</v>
      </c>
      <c r="J390">
        <v>359</v>
      </c>
      <c r="K390">
        <v>0.25562697122713973</v>
      </c>
    </row>
    <row r="391" spans="1:11" x14ac:dyDescent="0.25">
      <c r="A391" s="3">
        <v>41026</v>
      </c>
      <c r="B391">
        <v>2626.16</v>
      </c>
      <c r="C391">
        <f t="shared" si="20"/>
        <v>0.99797453153916604</v>
      </c>
      <c r="D391">
        <v>375</v>
      </c>
      <c r="E391">
        <f t="shared" si="21"/>
        <v>0</v>
      </c>
      <c r="F391">
        <f t="shared" si="22"/>
        <v>0</v>
      </c>
      <c r="G391" t="str">
        <f t="shared" si="23"/>
        <v>extra</v>
      </c>
      <c r="J391">
        <v>360</v>
      </c>
      <c r="K391">
        <v>0.2556527949791238</v>
      </c>
    </row>
    <row r="392" spans="1:11" x14ac:dyDescent="0.25">
      <c r="A392" s="3">
        <v>41025</v>
      </c>
      <c r="B392">
        <v>2631.49</v>
      </c>
      <c r="C392">
        <f t="shared" si="20"/>
        <v>1.0020944481890639</v>
      </c>
      <c r="D392">
        <v>376</v>
      </c>
      <c r="E392">
        <f t="shared" si="21"/>
        <v>0</v>
      </c>
      <c r="F392">
        <f t="shared" si="22"/>
        <v>0</v>
      </c>
      <c r="G392" t="str">
        <f t="shared" si="23"/>
        <v>extra</v>
      </c>
      <c r="J392">
        <v>361</v>
      </c>
      <c r="K392">
        <v>0.25613788016879169</v>
      </c>
    </row>
    <row r="393" spans="1:11" x14ac:dyDescent="0.25">
      <c r="A393" s="3">
        <v>41024</v>
      </c>
      <c r="B393">
        <v>2625.99</v>
      </c>
      <c r="C393">
        <f t="shared" si="20"/>
        <v>1.008107890221009</v>
      </c>
      <c r="D393">
        <v>377</v>
      </c>
      <c r="E393">
        <f t="shared" si="21"/>
        <v>0</v>
      </c>
      <c r="F393">
        <f t="shared" si="22"/>
        <v>0</v>
      </c>
      <c r="G393" t="str">
        <f t="shared" si="23"/>
        <v>extra</v>
      </c>
      <c r="J393">
        <v>362</v>
      </c>
      <c r="K393">
        <v>0.25619299932705836</v>
      </c>
    </row>
    <row r="394" spans="1:11" x14ac:dyDescent="0.25">
      <c r="A394" s="3">
        <v>41023</v>
      </c>
      <c r="B394">
        <v>2604.87</v>
      </c>
      <c r="C394">
        <f t="shared" si="20"/>
        <v>0.99955104296173503</v>
      </c>
      <c r="D394">
        <v>378</v>
      </c>
      <c r="E394">
        <f t="shared" si="21"/>
        <v>0</v>
      </c>
      <c r="F394">
        <f t="shared" si="22"/>
        <v>0</v>
      </c>
      <c r="G394" t="str">
        <f t="shared" si="23"/>
        <v>extra</v>
      </c>
      <c r="J394">
        <v>363</v>
      </c>
      <c r="K394">
        <v>0.25664007188518712</v>
      </c>
    </row>
    <row r="395" spans="1:11" x14ac:dyDescent="0.25">
      <c r="A395" s="3">
        <v>41022</v>
      </c>
      <c r="B395">
        <v>2606.04</v>
      </c>
      <c r="C395">
        <f t="shared" si="20"/>
        <v>0.99208174079883049</v>
      </c>
      <c r="D395">
        <v>379</v>
      </c>
      <c r="E395">
        <f t="shared" si="21"/>
        <v>0</v>
      </c>
      <c r="F395">
        <f t="shared" si="22"/>
        <v>0</v>
      </c>
      <c r="G395" t="str">
        <f t="shared" si="23"/>
        <v>extra</v>
      </c>
      <c r="J395">
        <v>364</v>
      </c>
      <c r="K395">
        <v>0.25710332550857817</v>
      </c>
    </row>
    <row r="396" spans="1:11" x14ac:dyDescent="0.25">
      <c r="A396" s="3">
        <v>41019</v>
      </c>
      <c r="B396">
        <v>2626.84</v>
      </c>
      <c r="C396">
        <f t="shared" si="20"/>
        <v>1.0118564285879372</v>
      </c>
      <c r="D396">
        <v>380</v>
      </c>
      <c r="E396">
        <f t="shared" si="21"/>
        <v>0</v>
      </c>
      <c r="F396">
        <f t="shared" si="22"/>
        <v>0</v>
      </c>
      <c r="G396" t="str">
        <f t="shared" si="23"/>
        <v>extra</v>
      </c>
      <c r="J396">
        <v>365</v>
      </c>
      <c r="K396">
        <v>0.25761301778699547</v>
      </c>
    </row>
    <row r="397" spans="1:11" x14ac:dyDescent="0.25">
      <c r="A397" s="3">
        <v>41018</v>
      </c>
      <c r="B397">
        <v>2596.06</v>
      </c>
      <c r="C397">
        <f t="shared" si="20"/>
        <v>0.99851917951005997</v>
      </c>
      <c r="D397">
        <v>381</v>
      </c>
      <c r="E397">
        <f t="shared" si="21"/>
        <v>0</v>
      </c>
      <c r="F397">
        <f t="shared" si="22"/>
        <v>0</v>
      </c>
      <c r="G397" t="str">
        <f t="shared" si="23"/>
        <v>extra</v>
      </c>
      <c r="J397">
        <v>366</v>
      </c>
      <c r="K397">
        <v>0.25761301887019594</v>
      </c>
    </row>
    <row r="398" spans="1:11" x14ac:dyDescent="0.25">
      <c r="A398" s="3">
        <v>41017</v>
      </c>
      <c r="B398">
        <v>2599.91</v>
      </c>
      <c r="C398">
        <f t="shared" si="20"/>
        <v>1.0228295592238814</v>
      </c>
      <c r="D398">
        <v>382</v>
      </c>
      <c r="E398">
        <f t="shared" si="21"/>
        <v>0</v>
      </c>
      <c r="F398">
        <f t="shared" si="22"/>
        <v>0</v>
      </c>
      <c r="G398" t="str">
        <f t="shared" si="23"/>
        <v>extra</v>
      </c>
      <c r="J398">
        <v>367</v>
      </c>
      <c r="K398">
        <v>0.25773106564438286</v>
      </c>
    </row>
    <row r="399" spans="1:11" x14ac:dyDescent="0.25">
      <c r="A399" s="3">
        <v>41016</v>
      </c>
      <c r="B399">
        <v>2541.88</v>
      </c>
      <c r="C399">
        <f t="shared" si="20"/>
        <v>0.98750602166244505</v>
      </c>
      <c r="D399">
        <v>383</v>
      </c>
      <c r="E399">
        <f t="shared" si="21"/>
        <v>0</v>
      </c>
      <c r="F399">
        <f t="shared" si="22"/>
        <v>0</v>
      </c>
      <c r="G399" t="str">
        <f t="shared" si="23"/>
        <v>extra</v>
      </c>
      <c r="J399">
        <v>368</v>
      </c>
      <c r="K399">
        <v>0.2578342511499751</v>
      </c>
    </row>
    <row r="400" spans="1:11" x14ac:dyDescent="0.25">
      <c r="A400" s="3">
        <v>41015</v>
      </c>
      <c r="B400">
        <v>2574.04</v>
      </c>
      <c r="C400">
        <f t="shared" si="20"/>
        <v>0.99751593714274644</v>
      </c>
      <c r="D400">
        <v>384</v>
      </c>
      <c r="E400">
        <f t="shared" si="21"/>
        <v>0</v>
      </c>
      <c r="F400">
        <f t="shared" si="22"/>
        <v>0</v>
      </c>
      <c r="G400" t="str">
        <f t="shared" si="23"/>
        <v>extra</v>
      </c>
      <c r="J400">
        <v>369</v>
      </c>
      <c r="K400">
        <v>0.25783243705085834</v>
      </c>
    </row>
    <row r="401" spans="1:11" x14ac:dyDescent="0.25">
      <c r="A401" s="3">
        <v>41012</v>
      </c>
      <c r="B401">
        <v>2580.4499999999998</v>
      </c>
      <c r="C401">
        <f t="shared" si="20"/>
        <v>1.0038942749101321</v>
      </c>
      <c r="D401">
        <v>385</v>
      </c>
      <c r="E401">
        <f t="shared" si="21"/>
        <v>0</v>
      </c>
      <c r="F401">
        <f t="shared" si="22"/>
        <v>0</v>
      </c>
      <c r="G401" t="str">
        <f t="shared" si="23"/>
        <v>extra</v>
      </c>
      <c r="J401">
        <v>370</v>
      </c>
      <c r="K401">
        <v>0.25852427380705523</v>
      </c>
    </row>
    <row r="402" spans="1:11" x14ac:dyDescent="0.25">
      <c r="A402" s="3">
        <v>41011</v>
      </c>
      <c r="B402">
        <v>2570.44</v>
      </c>
      <c r="C402">
        <f t="shared" ref="C402:C465" si="24">B402/B403</f>
        <v>1.0199996825447215</v>
      </c>
      <c r="D402">
        <v>386</v>
      </c>
      <c r="E402">
        <f t="shared" ref="E402:E465" si="25">IF(D402&gt;$B$6,0,LN(C402))</f>
        <v>0</v>
      </c>
      <c r="F402">
        <f t="shared" ref="F402:F465" si="26">IF(D402&gt;$B$6,0,(E402-$B$7)^2)</f>
        <v>0</v>
      </c>
      <c r="G402" t="str">
        <f t="shared" ref="G402:G465" si="27">IF(D402&lt;=$B$6,E402,"extra")</f>
        <v>extra</v>
      </c>
      <c r="J402">
        <v>371</v>
      </c>
      <c r="K402">
        <v>0.258537659620586</v>
      </c>
    </row>
    <row r="403" spans="1:11" x14ac:dyDescent="0.25">
      <c r="A403" s="3">
        <v>41010</v>
      </c>
      <c r="B403">
        <v>2520.04</v>
      </c>
      <c r="C403">
        <f t="shared" si="24"/>
        <v>1.0000992146170911</v>
      </c>
      <c r="D403">
        <v>387</v>
      </c>
      <c r="E403">
        <f t="shared" si="25"/>
        <v>0</v>
      </c>
      <c r="F403">
        <f t="shared" si="26"/>
        <v>0</v>
      </c>
      <c r="G403" t="str">
        <f t="shared" si="27"/>
        <v>extra</v>
      </c>
      <c r="J403">
        <v>372</v>
      </c>
      <c r="K403">
        <v>0.25853808637315717</v>
      </c>
    </row>
    <row r="404" spans="1:11" x14ac:dyDescent="0.25">
      <c r="A404" s="3">
        <v>41009</v>
      </c>
      <c r="B404">
        <v>2519.79</v>
      </c>
      <c r="C404">
        <f t="shared" si="24"/>
        <v>1.0098751578061438</v>
      </c>
      <c r="D404">
        <v>388</v>
      </c>
      <c r="E404">
        <f t="shared" si="25"/>
        <v>0</v>
      </c>
      <c r="F404">
        <f t="shared" si="26"/>
        <v>0</v>
      </c>
      <c r="G404" t="str">
        <f t="shared" si="27"/>
        <v>extra</v>
      </c>
      <c r="J404">
        <v>373</v>
      </c>
      <c r="K404">
        <v>0.25870746907536274</v>
      </c>
    </row>
    <row r="405" spans="1:11" x14ac:dyDescent="0.25">
      <c r="A405" s="3">
        <v>41008</v>
      </c>
      <c r="B405">
        <v>2495.15</v>
      </c>
      <c r="C405">
        <f t="shared" si="24"/>
        <v>0.99020568847898471</v>
      </c>
      <c r="D405">
        <v>389</v>
      </c>
      <c r="E405">
        <f t="shared" si="25"/>
        <v>0</v>
      </c>
      <c r="F405">
        <f t="shared" si="26"/>
        <v>0</v>
      </c>
      <c r="G405" t="str">
        <f t="shared" si="27"/>
        <v>extra</v>
      </c>
      <c r="J405">
        <v>374</v>
      </c>
      <c r="K405">
        <v>0.25872737528773104</v>
      </c>
    </row>
    <row r="406" spans="1:11" x14ac:dyDescent="0.25">
      <c r="A406" s="3">
        <v>41005</v>
      </c>
      <c r="B406">
        <v>2519.83</v>
      </c>
      <c r="C406">
        <f t="shared" si="24"/>
        <v>1.0027857037682613</v>
      </c>
      <c r="D406">
        <v>390</v>
      </c>
      <c r="E406">
        <f t="shared" si="25"/>
        <v>0</v>
      </c>
      <c r="F406">
        <f t="shared" si="26"/>
        <v>0</v>
      </c>
      <c r="G406" t="str">
        <f t="shared" si="27"/>
        <v>extra</v>
      </c>
      <c r="J406">
        <v>375</v>
      </c>
      <c r="K406">
        <v>0.25965747503956293</v>
      </c>
    </row>
    <row r="407" spans="1:11" x14ac:dyDescent="0.25">
      <c r="A407" s="3">
        <v>41004</v>
      </c>
      <c r="B407">
        <v>2512.83</v>
      </c>
      <c r="C407">
        <f t="shared" si="24"/>
        <v>1.0235977025540755</v>
      </c>
      <c r="D407">
        <v>391</v>
      </c>
      <c r="E407">
        <f t="shared" si="25"/>
        <v>0</v>
      </c>
      <c r="F407">
        <f t="shared" si="26"/>
        <v>0</v>
      </c>
      <c r="G407" t="str">
        <f t="shared" si="27"/>
        <v>extra</v>
      </c>
      <c r="J407">
        <v>376</v>
      </c>
      <c r="K407">
        <v>0.25966141067401421</v>
      </c>
    </row>
    <row r="408" spans="1:11" x14ac:dyDescent="0.25">
      <c r="A408" s="3">
        <v>40998</v>
      </c>
      <c r="B408">
        <v>2454.9</v>
      </c>
      <c r="C408">
        <f t="shared" si="24"/>
        <v>1.0048217033956581</v>
      </c>
      <c r="D408">
        <v>392</v>
      </c>
      <c r="E408">
        <f t="shared" si="25"/>
        <v>0</v>
      </c>
      <c r="F408">
        <f t="shared" si="26"/>
        <v>0</v>
      </c>
      <c r="G408" t="str">
        <f t="shared" si="27"/>
        <v>extra</v>
      </c>
      <c r="J408">
        <v>377</v>
      </c>
      <c r="K408">
        <v>0.25967062616231085</v>
      </c>
    </row>
    <row r="409" spans="1:11" x14ac:dyDescent="0.25">
      <c r="A409" s="3">
        <v>40997</v>
      </c>
      <c r="B409">
        <v>2443.12</v>
      </c>
      <c r="C409">
        <f t="shared" si="24"/>
        <v>0.98715907713442963</v>
      </c>
      <c r="D409">
        <v>393</v>
      </c>
      <c r="E409">
        <f t="shared" si="25"/>
        <v>0</v>
      </c>
      <c r="F409">
        <f t="shared" si="26"/>
        <v>0</v>
      </c>
      <c r="G409" t="str">
        <f t="shared" si="27"/>
        <v>extra</v>
      </c>
      <c r="J409">
        <v>378</v>
      </c>
      <c r="K409">
        <v>0.25980400379260993</v>
      </c>
    </row>
    <row r="410" spans="1:11" x14ac:dyDescent="0.25">
      <c r="A410" s="3">
        <v>40996</v>
      </c>
      <c r="B410">
        <v>2474.9</v>
      </c>
      <c r="C410">
        <f t="shared" si="24"/>
        <v>0.97163877917978603</v>
      </c>
      <c r="D410">
        <v>394</v>
      </c>
      <c r="E410">
        <f t="shared" si="25"/>
        <v>0</v>
      </c>
      <c r="F410">
        <f t="shared" si="26"/>
        <v>0</v>
      </c>
      <c r="G410" t="str">
        <f t="shared" si="27"/>
        <v>extra</v>
      </c>
      <c r="J410">
        <v>379</v>
      </c>
      <c r="K410">
        <v>0.25980224096558818</v>
      </c>
    </row>
    <row r="411" spans="1:11" x14ac:dyDescent="0.25">
      <c r="A411" s="3">
        <v>40995</v>
      </c>
      <c r="B411">
        <v>2547.14</v>
      </c>
      <c r="C411">
        <f t="shared" si="24"/>
        <v>0.99675202704817945</v>
      </c>
      <c r="D411">
        <v>395</v>
      </c>
      <c r="E411">
        <f t="shared" si="25"/>
        <v>0</v>
      </c>
      <c r="F411">
        <f t="shared" si="26"/>
        <v>0</v>
      </c>
      <c r="G411" t="str">
        <f t="shared" si="27"/>
        <v>extra</v>
      </c>
      <c r="J411">
        <v>380</v>
      </c>
      <c r="K411">
        <v>0.25991412827973787</v>
      </c>
    </row>
    <row r="412" spans="1:11" x14ac:dyDescent="0.25">
      <c r="A412" s="3">
        <v>40994</v>
      </c>
      <c r="B412">
        <v>2555.44</v>
      </c>
      <c r="C412">
        <f t="shared" si="24"/>
        <v>1.0009792631240844</v>
      </c>
      <c r="D412">
        <v>396</v>
      </c>
      <c r="E412">
        <f t="shared" si="25"/>
        <v>0</v>
      </c>
      <c r="F412">
        <f t="shared" si="26"/>
        <v>0</v>
      </c>
      <c r="G412" t="str">
        <f t="shared" si="27"/>
        <v>extra</v>
      </c>
      <c r="J412">
        <v>381</v>
      </c>
      <c r="K412">
        <v>0.26019361915235711</v>
      </c>
    </row>
    <row r="413" spans="1:11" x14ac:dyDescent="0.25">
      <c r="A413" s="3">
        <v>40991</v>
      </c>
      <c r="B413">
        <v>2552.94</v>
      </c>
      <c r="C413">
        <f t="shared" si="24"/>
        <v>0.98807547169811327</v>
      </c>
      <c r="D413">
        <v>397</v>
      </c>
      <c r="E413">
        <f t="shared" si="25"/>
        <v>0</v>
      </c>
      <c r="F413">
        <f t="shared" si="26"/>
        <v>0</v>
      </c>
      <c r="G413" t="str">
        <f t="shared" si="27"/>
        <v>extra</v>
      </c>
      <c r="J413">
        <v>382</v>
      </c>
      <c r="K413">
        <v>0.26019469288494462</v>
      </c>
    </row>
    <row r="414" spans="1:11" x14ac:dyDescent="0.25">
      <c r="A414" s="3">
        <v>40990</v>
      </c>
      <c r="B414">
        <v>2583.75</v>
      </c>
      <c r="C414">
        <f t="shared" si="24"/>
        <v>0.99843882231556658</v>
      </c>
      <c r="D414">
        <v>398</v>
      </c>
      <c r="E414">
        <f t="shared" si="25"/>
        <v>0</v>
      </c>
      <c r="F414">
        <f t="shared" si="26"/>
        <v>0</v>
      </c>
      <c r="G414" t="str">
        <f t="shared" si="27"/>
        <v>extra</v>
      </c>
      <c r="J414">
        <v>383</v>
      </c>
      <c r="K414">
        <v>0.26119581839570793</v>
      </c>
    </row>
    <row r="415" spans="1:11" x14ac:dyDescent="0.25">
      <c r="A415" s="3">
        <v>40989</v>
      </c>
      <c r="B415">
        <v>2587.79</v>
      </c>
      <c r="C415">
        <f t="shared" si="24"/>
        <v>1.0012923445994313</v>
      </c>
      <c r="D415">
        <v>399</v>
      </c>
      <c r="E415">
        <f t="shared" si="25"/>
        <v>0</v>
      </c>
      <c r="F415">
        <f t="shared" si="26"/>
        <v>0</v>
      </c>
      <c r="G415" t="str">
        <f t="shared" si="27"/>
        <v>extra</v>
      </c>
      <c r="J415">
        <v>384</v>
      </c>
      <c r="K415">
        <v>0.26148745761873643</v>
      </c>
    </row>
    <row r="416" spans="1:11" x14ac:dyDescent="0.25">
      <c r="A416" s="3">
        <v>40988</v>
      </c>
      <c r="B416">
        <v>2584.4499999999998</v>
      </c>
      <c r="C416">
        <f t="shared" si="24"/>
        <v>0.98267687195105702</v>
      </c>
      <c r="D416">
        <v>400</v>
      </c>
      <c r="E416">
        <f t="shared" si="25"/>
        <v>0</v>
      </c>
      <c r="F416">
        <f t="shared" si="26"/>
        <v>0</v>
      </c>
      <c r="G416" t="str">
        <f t="shared" si="27"/>
        <v>extra</v>
      </c>
      <c r="J416">
        <v>385</v>
      </c>
      <c r="K416">
        <v>0.26149538672738637</v>
      </c>
    </row>
    <row r="417" spans="1:11" x14ac:dyDescent="0.25">
      <c r="A417" s="3">
        <v>40987</v>
      </c>
      <c r="B417">
        <v>2630.01</v>
      </c>
      <c r="C417">
        <f t="shared" si="24"/>
        <v>1.0024737756906752</v>
      </c>
      <c r="D417">
        <v>401</v>
      </c>
      <c r="E417">
        <f t="shared" si="25"/>
        <v>0</v>
      </c>
      <c r="F417">
        <f t="shared" si="26"/>
        <v>0</v>
      </c>
      <c r="G417" t="str">
        <f t="shared" si="27"/>
        <v>extra</v>
      </c>
      <c r="J417">
        <v>386</v>
      </c>
      <c r="K417">
        <v>0.26152630737071098</v>
      </c>
    </row>
    <row r="418" spans="1:11" x14ac:dyDescent="0.25">
      <c r="A418" s="3">
        <v>40984</v>
      </c>
      <c r="B418">
        <v>2623.52</v>
      </c>
      <c r="C418">
        <f t="shared" si="24"/>
        <v>1.0146854634410474</v>
      </c>
      <c r="D418">
        <v>402</v>
      </c>
      <c r="E418">
        <f t="shared" si="25"/>
        <v>0</v>
      </c>
      <c r="F418">
        <f t="shared" si="26"/>
        <v>0</v>
      </c>
      <c r="G418" t="str">
        <f t="shared" si="27"/>
        <v>extra</v>
      </c>
      <c r="J418">
        <v>387</v>
      </c>
      <c r="K418">
        <v>0.26229278654172583</v>
      </c>
    </row>
    <row r="419" spans="1:11" x14ac:dyDescent="0.25">
      <c r="A419" s="3">
        <v>40983</v>
      </c>
      <c r="B419">
        <v>2585.5500000000002</v>
      </c>
      <c r="C419">
        <f t="shared" si="24"/>
        <v>0.99249167981390418</v>
      </c>
      <c r="D419">
        <v>403</v>
      </c>
      <c r="E419">
        <f t="shared" si="25"/>
        <v>0</v>
      </c>
      <c r="F419">
        <f t="shared" si="26"/>
        <v>0</v>
      </c>
      <c r="G419" t="str">
        <f t="shared" si="27"/>
        <v>extra</v>
      </c>
      <c r="J419">
        <v>388</v>
      </c>
      <c r="K419">
        <v>0.2622911798673988</v>
      </c>
    </row>
    <row r="420" spans="1:11" x14ac:dyDescent="0.25">
      <c r="A420" s="3">
        <v>40982</v>
      </c>
      <c r="B420">
        <v>2605.11</v>
      </c>
      <c r="C420">
        <f t="shared" si="24"/>
        <v>0.97166802806342245</v>
      </c>
      <c r="D420">
        <v>404</v>
      </c>
      <c r="E420">
        <f t="shared" si="25"/>
        <v>0</v>
      </c>
      <c r="F420">
        <f t="shared" si="26"/>
        <v>0</v>
      </c>
      <c r="G420" t="str">
        <f t="shared" si="27"/>
        <v>extra</v>
      </c>
      <c r="J420">
        <v>389</v>
      </c>
      <c r="K420">
        <v>0.26248071978605841</v>
      </c>
    </row>
    <row r="421" spans="1:11" x14ac:dyDescent="0.25">
      <c r="A421" s="3">
        <v>40981</v>
      </c>
      <c r="B421">
        <v>2681.07</v>
      </c>
      <c r="C421">
        <f t="shared" si="24"/>
        <v>1.0100474683544305</v>
      </c>
      <c r="D421">
        <v>405</v>
      </c>
      <c r="E421">
        <f t="shared" si="25"/>
        <v>0</v>
      </c>
      <c r="F421">
        <f t="shared" si="26"/>
        <v>0</v>
      </c>
      <c r="G421" t="str">
        <f t="shared" si="27"/>
        <v>extra</v>
      </c>
      <c r="J421">
        <v>390</v>
      </c>
      <c r="K421">
        <v>0.26265820354336128</v>
      </c>
    </row>
    <row r="422" spans="1:11" x14ac:dyDescent="0.25">
      <c r="A422" s="3">
        <v>40980</v>
      </c>
      <c r="B422">
        <v>2654.4</v>
      </c>
      <c r="C422">
        <f t="shared" si="24"/>
        <v>0.99628420222947867</v>
      </c>
      <c r="D422">
        <v>406</v>
      </c>
      <c r="E422">
        <f t="shared" si="25"/>
        <v>0</v>
      </c>
      <c r="F422">
        <f t="shared" si="26"/>
        <v>0</v>
      </c>
      <c r="G422" t="str">
        <f t="shared" si="27"/>
        <v>extra</v>
      </c>
      <c r="J422">
        <v>391</v>
      </c>
      <c r="K422">
        <v>0.26267319785525983</v>
      </c>
    </row>
    <row r="423" spans="1:11" x14ac:dyDescent="0.25">
      <c r="A423" s="3">
        <v>40977</v>
      </c>
      <c r="B423">
        <v>2664.3</v>
      </c>
      <c r="C423">
        <f t="shared" si="24"/>
        <v>1.0108164914503812</v>
      </c>
      <c r="D423">
        <v>407</v>
      </c>
      <c r="E423">
        <f t="shared" si="25"/>
        <v>0</v>
      </c>
      <c r="F423">
        <f t="shared" si="26"/>
        <v>0</v>
      </c>
      <c r="G423" t="str">
        <f t="shared" si="27"/>
        <v>extra</v>
      </c>
      <c r="J423">
        <v>392</v>
      </c>
      <c r="K423">
        <v>0.26372279053847481</v>
      </c>
    </row>
    <row r="424" spans="1:11" x14ac:dyDescent="0.25">
      <c r="A424" s="3">
        <v>40976</v>
      </c>
      <c r="B424">
        <v>2635.79</v>
      </c>
      <c r="C424">
        <f t="shared" si="24"/>
        <v>1.0125931133572286</v>
      </c>
      <c r="D424">
        <v>408</v>
      </c>
      <c r="E424">
        <f t="shared" si="25"/>
        <v>0</v>
      </c>
      <c r="F424">
        <f t="shared" si="26"/>
        <v>0</v>
      </c>
      <c r="G424" t="str">
        <f t="shared" si="27"/>
        <v>extra</v>
      </c>
      <c r="J424">
        <v>393</v>
      </c>
      <c r="K424">
        <v>0.26376709584059599</v>
      </c>
    </row>
    <row r="425" spans="1:11" x14ac:dyDescent="0.25">
      <c r="A425" s="3">
        <v>40975</v>
      </c>
      <c r="B425">
        <v>2603.0100000000002</v>
      </c>
      <c r="C425">
        <f t="shared" si="24"/>
        <v>0.99311726216592588</v>
      </c>
      <c r="D425">
        <v>409</v>
      </c>
      <c r="E425">
        <f t="shared" si="25"/>
        <v>0</v>
      </c>
      <c r="F425">
        <f t="shared" si="26"/>
        <v>0</v>
      </c>
      <c r="G425" t="str">
        <f t="shared" si="27"/>
        <v>extra</v>
      </c>
      <c r="J425">
        <v>394</v>
      </c>
      <c r="K425">
        <v>0.26407782142408176</v>
      </c>
    </row>
    <row r="426" spans="1:11" x14ac:dyDescent="0.25">
      <c r="A426" s="3">
        <v>40974</v>
      </c>
      <c r="B426">
        <v>2621.0500000000002</v>
      </c>
      <c r="C426">
        <f t="shared" si="24"/>
        <v>0.98435798249896733</v>
      </c>
      <c r="D426">
        <v>410</v>
      </c>
      <c r="E426">
        <f t="shared" si="25"/>
        <v>0</v>
      </c>
      <c r="F426">
        <f t="shared" si="26"/>
        <v>0</v>
      </c>
      <c r="G426" t="str">
        <f t="shared" si="27"/>
        <v>extra</v>
      </c>
      <c r="J426">
        <v>395</v>
      </c>
      <c r="K426">
        <v>0.26562857062466094</v>
      </c>
    </row>
    <row r="427" spans="1:11" x14ac:dyDescent="0.25">
      <c r="A427" s="3">
        <v>40973</v>
      </c>
      <c r="B427">
        <v>2662.7</v>
      </c>
      <c r="C427">
        <f t="shared" si="24"/>
        <v>0.99357072759363119</v>
      </c>
      <c r="D427">
        <v>411</v>
      </c>
      <c r="E427">
        <f t="shared" si="25"/>
        <v>0</v>
      </c>
      <c r="F427">
        <f t="shared" si="26"/>
        <v>0</v>
      </c>
      <c r="G427" t="str">
        <f t="shared" si="27"/>
        <v>extra</v>
      </c>
      <c r="J427">
        <v>396</v>
      </c>
      <c r="K427">
        <v>0.26564441333112954</v>
      </c>
    </row>
    <row r="428" spans="1:11" x14ac:dyDescent="0.25">
      <c r="A428" s="3">
        <v>40970</v>
      </c>
      <c r="B428">
        <v>2679.93</v>
      </c>
      <c r="C428">
        <f t="shared" si="24"/>
        <v>1.0176884956424326</v>
      </c>
      <c r="D428">
        <v>412</v>
      </c>
      <c r="E428">
        <f t="shared" si="25"/>
        <v>0</v>
      </c>
      <c r="F428">
        <f t="shared" si="26"/>
        <v>0</v>
      </c>
      <c r="G428" t="str">
        <f t="shared" si="27"/>
        <v>extra</v>
      </c>
      <c r="J428">
        <v>397</v>
      </c>
      <c r="K428">
        <v>0.26564538796391135</v>
      </c>
    </row>
    <row r="429" spans="1:11" x14ac:dyDescent="0.25">
      <c r="A429" s="3">
        <v>40969</v>
      </c>
      <c r="B429">
        <v>2633.35</v>
      </c>
      <c r="C429">
        <f t="shared" si="24"/>
        <v>0.9997000918705915</v>
      </c>
      <c r="D429">
        <v>413</v>
      </c>
      <c r="E429">
        <f t="shared" si="25"/>
        <v>0</v>
      </c>
      <c r="F429">
        <f t="shared" si="26"/>
        <v>0</v>
      </c>
      <c r="G429" t="str">
        <f t="shared" si="27"/>
        <v>extra</v>
      </c>
      <c r="J429">
        <v>398</v>
      </c>
      <c r="K429">
        <v>0.26590576703764168</v>
      </c>
    </row>
    <row r="430" spans="1:11" x14ac:dyDescent="0.25">
      <c r="A430" s="3">
        <v>40968</v>
      </c>
      <c r="B430">
        <v>2634.14</v>
      </c>
      <c r="C430">
        <f t="shared" si="24"/>
        <v>0.98936322048030767</v>
      </c>
      <c r="D430">
        <v>414</v>
      </c>
      <c r="E430">
        <f t="shared" si="25"/>
        <v>0</v>
      </c>
      <c r="F430">
        <f t="shared" si="26"/>
        <v>0</v>
      </c>
      <c r="G430" t="str">
        <f t="shared" si="27"/>
        <v>extra</v>
      </c>
      <c r="J430">
        <v>399</v>
      </c>
      <c r="K430">
        <v>0.26590739027483057</v>
      </c>
    </row>
    <row r="431" spans="1:11" x14ac:dyDescent="0.25">
      <c r="A431" s="3">
        <v>40967</v>
      </c>
      <c r="B431">
        <v>2662.46</v>
      </c>
      <c r="C431">
        <f t="shared" si="24"/>
        <v>1.002217144663984</v>
      </c>
      <c r="D431">
        <v>415</v>
      </c>
      <c r="E431">
        <f t="shared" si="25"/>
        <v>0</v>
      </c>
      <c r="F431">
        <f t="shared" si="26"/>
        <v>0</v>
      </c>
      <c r="G431" t="str">
        <f t="shared" si="27"/>
        <v>extra</v>
      </c>
      <c r="J431">
        <v>400</v>
      </c>
      <c r="K431">
        <v>0.26591014537345625</v>
      </c>
    </row>
    <row r="432" spans="1:11" x14ac:dyDescent="0.25">
      <c r="A432" s="3">
        <v>40966</v>
      </c>
      <c r="B432">
        <v>2656.57</v>
      </c>
      <c r="C432">
        <f t="shared" si="24"/>
        <v>1.0032288275768311</v>
      </c>
      <c r="D432">
        <v>416</v>
      </c>
      <c r="E432">
        <f t="shared" si="25"/>
        <v>0</v>
      </c>
      <c r="F432">
        <f t="shared" si="26"/>
        <v>0</v>
      </c>
      <c r="G432" t="str">
        <f t="shared" si="27"/>
        <v>extra</v>
      </c>
      <c r="J432">
        <v>401</v>
      </c>
      <c r="K432">
        <v>0.26646798874197564</v>
      </c>
    </row>
    <row r="433" spans="1:11" x14ac:dyDescent="0.25">
      <c r="A433" s="3">
        <v>40963</v>
      </c>
      <c r="B433">
        <v>2648.02</v>
      </c>
      <c r="C433">
        <f t="shared" si="24"/>
        <v>1.01602296010375</v>
      </c>
      <c r="D433">
        <v>417</v>
      </c>
      <c r="E433">
        <f t="shared" si="25"/>
        <v>0</v>
      </c>
      <c r="F433">
        <f t="shared" si="26"/>
        <v>0</v>
      </c>
      <c r="G433" t="str">
        <f t="shared" si="27"/>
        <v>extra</v>
      </c>
      <c r="J433">
        <v>402</v>
      </c>
      <c r="K433">
        <v>0.26648056705237577</v>
      </c>
    </row>
    <row r="434" spans="1:11" x14ac:dyDescent="0.25">
      <c r="A434" s="3">
        <v>40962</v>
      </c>
      <c r="B434">
        <v>2606.2600000000002</v>
      </c>
      <c r="C434">
        <f t="shared" si="24"/>
        <v>1.0033801992700617</v>
      </c>
      <c r="D434">
        <v>418</v>
      </c>
      <c r="E434">
        <f t="shared" si="25"/>
        <v>0</v>
      </c>
      <c r="F434">
        <f t="shared" si="26"/>
        <v>0</v>
      </c>
      <c r="G434" t="str">
        <f t="shared" si="27"/>
        <v>extra</v>
      </c>
      <c r="J434">
        <v>403</v>
      </c>
      <c r="K434">
        <v>0.26689352966312446</v>
      </c>
    </row>
    <row r="435" spans="1:11" x14ac:dyDescent="0.25">
      <c r="A435" s="3">
        <v>40961</v>
      </c>
      <c r="B435">
        <v>2597.48</v>
      </c>
      <c r="C435">
        <f t="shared" si="24"/>
        <v>1.0136705106441102</v>
      </c>
      <c r="D435">
        <v>419</v>
      </c>
      <c r="E435">
        <f t="shared" si="25"/>
        <v>0</v>
      </c>
      <c r="F435">
        <f t="shared" si="26"/>
        <v>0</v>
      </c>
      <c r="G435" t="str">
        <f t="shared" si="27"/>
        <v>extra</v>
      </c>
      <c r="J435">
        <v>404</v>
      </c>
      <c r="K435">
        <v>0.26699194023038947</v>
      </c>
    </row>
    <row r="436" spans="1:11" x14ac:dyDescent="0.25">
      <c r="A436" s="3">
        <v>40960</v>
      </c>
      <c r="B436">
        <v>2562.4499999999998</v>
      </c>
      <c r="C436">
        <f t="shared" si="24"/>
        <v>1.0085566632949057</v>
      </c>
      <c r="D436">
        <v>420</v>
      </c>
      <c r="E436">
        <f t="shared" si="25"/>
        <v>0</v>
      </c>
      <c r="F436">
        <f t="shared" si="26"/>
        <v>0</v>
      </c>
      <c r="G436" t="str">
        <f t="shared" si="27"/>
        <v>extra</v>
      </c>
      <c r="J436">
        <v>405</v>
      </c>
      <c r="K436">
        <v>0.26850938039642935</v>
      </c>
    </row>
    <row r="437" spans="1:11" x14ac:dyDescent="0.25">
      <c r="A437" s="3">
        <v>40959</v>
      </c>
      <c r="B437">
        <v>2540.71</v>
      </c>
      <c r="C437">
        <f t="shared" si="24"/>
        <v>1.0014268315274586</v>
      </c>
      <c r="D437">
        <v>421</v>
      </c>
      <c r="E437">
        <f t="shared" si="25"/>
        <v>0</v>
      </c>
      <c r="F437">
        <f t="shared" si="26"/>
        <v>0</v>
      </c>
      <c r="G437" t="str">
        <f t="shared" si="27"/>
        <v>extra</v>
      </c>
      <c r="J437">
        <v>406</v>
      </c>
      <c r="K437">
        <v>0.26870658600959324</v>
      </c>
    </row>
    <row r="438" spans="1:11" x14ac:dyDescent="0.25">
      <c r="A438" s="3">
        <v>40956</v>
      </c>
      <c r="B438">
        <v>2537.09</v>
      </c>
      <c r="C438">
        <f t="shared" si="24"/>
        <v>1.0004021971002377</v>
      </c>
      <c r="D438">
        <v>422</v>
      </c>
      <c r="E438">
        <f t="shared" si="25"/>
        <v>0</v>
      </c>
      <c r="F438">
        <f t="shared" si="26"/>
        <v>0</v>
      </c>
      <c r="G438" t="str">
        <f t="shared" si="27"/>
        <v>extra</v>
      </c>
      <c r="J438">
        <v>407</v>
      </c>
      <c r="K438">
        <v>0.26872680387395254</v>
      </c>
    </row>
    <row r="439" spans="1:11" x14ac:dyDescent="0.25">
      <c r="A439" s="3">
        <v>40955</v>
      </c>
      <c r="B439">
        <v>2536.0700000000002</v>
      </c>
      <c r="C439">
        <f t="shared" si="24"/>
        <v>0.99468938386655215</v>
      </c>
      <c r="D439">
        <v>423</v>
      </c>
      <c r="E439">
        <f t="shared" si="25"/>
        <v>0</v>
      </c>
      <c r="F439">
        <f t="shared" si="26"/>
        <v>0</v>
      </c>
      <c r="G439" t="str">
        <f t="shared" si="27"/>
        <v>extra</v>
      </c>
      <c r="J439">
        <v>408</v>
      </c>
      <c r="K439">
        <v>0.26895352125419175</v>
      </c>
    </row>
    <row r="440" spans="1:11" x14ac:dyDescent="0.25">
      <c r="A440" s="3">
        <v>40954</v>
      </c>
      <c r="B440">
        <v>2549.61</v>
      </c>
      <c r="C440">
        <f t="shared" si="24"/>
        <v>1.0109035688372037</v>
      </c>
      <c r="D440">
        <v>424</v>
      </c>
      <c r="E440">
        <f t="shared" si="25"/>
        <v>0</v>
      </c>
      <c r="F440">
        <f t="shared" si="26"/>
        <v>0</v>
      </c>
      <c r="G440" t="str">
        <f t="shared" si="27"/>
        <v>extra</v>
      </c>
      <c r="J440">
        <v>409</v>
      </c>
      <c r="K440">
        <v>0.26925685994661469</v>
      </c>
    </row>
    <row r="441" spans="1:11" x14ac:dyDescent="0.25">
      <c r="A441" s="3">
        <v>40953</v>
      </c>
      <c r="B441">
        <v>2522.11</v>
      </c>
      <c r="C441">
        <f t="shared" si="24"/>
        <v>0.99610186494364095</v>
      </c>
      <c r="D441">
        <v>425</v>
      </c>
      <c r="E441">
        <f t="shared" si="25"/>
        <v>0</v>
      </c>
      <c r="F441">
        <f t="shared" si="26"/>
        <v>0</v>
      </c>
      <c r="G441" t="str">
        <f t="shared" si="27"/>
        <v>extra</v>
      </c>
      <c r="J441">
        <v>410</v>
      </c>
      <c r="K441">
        <v>0.26933771989117589</v>
      </c>
    </row>
    <row r="442" spans="1:11" x14ac:dyDescent="0.25">
      <c r="A442" s="3">
        <v>40952</v>
      </c>
      <c r="B442">
        <v>2531.98</v>
      </c>
      <c r="C442">
        <f t="shared" si="24"/>
        <v>0.99935270482550664</v>
      </c>
      <c r="D442">
        <v>426</v>
      </c>
      <c r="E442">
        <f t="shared" si="25"/>
        <v>0</v>
      </c>
      <c r="F442">
        <f t="shared" si="26"/>
        <v>0</v>
      </c>
      <c r="G442" t="str">
        <f t="shared" si="27"/>
        <v>extra</v>
      </c>
      <c r="J442">
        <v>411</v>
      </c>
      <c r="K442">
        <v>0.26978280691239814</v>
      </c>
    </row>
    <row r="443" spans="1:11" x14ac:dyDescent="0.25">
      <c r="A443" s="3">
        <v>40949</v>
      </c>
      <c r="B443">
        <v>2533.62</v>
      </c>
      <c r="C443">
        <f t="shared" si="24"/>
        <v>1.0017357061239982</v>
      </c>
      <c r="D443">
        <v>427</v>
      </c>
      <c r="E443">
        <f t="shared" si="25"/>
        <v>0</v>
      </c>
      <c r="F443">
        <f t="shared" si="26"/>
        <v>0</v>
      </c>
      <c r="G443" t="str">
        <f t="shared" si="27"/>
        <v>extra</v>
      </c>
      <c r="J443">
        <v>412</v>
      </c>
      <c r="K443">
        <v>0.26985137651598534</v>
      </c>
    </row>
    <row r="444" spans="1:11" x14ac:dyDescent="0.25">
      <c r="A444" s="3">
        <v>40948</v>
      </c>
      <c r="B444">
        <v>2529.23</v>
      </c>
      <c r="C444">
        <f t="shared" si="24"/>
        <v>1.000391576749043</v>
      </c>
      <c r="D444">
        <v>428</v>
      </c>
      <c r="E444">
        <f t="shared" si="25"/>
        <v>0</v>
      </c>
      <c r="F444">
        <f t="shared" si="26"/>
        <v>0</v>
      </c>
      <c r="G444" t="str">
        <f t="shared" si="27"/>
        <v>extra</v>
      </c>
      <c r="J444">
        <v>413</v>
      </c>
      <c r="K444">
        <v>0.27044112153672273</v>
      </c>
    </row>
    <row r="445" spans="1:11" x14ac:dyDescent="0.25">
      <c r="A445" s="3">
        <v>40947</v>
      </c>
      <c r="B445">
        <v>2528.2399999999998</v>
      </c>
      <c r="C445">
        <f t="shared" si="24"/>
        <v>1.0285970015663459</v>
      </c>
      <c r="D445">
        <v>429</v>
      </c>
      <c r="E445">
        <f t="shared" si="25"/>
        <v>0</v>
      </c>
      <c r="F445">
        <f t="shared" si="26"/>
        <v>0</v>
      </c>
      <c r="G445" t="str">
        <f t="shared" si="27"/>
        <v>extra</v>
      </c>
      <c r="J445">
        <v>414</v>
      </c>
      <c r="K445">
        <v>0.27043953326314124</v>
      </c>
    </row>
    <row r="446" spans="1:11" x14ac:dyDescent="0.25">
      <c r="A446" s="3">
        <v>40946</v>
      </c>
      <c r="B446">
        <v>2457.9499999999998</v>
      </c>
      <c r="C446">
        <f t="shared" si="24"/>
        <v>0.98148399565550715</v>
      </c>
      <c r="D446">
        <v>430</v>
      </c>
      <c r="E446">
        <f t="shared" si="25"/>
        <v>0</v>
      </c>
      <c r="F446">
        <f t="shared" si="26"/>
        <v>0</v>
      </c>
      <c r="G446" t="str">
        <f t="shared" si="27"/>
        <v>extra</v>
      </c>
      <c r="J446">
        <v>415</v>
      </c>
      <c r="K446">
        <v>0.27063903147219298</v>
      </c>
    </row>
    <row r="447" spans="1:11" x14ac:dyDescent="0.25">
      <c r="A447" s="3">
        <v>40945</v>
      </c>
      <c r="B447">
        <v>2504.3200000000002</v>
      </c>
      <c r="C447">
        <f t="shared" si="24"/>
        <v>0.9992937204968696</v>
      </c>
      <c r="D447">
        <v>431</v>
      </c>
      <c r="E447">
        <f t="shared" si="25"/>
        <v>0</v>
      </c>
      <c r="F447">
        <f t="shared" si="26"/>
        <v>0</v>
      </c>
      <c r="G447" t="str">
        <f t="shared" si="27"/>
        <v>extra</v>
      </c>
      <c r="J447">
        <v>416</v>
      </c>
      <c r="K447">
        <v>0.27064917435983088</v>
      </c>
    </row>
    <row r="448" spans="1:11" x14ac:dyDescent="0.25">
      <c r="A448" s="3">
        <v>40942</v>
      </c>
      <c r="B448">
        <v>2506.09</v>
      </c>
      <c r="C448">
        <f t="shared" si="24"/>
        <v>1.0079839436257161</v>
      </c>
      <c r="D448">
        <v>432</v>
      </c>
      <c r="E448">
        <f t="shared" si="25"/>
        <v>0</v>
      </c>
      <c r="F448">
        <f t="shared" si="26"/>
        <v>0</v>
      </c>
      <c r="G448" t="str">
        <f t="shared" si="27"/>
        <v>extra</v>
      </c>
      <c r="J448">
        <v>417</v>
      </c>
      <c r="K448">
        <v>0.27067052946033132</v>
      </c>
    </row>
    <row r="449" spans="1:11" x14ac:dyDescent="0.25">
      <c r="A449" s="3">
        <v>40941</v>
      </c>
      <c r="B449">
        <v>2486.2399999999998</v>
      </c>
      <c r="C449">
        <f t="shared" si="24"/>
        <v>1.0235694671447804</v>
      </c>
      <c r="D449">
        <v>433</v>
      </c>
      <c r="E449">
        <f t="shared" si="25"/>
        <v>0</v>
      </c>
      <c r="F449">
        <f t="shared" si="26"/>
        <v>0</v>
      </c>
      <c r="G449" t="str">
        <f t="shared" si="27"/>
        <v>extra</v>
      </c>
      <c r="J449">
        <v>418</v>
      </c>
      <c r="K449">
        <v>0.27115343042263185</v>
      </c>
    </row>
    <row r="450" spans="1:11" x14ac:dyDescent="0.25">
      <c r="A450" s="3">
        <v>40940</v>
      </c>
      <c r="B450">
        <v>2428.9899999999998</v>
      </c>
      <c r="C450">
        <f t="shared" si="24"/>
        <v>0.98568738688287749</v>
      </c>
      <c r="D450">
        <v>434</v>
      </c>
      <c r="E450">
        <f t="shared" si="25"/>
        <v>0</v>
      </c>
      <c r="F450">
        <f t="shared" si="26"/>
        <v>0</v>
      </c>
      <c r="G450" t="str">
        <f t="shared" si="27"/>
        <v>extra</v>
      </c>
      <c r="J450">
        <v>419</v>
      </c>
      <c r="K450">
        <v>0.27117612205411973</v>
      </c>
    </row>
    <row r="451" spans="1:11" x14ac:dyDescent="0.25">
      <c r="A451" s="3">
        <v>40939</v>
      </c>
      <c r="B451">
        <v>2464.2600000000002</v>
      </c>
      <c r="C451">
        <f t="shared" si="24"/>
        <v>1.0014386033356093</v>
      </c>
      <c r="D451">
        <v>435</v>
      </c>
      <c r="E451">
        <f t="shared" si="25"/>
        <v>0</v>
      </c>
      <c r="F451">
        <f t="shared" si="26"/>
        <v>0</v>
      </c>
      <c r="G451" t="str">
        <f t="shared" si="27"/>
        <v>extra</v>
      </c>
      <c r="J451">
        <v>420</v>
      </c>
      <c r="K451">
        <v>0.27152717435569912</v>
      </c>
    </row>
    <row r="452" spans="1:11" x14ac:dyDescent="0.25">
      <c r="A452" s="3">
        <v>40938</v>
      </c>
      <c r="B452">
        <v>2460.7199999999998</v>
      </c>
      <c r="C452">
        <f t="shared" si="24"/>
        <v>0.9826803349719857</v>
      </c>
      <c r="D452">
        <v>436</v>
      </c>
      <c r="E452">
        <f t="shared" si="25"/>
        <v>0</v>
      </c>
      <c r="F452">
        <f t="shared" si="26"/>
        <v>0</v>
      </c>
      <c r="G452" t="str">
        <f t="shared" si="27"/>
        <v>extra</v>
      </c>
      <c r="J452">
        <v>421</v>
      </c>
      <c r="K452">
        <v>0.27166614492205376</v>
      </c>
    </row>
    <row r="453" spans="1:11" x14ac:dyDescent="0.25">
      <c r="A453" s="3">
        <v>40928</v>
      </c>
      <c r="B453">
        <v>2504.09</v>
      </c>
      <c r="C453">
        <f t="shared" si="24"/>
        <v>1.0144793080397838</v>
      </c>
      <c r="D453">
        <v>437</v>
      </c>
      <c r="E453">
        <f t="shared" si="25"/>
        <v>0</v>
      </c>
      <c r="F453">
        <f t="shared" si="26"/>
        <v>0</v>
      </c>
      <c r="G453" t="str">
        <f t="shared" si="27"/>
        <v>extra</v>
      </c>
      <c r="J453">
        <v>422</v>
      </c>
      <c r="K453">
        <v>0.27166939567042742</v>
      </c>
    </row>
    <row r="454" spans="1:11" x14ac:dyDescent="0.25">
      <c r="A454" s="3">
        <v>40927</v>
      </c>
      <c r="B454">
        <v>2468.35</v>
      </c>
      <c r="C454">
        <f t="shared" si="24"/>
        <v>1.0190571342462813</v>
      </c>
      <c r="D454">
        <v>438</v>
      </c>
      <c r="E454">
        <f t="shared" si="25"/>
        <v>0</v>
      </c>
      <c r="F454">
        <f t="shared" si="26"/>
        <v>0</v>
      </c>
      <c r="G454" t="str">
        <f t="shared" si="27"/>
        <v>extra</v>
      </c>
      <c r="J454">
        <v>423</v>
      </c>
      <c r="K454">
        <v>0.27166849428575612</v>
      </c>
    </row>
    <row r="455" spans="1:11" x14ac:dyDescent="0.25">
      <c r="A455" s="3">
        <v>40926</v>
      </c>
      <c r="B455">
        <v>2422.19</v>
      </c>
      <c r="C455">
        <f t="shared" si="24"/>
        <v>0.98438998618223206</v>
      </c>
      <c r="D455">
        <v>439</v>
      </c>
      <c r="E455">
        <f t="shared" si="25"/>
        <v>0</v>
      </c>
      <c r="F455">
        <f t="shared" si="26"/>
        <v>0</v>
      </c>
      <c r="G455" t="str">
        <f t="shared" si="27"/>
        <v>extra</v>
      </c>
      <c r="J455">
        <v>424</v>
      </c>
      <c r="K455">
        <v>0.27171580154090436</v>
      </c>
    </row>
    <row r="456" spans="1:11" x14ac:dyDescent="0.25">
      <c r="A456" s="3">
        <v>40925</v>
      </c>
      <c r="B456">
        <v>2460.6</v>
      </c>
      <c r="C456">
        <f t="shared" si="24"/>
        <v>1.0490056061219704</v>
      </c>
      <c r="D456">
        <v>440</v>
      </c>
      <c r="E456">
        <f t="shared" si="25"/>
        <v>0</v>
      </c>
      <c r="F456">
        <f t="shared" si="26"/>
        <v>0</v>
      </c>
      <c r="G456" t="str">
        <f t="shared" si="27"/>
        <v>extra</v>
      </c>
      <c r="J456">
        <v>425</v>
      </c>
      <c r="K456">
        <v>0.27193886487130964</v>
      </c>
    </row>
    <row r="457" spans="1:11" x14ac:dyDescent="0.25">
      <c r="A457" s="3">
        <v>40924</v>
      </c>
      <c r="B457">
        <v>2345.65</v>
      </c>
      <c r="C457">
        <f t="shared" si="24"/>
        <v>0.97966863381405245</v>
      </c>
      <c r="D457">
        <v>441</v>
      </c>
      <c r="E457">
        <f t="shared" si="25"/>
        <v>0</v>
      </c>
      <c r="F457">
        <f t="shared" si="26"/>
        <v>0</v>
      </c>
      <c r="G457" t="str">
        <f t="shared" si="27"/>
        <v>extra</v>
      </c>
      <c r="J457">
        <v>426</v>
      </c>
      <c r="K457">
        <v>0.27196313053475074</v>
      </c>
    </row>
    <row r="458" spans="1:11" x14ac:dyDescent="0.25">
      <c r="A458" s="3">
        <v>40921</v>
      </c>
      <c r="B458">
        <v>2394.33</v>
      </c>
      <c r="C458">
        <f t="shared" si="24"/>
        <v>0.9832089092566586</v>
      </c>
      <c r="D458">
        <v>442</v>
      </c>
      <c r="E458">
        <f t="shared" si="25"/>
        <v>0</v>
      </c>
      <c r="F458">
        <f t="shared" si="26"/>
        <v>0</v>
      </c>
      <c r="G458" t="str">
        <f t="shared" si="27"/>
        <v>extra</v>
      </c>
      <c r="J458">
        <v>427</v>
      </c>
      <c r="K458">
        <v>0.27196204022078124</v>
      </c>
    </row>
    <row r="459" spans="1:11" x14ac:dyDescent="0.25">
      <c r="A459" s="3">
        <v>40920</v>
      </c>
      <c r="B459">
        <v>2435.2199999999998</v>
      </c>
      <c r="C459">
        <f t="shared" si="24"/>
        <v>0.99983987584219136</v>
      </c>
      <c r="D459">
        <v>443</v>
      </c>
      <c r="E459">
        <f t="shared" si="25"/>
        <v>0</v>
      </c>
      <c r="F459">
        <f t="shared" si="26"/>
        <v>0</v>
      </c>
      <c r="G459" t="str">
        <f t="shared" si="27"/>
        <v>extra</v>
      </c>
      <c r="J459">
        <v>428</v>
      </c>
      <c r="K459">
        <v>0.27196726832403129</v>
      </c>
    </row>
    <row r="460" spans="1:11" x14ac:dyDescent="0.25">
      <c r="A460" s="3">
        <v>40919</v>
      </c>
      <c r="B460">
        <v>2435.61</v>
      </c>
      <c r="C460">
        <f t="shared" si="24"/>
        <v>0.99520297464604579</v>
      </c>
      <c r="D460">
        <v>444</v>
      </c>
      <c r="E460">
        <f t="shared" si="25"/>
        <v>0</v>
      </c>
      <c r="F460">
        <f t="shared" si="26"/>
        <v>0</v>
      </c>
      <c r="G460" t="str">
        <f t="shared" si="27"/>
        <v>extra</v>
      </c>
      <c r="J460">
        <v>429</v>
      </c>
      <c r="K460">
        <v>0.27196636407217584</v>
      </c>
    </row>
    <row r="461" spans="1:11" x14ac:dyDescent="0.25">
      <c r="A461" s="3">
        <v>40918</v>
      </c>
      <c r="B461">
        <v>2447.35</v>
      </c>
      <c r="C461">
        <f t="shared" si="24"/>
        <v>1.0332605749460644</v>
      </c>
      <c r="D461">
        <v>445</v>
      </c>
      <c r="E461">
        <f t="shared" si="25"/>
        <v>0</v>
      </c>
      <c r="F461">
        <f t="shared" si="26"/>
        <v>0</v>
      </c>
      <c r="G461" t="str">
        <f t="shared" si="27"/>
        <v>extra</v>
      </c>
      <c r="J461">
        <v>430</v>
      </c>
      <c r="K461">
        <v>0.2734435832470769</v>
      </c>
    </row>
    <row r="462" spans="1:11" x14ac:dyDescent="0.25">
      <c r="A462" s="3">
        <v>40917</v>
      </c>
      <c r="B462">
        <v>2368.5700000000002</v>
      </c>
      <c r="C462">
        <f t="shared" si="24"/>
        <v>1.0340391163887193</v>
      </c>
      <c r="D462">
        <v>446</v>
      </c>
      <c r="E462">
        <f t="shared" si="25"/>
        <v>0</v>
      </c>
      <c r="F462">
        <f t="shared" si="26"/>
        <v>0</v>
      </c>
      <c r="G462" t="str">
        <f t="shared" si="27"/>
        <v>extra</v>
      </c>
      <c r="J462">
        <v>431</v>
      </c>
      <c r="K462">
        <v>0.27407446172431527</v>
      </c>
    </row>
    <row r="463" spans="1:11" x14ac:dyDescent="0.25">
      <c r="A463" s="3">
        <v>40914</v>
      </c>
      <c r="B463">
        <v>2290.6</v>
      </c>
      <c r="C463">
        <f t="shared" si="24"/>
        <v>1.0062423398451057</v>
      </c>
      <c r="D463">
        <v>447</v>
      </c>
      <c r="E463">
        <f t="shared" si="25"/>
        <v>0</v>
      </c>
      <c r="F463">
        <f t="shared" si="26"/>
        <v>0</v>
      </c>
      <c r="G463" t="str">
        <f t="shared" si="27"/>
        <v>extra</v>
      </c>
      <c r="J463">
        <v>432</v>
      </c>
      <c r="K463">
        <v>0.27407355496082675</v>
      </c>
    </row>
    <row r="464" spans="1:11" x14ac:dyDescent="0.25">
      <c r="A464" s="3">
        <v>40913</v>
      </c>
      <c r="B464">
        <v>2276.39</v>
      </c>
      <c r="C464">
        <f t="shared" si="24"/>
        <v>0.99027297444263185</v>
      </c>
      <c r="D464">
        <v>448</v>
      </c>
      <c r="E464">
        <f t="shared" si="25"/>
        <v>0</v>
      </c>
      <c r="F464">
        <f t="shared" si="26"/>
        <v>0</v>
      </c>
      <c r="G464" t="str">
        <f t="shared" si="27"/>
        <v>extra</v>
      </c>
      <c r="J464">
        <v>433</v>
      </c>
      <c r="K464">
        <v>0.27419205011698145</v>
      </c>
    </row>
    <row r="465" spans="1:11" x14ac:dyDescent="0.25">
      <c r="A465" s="3">
        <v>40912</v>
      </c>
      <c r="B465">
        <v>2298.75</v>
      </c>
      <c r="C465">
        <f t="shared" si="24"/>
        <v>0.97996794188614267</v>
      </c>
      <c r="D465">
        <v>449</v>
      </c>
      <c r="E465">
        <f t="shared" si="25"/>
        <v>0</v>
      </c>
      <c r="F465">
        <f t="shared" si="26"/>
        <v>0</v>
      </c>
      <c r="G465" t="str">
        <f t="shared" si="27"/>
        <v>extra</v>
      </c>
      <c r="J465">
        <v>434</v>
      </c>
      <c r="K465">
        <v>0.2751917672218821</v>
      </c>
    </row>
    <row r="466" spans="1:11" x14ac:dyDescent="0.25">
      <c r="A466" s="3">
        <v>40907</v>
      </c>
      <c r="B466">
        <v>2345.7399999999998</v>
      </c>
      <c r="C466">
        <f t="shared" ref="C466:C529" si="28">B466/B467</f>
        <v>1.0148743596843415</v>
      </c>
      <c r="D466">
        <v>450</v>
      </c>
      <c r="E466">
        <f t="shared" ref="E466:E529" si="29">IF(D466&gt;$B$6,0,LN(C466))</f>
        <v>0</v>
      </c>
      <c r="F466">
        <f t="shared" ref="F466:F529" si="30">IF(D466&gt;$B$6,0,(E466-$B$7)^2)</f>
        <v>0</v>
      </c>
      <c r="G466" t="str">
        <f t="shared" ref="G466:G529" si="31">IF(D466&lt;=$B$6,E466,"extra")</f>
        <v>extra</v>
      </c>
      <c r="J466">
        <v>435</v>
      </c>
      <c r="K466">
        <v>0.27556455407036107</v>
      </c>
    </row>
    <row r="467" spans="1:11" x14ac:dyDescent="0.25">
      <c r="A467" s="3">
        <v>40906</v>
      </c>
      <c r="B467">
        <v>2311.36</v>
      </c>
      <c r="C467">
        <f t="shared" si="28"/>
        <v>1.0014861802567669</v>
      </c>
      <c r="D467">
        <v>451</v>
      </c>
      <c r="E467">
        <f t="shared" si="29"/>
        <v>0</v>
      </c>
      <c r="F467">
        <f t="shared" si="30"/>
        <v>0</v>
      </c>
      <c r="G467" t="str">
        <f t="shared" si="31"/>
        <v>extra</v>
      </c>
      <c r="J467">
        <v>436</v>
      </c>
      <c r="K467">
        <v>0.27556744253602122</v>
      </c>
    </row>
    <row r="468" spans="1:11" x14ac:dyDescent="0.25">
      <c r="A468" s="3">
        <v>40905</v>
      </c>
      <c r="B468">
        <v>2307.9299999999998</v>
      </c>
      <c r="C468">
        <f t="shared" si="28"/>
        <v>1.0012537743379724</v>
      </c>
      <c r="D468">
        <v>452</v>
      </c>
      <c r="E468">
        <f t="shared" si="29"/>
        <v>0</v>
      </c>
      <c r="F468">
        <f t="shared" si="30"/>
        <v>0</v>
      </c>
      <c r="G468" t="str">
        <f t="shared" si="31"/>
        <v>extra</v>
      </c>
      <c r="J468">
        <v>437</v>
      </c>
      <c r="K468">
        <v>0.27611391510229222</v>
      </c>
    </row>
    <row r="469" spans="1:11" x14ac:dyDescent="0.25">
      <c r="A469" s="3">
        <v>40904</v>
      </c>
      <c r="B469">
        <v>2305.04</v>
      </c>
      <c r="C469">
        <f t="shared" si="28"/>
        <v>0.9868733142098729</v>
      </c>
      <c r="D469">
        <v>453</v>
      </c>
      <c r="E469">
        <f t="shared" si="29"/>
        <v>0</v>
      </c>
      <c r="F469">
        <f t="shared" si="30"/>
        <v>0</v>
      </c>
      <c r="G469" t="str">
        <f t="shared" si="31"/>
        <v>extra</v>
      </c>
      <c r="J469">
        <v>438</v>
      </c>
      <c r="K469">
        <v>0.2764948813309428</v>
      </c>
    </row>
    <row r="470" spans="1:11" x14ac:dyDescent="0.25">
      <c r="A470" s="3">
        <v>40903</v>
      </c>
      <c r="B470">
        <v>2335.6999999999998</v>
      </c>
      <c r="C470">
        <f t="shared" si="28"/>
        <v>0.99005578256667626</v>
      </c>
      <c r="D470">
        <v>454</v>
      </c>
      <c r="E470">
        <f t="shared" si="29"/>
        <v>0</v>
      </c>
      <c r="F470">
        <f t="shared" si="30"/>
        <v>0</v>
      </c>
      <c r="G470" t="str">
        <f t="shared" si="31"/>
        <v>extra</v>
      </c>
      <c r="J470">
        <v>439</v>
      </c>
      <c r="K470">
        <v>0.27714625520093411</v>
      </c>
    </row>
    <row r="471" spans="1:11" x14ac:dyDescent="0.25">
      <c r="A471" s="3">
        <v>40900</v>
      </c>
      <c r="B471">
        <v>2359.16</v>
      </c>
      <c r="C471">
        <f t="shared" si="28"/>
        <v>1.0076110261645039</v>
      </c>
      <c r="D471">
        <v>455</v>
      </c>
      <c r="E471">
        <f t="shared" si="29"/>
        <v>0</v>
      </c>
      <c r="F471">
        <f t="shared" si="30"/>
        <v>0</v>
      </c>
      <c r="G471" t="str">
        <f t="shared" si="31"/>
        <v>extra</v>
      </c>
      <c r="J471">
        <v>440</v>
      </c>
      <c r="K471">
        <v>0.27758816904984901</v>
      </c>
    </row>
    <row r="472" spans="1:11" x14ac:dyDescent="0.25">
      <c r="A472" s="3">
        <v>40899</v>
      </c>
      <c r="B472">
        <v>2341.34</v>
      </c>
      <c r="C472">
        <f t="shared" si="28"/>
        <v>1.0009533540534647</v>
      </c>
      <c r="D472">
        <v>456</v>
      </c>
      <c r="E472">
        <f t="shared" si="29"/>
        <v>0</v>
      </c>
      <c r="F472">
        <f t="shared" si="30"/>
        <v>0</v>
      </c>
      <c r="G472" t="str">
        <f t="shared" si="31"/>
        <v>extra</v>
      </c>
      <c r="J472">
        <v>441</v>
      </c>
      <c r="K472">
        <v>0.28170642007284163</v>
      </c>
    </row>
    <row r="473" spans="1:11" x14ac:dyDescent="0.25">
      <c r="A473" s="3">
        <v>40898</v>
      </c>
      <c r="B473">
        <v>2339.11</v>
      </c>
      <c r="C473">
        <f t="shared" si="28"/>
        <v>0.98403076055816618</v>
      </c>
      <c r="D473">
        <v>457</v>
      </c>
      <c r="E473">
        <f t="shared" si="29"/>
        <v>0</v>
      </c>
      <c r="F473">
        <f t="shared" si="30"/>
        <v>0</v>
      </c>
      <c r="G473" t="str">
        <f t="shared" si="31"/>
        <v>extra</v>
      </c>
      <c r="J473">
        <v>442</v>
      </c>
      <c r="K473">
        <v>0.28245491086247571</v>
      </c>
    </row>
    <row r="474" spans="1:11" x14ac:dyDescent="0.25">
      <c r="A474" s="3">
        <v>40897</v>
      </c>
      <c r="B474">
        <v>2377.0700000000002</v>
      </c>
      <c r="C474">
        <f t="shared" si="28"/>
        <v>0.99692167035031742</v>
      </c>
      <c r="D474">
        <v>458</v>
      </c>
      <c r="E474">
        <f t="shared" si="29"/>
        <v>0</v>
      </c>
      <c r="F474">
        <f t="shared" si="30"/>
        <v>0</v>
      </c>
      <c r="G474" t="str">
        <f t="shared" si="31"/>
        <v>extra</v>
      </c>
      <c r="J474">
        <v>443</v>
      </c>
      <c r="K474">
        <v>0.2829592600773308</v>
      </c>
    </row>
    <row r="475" spans="1:11" x14ac:dyDescent="0.25">
      <c r="A475" s="3">
        <v>40896</v>
      </c>
      <c r="B475">
        <v>2384.41</v>
      </c>
      <c r="C475">
        <f t="shared" si="28"/>
        <v>0.99760682473338258</v>
      </c>
      <c r="D475">
        <v>459</v>
      </c>
      <c r="E475">
        <f t="shared" si="29"/>
        <v>0</v>
      </c>
      <c r="F475">
        <f t="shared" si="30"/>
        <v>0</v>
      </c>
      <c r="G475" t="str">
        <f t="shared" si="31"/>
        <v>extra</v>
      </c>
      <c r="J475">
        <v>444</v>
      </c>
      <c r="K475">
        <v>0.28295782637844669</v>
      </c>
    </row>
    <row r="476" spans="1:11" x14ac:dyDescent="0.25">
      <c r="A476" s="3">
        <v>40893</v>
      </c>
      <c r="B476">
        <v>2390.13</v>
      </c>
      <c r="C476">
        <f t="shared" si="28"/>
        <v>1.0210783538890718</v>
      </c>
      <c r="D476">
        <v>460</v>
      </c>
      <c r="E476">
        <f t="shared" si="29"/>
        <v>0</v>
      </c>
      <c r="F476">
        <f t="shared" si="30"/>
        <v>0</v>
      </c>
      <c r="G476" t="str">
        <f t="shared" si="31"/>
        <v>extra</v>
      </c>
      <c r="J476">
        <v>445</v>
      </c>
      <c r="K476">
        <v>0.28299598307432378</v>
      </c>
    </row>
    <row r="477" spans="1:11" x14ac:dyDescent="0.25">
      <c r="A477" s="3">
        <v>40892</v>
      </c>
      <c r="B477">
        <v>2340.79</v>
      </c>
      <c r="C477">
        <f t="shared" si="28"/>
        <v>0.97635433872232513</v>
      </c>
      <c r="D477">
        <v>461</v>
      </c>
      <c r="E477">
        <f t="shared" si="29"/>
        <v>0</v>
      </c>
      <c r="F477">
        <f t="shared" si="30"/>
        <v>0</v>
      </c>
      <c r="G477" t="str">
        <f t="shared" si="31"/>
        <v>extra</v>
      </c>
      <c r="J477">
        <v>446</v>
      </c>
      <c r="K477">
        <v>0.28489443565482997</v>
      </c>
    </row>
    <row r="478" spans="1:11" x14ac:dyDescent="0.25">
      <c r="A478" s="3">
        <v>40891</v>
      </c>
      <c r="B478">
        <v>2397.48</v>
      </c>
      <c r="C478">
        <f t="shared" si="28"/>
        <v>0.98990474538900797</v>
      </c>
      <c r="D478">
        <v>462</v>
      </c>
      <c r="E478">
        <f t="shared" si="29"/>
        <v>0</v>
      </c>
      <c r="F478">
        <f t="shared" si="30"/>
        <v>0</v>
      </c>
      <c r="G478" t="str">
        <f t="shared" si="31"/>
        <v>extra</v>
      </c>
      <c r="J478">
        <v>447</v>
      </c>
      <c r="K478">
        <v>0.28685900587730417</v>
      </c>
    </row>
    <row r="479" spans="1:11" x14ac:dyDescent="0.25">
      <c r="A479" s="3">
        <v>40890</v>
      </c>
      <c r="B479">
        <v>2421.9299999999998</v>
      </c>
      <c r="C479">
        <f t="shared" si="28"/>
        <v>0.97749516686914006</v>
      </c>
      <c r="D479">
        <v>463</v>
      </c>
      <c r="E479">
        <f t="shared" si="29"/>
        <v>0</v>
      </c>
      <c r="F479">
        <f t="shared" si="30"/>
        <v>0</v>
      </c>
      <c r="G479" t="str">
        <f t="shared" si="31"/>
        <v>extra</v>
      </c>
      <c r="J479">
        <v>448</v>
      </c>
      <c r="K479">
        <v>0.28692395158237405</v>
      </c>
    </row>
    <row r="480" spans="1:11" x14ac:dyDescent="0.25">
      <c r="A480" s="3">
        <v>40889</v>
      </c>
      <c r="B480">
        <v>2477.69</v>
      </c>
      <c r="C480">
        <f t="shared" si="28"/>
        <v>0.98970624655476824</v>
      </c>
      <c r="D480">
        <v>464</v>
      </c>
      <c r="E480">
        <f t="shared" si="29"/>
        <v>0</v>
      </c>
      <c r="F480">
        <f t="shared" si="30"/>
        <v>0</v>
      </c>
      <c r="G480" t="str">
        <f t="shared" si="31"/>
        <v>extra</v>
      </c>
      <c r="J480">
        <v>449</v>
      </c>
      <c r="K480">
        <v>0.28709180136472234</v>
      </c>
    </row>
    <row r="481" spans="1:11" x14ac:dyDescent="0.25">
      <c r="A481" s="3">
        <v>40886</v>
      </c>
      <c r="B481">
        <v>2503.46</v>
      </c>
      <c r="C481">
        <f t="shared" si="28"/>
        <v>0.99146930693069313</v>
      </c>
      <c r="D481">
        <v>465</v>
      </c>
      <c r="E481">
        <f t="shared" si="29"/>
        <v>0</v>
      </c>
      <c r="F481">
        <f t="shared" si="30"/>
        <v>0</v>
      </c>
      <c r="G481" t="str">
        <f t="shared" si="31"/>
        <v>extra</v>
      </c>
      <c r="J481">
        <v>450</v>
      </c>
      <c r="K481">
        <v>0.28780773803420551</v>
      </c>
    </row>
    <row r="482" spans="1:11" x14ac:dyDescent="0.25">
      <c r="A482" s="3">
        <v>40885</v>
      </c>
      <c r="B482">
        <v>2525</v>
      </c>
      <c r="C482">
        <f t="shared" si="28"/>
        <v>0.99872242636152564</v>
      </c>
      <c r="D482">
        <v>466</v>
      </c>
      <c r="E482">
        <f t="shared" si="29"/>
        <v>0</v>
      </c>
      <c r="F482">
        <f t="shared" si="30"/>
        <v>0</v>
      </c>
      <c r="G482" t="str">
        <f t="shared" si="31"/>
        <v>extra</v>
      </c>
      <c r="J482">
        <v>451</v>
      </c>
      <c r="K482">
        <v>0.28818538910023406</v>
      </c>
    </row>
    <row r="483" spans="1:11" x14ac:dyDescent="0.25">
      <c r="A483" s="3">
        <v>40884</v>
      </c>
      <c r="B483">
        <v>2528.23</v>
      </c>
      <c r="C483">
        <f t="shared" si="28"/>
        <v>1.0047251166376563</v>
      </c>
      <c r="D483">
        <v>467</v>
      </c>
      <c r="E483">
        <f t="shared" si="29"/>
        <v>0</v>
      </c>
      <c r="F483">
        <f t="shared" si="30"/>
        <v>0</v>
      </c>
      <c r="G483" t="str">
        <f t="shared" si="31"/>
        <v>extra</v>
      </c>
      <c r="J483">
        <v>452</v>
      </c>
      <c r="K483">
        <v>0.28818761264920811</v>
      </c>
    </row>
    <row r="484" spans="1:11" x14ac:dyDescent="0.25">
      <c r="A484" s="3">
        <v>40883</v>
      </c>
      <c r="B484">
        <v>2516.34</v>
      </c>
      <c r="C484">
        <f t="shared" si="28"/>
        <v>0.99799713650010524</v>
      </c>
      <c r="D484">
        <v>468</v>
      </c>
      <c r="E484">
        <f t="shared" si="29"/>
        <v>0</v>
      </c>
      <c r="F484">
        <f t="shared" si="30"/>
        <v>0</v>
      </c>
      <c r="G484" t="str">
        <f t="shared" si="31"/>
        <v>extra</v>
      </c>
      <c r="J484">
        <v>453</v>
      </c>
      <c r="K484">
        <v>0.28818875420403844</v>
      </c>
    </row>
    <row r="485" spans="1:11" x14ac:dyDescent="0.25">
      <c r="A485" s="3">
        <v>40882</v>
      </c>
      <c r="B485">
        <v>2521.39</v>
      </c>
      <c r="C485">
        <f t="shared" si="28"/>
        <v>0.98595399071680789</v>
      </c>
      <c r="D485">
        <v>469</v>
      </c>
      <c r="E485">
        <f t="shared" si="29"/>
        <v>0</v>
      </c>
      <c r="F485">
        <f t="shared" si="30"/>
        <v>0</v>
      </c>
      <c r="G485" t="str">
        <f t="shared" si="31"/>
        <v>extra</v>
      </c>
      <c r="J485">
        <v>454</v>
      </c>
      <c r="K485">
        <v>0.28849277900320397</v>
      </c>
    </row>
    <row r="486" spans="1:11" x14ac:dyDescent="0.25">
      <c r="A486" s="3">
        <v>40879</v>
      </c>
      <c r="B486">
        <v>2557.31</v>
      </c>
      <c r="C486">
        <f t="shared" si="28"/>
        <v>0.98982044503620892</v>
      </c>
      <c r="D486">
        <v>470</v>
      </c>
      <c r="E486">
        <f t="shared" si="29"/>
        <v>0</v>
      </c>
      <c r="F486">
        <f t="shared" si="30"/>
        <v>0</v>
      </c>
      <c r="G486" t="str">
        <f t="shared" si="31"/>
        <v>extra</v>
      </c>
      <c r="J486">
        <v>455</v>
      </c>
      <c r="K486">
        <v>0.2886653042522615</v>
      </c>
    </row>
    <row r="487" spans="1:11" x14ac:dyDescent="0.25">
      <c r="A487" s="3">
        <v>40878</v>
      </c>
      <c r="B487">
        <v>2583.61</v>
      </c>
      <c r="C487">
        <f t="shared" si="28"/>
        <v>1.0246240362955679</v>
      </c>
      <c r="D487">
        <v>471</v>
      </c>
      <c r="E487">
        <f t="shared" si="29"/>
        <v>0</v>
      </c>
      <c r="F487">
        <f t="shared" si="30"/>
        <v>0</v>
      </c>
      <c r="G487" t="str">
        <f t="shared" si="31"/>
        <v>extra</v>
      </c>
      <c r="J487">
        <v>456</v>
      </c>
      <c r="K487">
        <v>0.28876389531038188</v>
      </c>
    </row>
    <row r="488" spans="1:11" x14ac:dyDescent="0.25">
      <c r="A488" s="3">
        <v>40877</v>
      </c>
      <c r="B488">
        <v>2521.52</v>
      </c>
      <c r="C488">
        <f t="shared" si="28"/>
        <v>0.96662922597438439</v>
      </c>
      <c r="D488">
        <v>472</v>
      </c>
      <c r="E488">
        <f t="shared" si="29"/>
        <v>0</v>
      </c>
      <c r="F488">
        <f t="shared" si="30"/>
        <v>0</v>
      </c>
      <c r="G488" t="str">
        <f t="shared" si="31"/>
        <v>extra</v>
      </c>
      <c r="J488">
        <v>457</v>
      </c>
      <c r="K488">
        <v>0.28876405028325985</v>
      </c>
    </row>
    <row r="489" spans="1:11" x14ac:dyDescent="0.25">
      <c r="A489" s="3">
        <v>40876</v>
      </c>
      <c r="B489">
        <v>2608.5700000000002</v>
      </c>
      <c r="C489">
        <f t="shared" si="28"/>
        <v>1.0136982575039248</v>
      </c>
      <c r="D489">
        <v>473</v>
      </c>
      <c r="E489">
        <f t="shared" si="29"/>
        <v>0</v>
      </c>
      <c r="F489">
        <f t="shared" si="30"/>
        <v>0</v>
      </c>
      <c r="G489" t="str">
        <f t="shared" si="31"/>
        <v>extra</v>
      </c>
      <c r="J489">
        <v>458</v>
      </c>
      <c r="K489">
        <v>0.28921262735447656</v>
      </c>
    </row>
    <row r="490" spans="1:11" x14ac:dyDescent="0.25">
      <c r="A490" s="3">
        <v>40875</v>
      </c>
      <c r="B490">
        <v>2573.3200000000002</v>
      </c>
      <c r="C490">
        <f t="shared" si="28"/>
        <v>1.0013035171616791</v>
      </c>
      <c r="D490">
        <v>474</v>
      </c>
      <c r="E490">
        <f t="shared" si="29"/>
        <v>0</v>
      </c>
      <c r="F490">
        <f t="shared" si="30"/>
        <v>0</v>
      </c>
      <c r="G490" t="str">
        <f t="shared" si="31"/>
        <v>extra</v>
      </c>
      <c r="J490">
        <v>459</v>
      </c>
      <c r="K490">
        <v>0.28922745480677059</v>
      </c>
    </row>
    <row r="491" spans="1:11" x14ac:dyDescent="0.25">
      <c r="A491" s="3">
        <v>40872</v>
      </c>
      <c r="B491">
        <v>2569.9699999999998</v>
      </c>
      <c r="C491">
        <f t="shared" si="28"/>
        <v>0.99268034547224315</v>
      </c>
      <c r="D491">
        <v>475</v>
      </c>
      <c r="E491">
        <f t="shared" si="29"/>
        <v>0</v>
      </c>
      <c r="F491">
        <f t="shared" si="30"/>
        <v>0</v>
      </c>
      <c r="G491" t="str">
        <f t="shared" si="31"/>
        <v>extra</v>
      </c>
      <c r="J491">
        <v>460</v>
      </c>
      <c r="K491">
        <v>0.28923576904281201</v>
      </c>
    </row>
    <row r="492" spans="1:11" x14ac:dyDescent="0.25">
      <c r="A492" s="3">
        <v>40871</v>
      </c>
      <c r="B492">
        <v>2588.92</v>
      </c>
      <c r="C492">
        <f t="shared" si="28"/>
        <v>1.0019001474452498</v>
      </c>
      <c r="D492">
        <v>476</v>
      </c>
      <c r="E492">
        <f t="shared" si="29"/>
        <v>0</v>
      </c>
      <c r="F492">
        <f t="shared" si="30"/>
        <v>0</v>
      </c>
      <c r="G492" t="str">
        <f t="shared" si="31"/>
        <v>extra</v>
      </c>
      <c r="J492">
        <v>461</v>
      </c>
      <c r="K492">
        <v>0.28998984190775179</v>
      </c>
    </row>
    <row r="493" spans="1:11" x14ac:dyDescent="0.25">
      <c r="A493" s="3">
        <v>40870</v>
      </c>
      <c r="B493">
        <v>2584.0100000000002</v>
      </c>
      <c r="C493">
        <f t="shared" si="28"/>
        <v>0.99023943467664066</v>
      </c>
      <c r="D493">
        <v>477</v>
      </c>
      <c r="E493">
        <f t="shared" si="29"/>
        <v>0</v>
      </c>
      <c r="F493">
        <f t="shared" si="30"/>
        <v>0</v>
      </c>
      <c r="G493" t="str">
        <f t="shared" si="31"/>
        <v>extra</v>
      </c>
      <c r="J493">
        <v>462</v>
      </c>
      <c r="K493">
        <v>0.29097702694417538</v>
      </c>
    </row>
    <row r="494" spans="1:11" x14ac:dyDescent="0.25">
      <c r="A494" s="3">
        <v>40869</v>
      </c>
      <c r="B494">
        <v>2609.48</v>
      </c>
      <c r="C494">
        <f t="shared" si="28"/>
        <v>0.99991953067222539</v>
      </c>
      <c r="D494">
        <v>478</v>
      </c>
      <c r="E494">
        <f t="shared" si="29"/>
        <v>0</v>
      </c>
      <c r="F494">
        <f t="shared" si="30"/>
        <v>0</v>
      </c>
      <c r="G494" t="str">
        <f t="shared" si="31"/>
        <v>extra</v>
      </c>
      <c r="J494">
        <v>463</v>
      </c>
      <c r="K494">
        <v>0.29115141028257463</v>
      </c>
    </row>
    <row r="495" spans="1:11" x14ac:dyDescent="0.25">
      <c r="A495" s="3">
        <v>40868</v>
      </c>
      <c r="B495">
        <v>2609.69</v>
      </c>
      <c r="C495">
        <f t="shared" si="28"/>
        <v>1.0012238634183772</v>
      </c>
      <c r="D495">
        <v>479</v>
      </c>
      <c r="E495">
        <f t="shared" si="29"/>
        <v>0</v>
      </c>
      <c r="F495">
        <f t="shared" si="30"/>
        <v>0</v>
      </c>
      <c r="G495" t="str">
        <f t="shared" si="31"/>
        <v>extra</v>
      </c>
      <c r="J495">
        <v>464</v>
      </c>
      <c r="K495">
        <v>0.29203532883497169</v>
      </c>
    </row>
    <row r="496" spans="1:11" x14ac:dyDescent="0.25">
      <c r="A496" s="3">
        <v>40865</v>
      </c>
      <c r="B496">
        <v>2606.5</v>
      </c>
      <c r="C496">
        <f t="shared" si="28"/>
        <v>0.9791436578237579</v>
      </c>
      <c r="D496">
        <v>480</v>
      </c>
      <c r="E496">
        <f t="shared" si="29"/>
        <v>0</v>
      </c>
      <c r="F496">
        <f t="shared" si="30"/>
        <v>0</v>
      </c>
      <c r="G496" t="str">
        <f t="shared" si="31"/>
        <v>extra</v>
      </c>
      <c r="J496">
        <v>465</v>
      </c>
      <c r="K496">
        <v>0.2922136023173697</v>
      </c>
    </row>
    <row r="497" spans="1:11" x14ac:dyDescent="0.25">
      <c r="A497" s="3">
        <v>40864</v>
      </c>
      <c r="B497">
        <v>2662.02</v>
      </c>
      <c r="C497">
        <f t="shared" si="28"/>
        <v>0.99696642847512473</v>
      </c>
      <c r="D497">
        <v>481</v>
      </c>
      <c r="E497">
        <f t="shared" si="29"/>
        <v>0</v>
      </c>
      <c r="F497">
        <f t="shared" si="30"/>
        <v>0</v>
      </c>
      <c r="G497" t="str">
        <f t="shared" si="31"/>
        <v>extra</v>
      </c>
      <c r="J497">
        <v>466</v>
      </c>
      <c r="K497">
        <v>0.29233412909958967</v>
      </c>
    </row>
    <row r="498" spans="1:11" x14ac:dyDescent="0.25">
      <c r="A498" s="3">
        <v>40863</v>
      </c>
      <c r="B498">
        <v>2670.12</v>
      </c>
      <c r="C498">
        <f t="shared" si="28"/>
        <v>0.972834720258828</v>
      </c>
      <c r="D498">
        <v>482</v>
      </c>
      <c r="E498">
        <f t="shared" si="29"/>
        <v>0</v>
      </c>
      <c r="F498">
        <f t="shared" si="30"/>
        <v>0</v>
      </c>
      <c r="G498" t="str">
        <f t="shared" si="31"/>
        <v>extra</v>
      </c>
      <c r="J498">
        <v>467</v>
      </c>
      <c r="K498">
        <v>0.29233494777976476</v>
      </c>
    </row>
    <row r="499" spans="1:11" x14ac:dyDescent="0.25">
      <c r="A499" s="3">
        <v>40862</v>
      </c>
      <c r="B499">
        <v>2744.68</v>
      </c>
      <c r="C499">
        <f t="shared" si="28"/>
        <v>0.99799287324558217</v>
      </c>
      <c r="D499">
        <v>483</v>
      </c>
      <c r="E499">
        <f t="shared" si="29"/>
        <v>0</v>
      </c>
      <c r="F499">
        <f t="shared" si="30"/>
        <v>0</v>
      </c>
      <c r="G499" t="str">
        <f t="shared" si="31"/>
        <v>extra</v>
      </c>
      <c r="J499">
        <v>468</v>
      </c>
      <c r="K499">
        <v>0.29237425658226424</v>
      </c>
    </row>
    <row r="500" spans="1:11" x14ac:dyDescent="0.25">
      <c r="A500" s="3">
        <v>40861</v>
      </c>
      <c r="B500">
        <v>2750.2</v>
      </c>
      <c r="C500">
        <f t="shared" si="28"/>
        <v>1.0204823747680889</v>
      </c>
      <c r="D500">
        <v>484</v>
      </c>
      <c r="E500">
        <f t="shared" si="29"/>
        <v>0</v>
      </c>
      <c r="F500">
        <f t="shared" si="30"/>
        <v>0</v>
      </c>
      <c r="G500" t="str">
        <f t="shared" si="31"/>
        <v>extra</v>
      </c>
      <c r="J500">
        <v>469</v>
      </c>
      <c r="K500">
        <v>0.29237884203147352</v>
      </c>
    </row>
    <row r="501" spans="1:11" x14ac:dyDescent="0.25">
      <c r="A501" s="3">
        <v>40858</v>
      </c>
      <c r="B501">
        <v>2695</v>
      </c>
      <c r="C501">
        <f t="shared" si="28"/>
        <v>0.99829974181264558</v>
      </c>
      <c r="D501">
        <v>485</v>
      </c>
      <c r="E501">
        <f t="shared" si="29"/>
        <v>0</v>
      </c>
      <c r="F501">
        <f t="shared" si="30"/>
        <v>0</v>
      </c>
      <c r="G501" t="str">
        <f t="shared" si="31"/>
        <v>extra</v>
      </c>
      <c r="J501">
        <v>470</v>
      </c>
      <c r="K501">
        <v>0.29271301540623262</v>
      </c>
    </row>
    <row r="502" spans="1:11" x14ac:dyDescent="0.25">
      <c r="A502" s="3">
        <v>40857</v>
      </c>
      <c r="B502">
        <v>2699.59</v>
      </c>
      <c r="C502">
        <f t="shared" si="28"/>
        <v>0.9810804426435048</v>
      </c>
      <c r="D502">
        <v>486</v>
      </c>
      <c r="E502">
        <f t="shared" si="29"/>
        <v>0</v>
      </c>
      <c r="F502">
        <f t="shared" si="30"/>
        <v>0</v>
      </c>
      <c r="G502" t="str">
        <f t="shared" si="31"/>
        <v>extra</v>
      </c>
      <c r="J502">
        <v>471</v>
      </c>
      <c r="K502">
        <v>0.29288460563578977</v>
      </c>
    </row>
    <row r="503" spans="1:11" x14ac:dyDescent="0.25">
      <c r="A503" s="3">
        <v>40856</v>
      </c>
      <c r="B503">
        <v>2751.65</v>
      </c>
      <c r="C503">
        <f t="shared" si="28"/>
        <v>1.008776592819618</v>
      </c>
      <c r="D503">
        <v>487</v>
      </c>
      <c r="E503">
        <f t="shared" si="29"/>
        <v>0</v>
      </c>
      <c r="F503">
        <f t="shared" si="30"/>
        <v>0</v>
      </c>
      <c r="G503" t="str">
        <f t="shared" si="31"/>
        <v>extra</v>
      </c>
      <c r="J503">
        <v>472</v>
      </c>
      <c r="K503">
        <v>0.29391062431595688</v>
      </c>
    </row>
    <row r="504" spans="1:11" x14ac:dyDescent="0.25">
      <c r="A504" s="3">
        <v>40855</v>
      </c>
      <c r="B504">
        <v>2727.71</v>
      </c>
      <c r="C504">
        <f t="shared" si="28"/>
        <v>0.99687894015532208</v>
      </c>
      <c r="D504">
        <v>488</v>
      </c>
      <c r="E504">
        <f t="shared" si="29"/>
        <v>0</v>
      </c>
      <c r="F504">
        <f t="shared" si="30"/>
        <v>0</v>
      </c>
      <c r="G504" t="str">
        <f t="shared" si="31"/>
        <v>extra</v>
      </c>
      <c r="J504">
        <v>473</v>
      </c>
      <c r="K504">
        <v>0.29584954655540696</v>
      </c>
    </row>
    <row r="505" spans="1:11" x14ac:dyDescent="0.25">
      <c r="A505" s="3">
        <v>40854</v>
      </c>
      <c r="B505">
        <v>2736.25</v>
      </c>
      <c r="C505">
        <f t="shared" si="28"/>
        <v>0.99004975124378114</v>
      </c>
      <c r="D505">
        <v>489</v>
      </c>
      <c r="E505">
        <f t="shared" si="29"/>
        <v>0</v>
      </c>
      <c r="F505">
        <f t="shared" si="30"/>
        <v>0</v>
      </c>
      <c r="G505" t="str">
        <f t="shared" si="31"/>
        <v>extra</v>
      </c>
      <c r="J505">
        <v>474</v>
      </c>
      <c r="K505">
        <v>0.29617178555821932</v>
      </c>
    </row>
    <row r="506" spans="1:11" x14ac:dyDescent="0.25">
      <c r="A506" s="3">
        <v>40851</v>
      </c>
      <c r="B506">
        <v>2763.75</v>
      </c>
      <c r="C506">
        <f t="shared" si="28"/>
        <v>1.0070874175563895</v>
      </c>
      <c r="D506">
        <v>490</v>
      </c>
      <c r="E506">
        <f t="shared" si="29"/>
        <v>0</v>
      </c>
      <c r="F506">
        <f t="shared" si="30"/>
        <v>0</v>
      </c>
      <c r="G506" t="str">
        <f t="shared" si="31"/>
        <v>extra</v>
      </c>
      <c r="J506">
        <v>475</v>
      </c>
      <c r="K506">
        <v>0.29617424032878042</v>
      </c>
    </row>
    <row r="507" spans="1:11" x14ac:dyDescent="0.25">
      <c r="A507" s="3">
        <v>40850</v>
      </c>
      <c r="B507">
        <v>2744.3</v>
      </c>
      <c r="C507">
        <f t="shared" si="28"/>
        <v>1.0006964727846879</v>
      </c>
      <c r="D507">
        <v>491</v>
      </c>
      <c r="E507">
        <f t="shared" si="29"/>
        <v>0</v>
      </c>
      <c r="F507">
        <f t="shared" si="30"/>
        <v>0</v>
      </c>
      <c r="G507" t="str">
        <f t="shared" si="31"/>
        <v>extra</v>
      </c>
      <c r="J507">
        <v>476</v>
      </c>
      <c r="K507">
        <v>0.29625960372443139</v>
      </c>
    </row>
    <row r="508" spans="1:11" x14ac:dyDescent="0.25">
      <c r="A508" s="3">
        <v>40849</v>
      </c>
      <c r="B508">
        <v>2742.39</v>
      </c>
      <c r="C508">
        <f t="shared" si="28"/>
        <v>1.0166300282109928</v>
      </c>
      <c r="D508">
        <v>492</v>
      </c>
      <c r="E508">
        <f t="shared" si="29"/>
        <v>0</v>
      </c>
      <c r="F508">
        <f t="shared" si="30"/>
        <v>0</v>
      </c>
      <c r="G508" t="str">
        <f t="shared" si="31"/>
        <v>extra</v>
      </c>
      <c r="J508">
        <v>477</v>
      </c>
      <c r="K508">
        <v>0.29626576268789323</v>
      </c>
    </row>
    <row r="509" spans="1:11" x14ac:dyDescent="0.25">
      <c r="A509" s="3">
        <v>40848</v>
      </c>
      <c r="B509">
        <v>2697.53</v>
      </c>
      <c r="C509">
        <f t="shared" si="28"/>
        <v>1.0008236529378811</v>
      </c>
      <c r="D509">
        <v>493</v>
      </c>
      <c r="E509">
        <f t="shared" si="29"/>
        <v>0</v>
      </c>
      <c r="F509">
        <f t="shared" si="30"/>
        <v>0</v>
      </c>
      <c r="G509" t="str">
        <f t="shared" si="31"/>
        <v>extra</v>
      </c>
      <c r="J509">
        <v>478</v>
      </c>
      <c r="K509">
        <v>0.29642059584578551</v>
      </c>
    </row>
    <row r="510" spans="1:11" x14ac:dyDescent="0.25">
      <c r="A510" s="3">
        <v>40847</v>
      </c>
      <c r="B510">
        <v>2695.31</v>
      </c>
      <c r="C510">
        <f t="shared" si="28"/>
        <v>0.99493912927922268</v>
      </c>
      <c r="D510">
        <v>494</v>
      </c>
      <c r="E510">
        <f t="shared" si="29"/>
        <v>0</v>
      </c>
      <c r="F510">
        <f t="shared" si="30"/>
        <v>0</v>
      </c>
      <c r="G510" t="str">
        <f t="shared" si="31"/>
        <v>extra</v>
      </c>
      <c r="J510">
        <v>479</v>
      </c>
      <c r="K510">
        <v>0.29641932818671668</v>
      </c>
    </row>
    <row r="511" spans="1:11" x14ac:dyDescent="0.25">
      <c r="A511" s="3">
        <v>40844</v>
      </c>
      <c r="B511">
        <v>2709.02</v>
      </c>
      <c r="C511">
        <f t="shared" si="28"/>
        <v>1.0193943134096963</v>
      </c>
      <c r="D511">
        <v>495</v>
      </c>
      <c r="E511">
        <f t="shared" si="29"/>
        <v>0</v>
      </c>
      <c r="F511">
        <f t="shared" si="30"/>
        <v>0</v>
      </c>
      <c r="G511" t="str">
        <f t="shared" si="31"/>
        <v>extra</v>
      </c>
      <c r="J511">
        <v>480</v>
      </c>
      <c r="K511">
        <v>0.29642154711029245</v>
      </c>
    </row>
    <row r="512" spans="1:11" x14ac:dyDescent="0.25">
      <c r="A512" s="3">
        <v>40843</v>
      </c>
      <c r="B512">
        <v>2657.48</v>
      </c>
      <c r="C512">
        <f t="shared" si="28"/>
        <v>1.0021986310410498</v>
      </c>
      <c r="D512">
        <v>496</v>
      </c>
      <c r="E512">
        <f t="shared" si="29"/>
        <v>0</v>
      </c>
      <c r="F512">
        <f t="shared" si="30"/>
        <v>0</v>
      </c>
      <c r="G512" t="str">
        <f t="shared" si="31"/>
        <v>extra</v>
      </c>
      <c r="J512">
        <v>481</v>
      </c>
      <c r="K512">
        <v>0.29715495826674665</v>
      </c>
    </row>
    <row r="513" spans="1:11" x14ac:dyDescent="0.25">
      <c r="A513" s="3">
        <v>40842</v>
      </c>
      <c r="B513">
        <v>2651.65</v>
      </c>
      <c r="C513">
        <f t="shared" si="28"/>
        <v>1.0099869354734272</v>
      </c>
      <c r="D513">
        <v>497</v>
      </c>
      <c r="E513">
        <f t="shared" si="29"/>
        <v>0</v>
      </c>
      <c r="F513">
        <f t="shared" si="30"/>
        <v>0</v>
      </c>
      <c r="G513" t="str">
        <f t="shared" si="31"/>
        <v>extra</v>
      </c>
      <c r="J513">
        <v>482</v>
      </c>
      <c r="K513">
        <v>0.297166693572394</v>
      </c>
    </row>
    <row r="514" spans="1:11" x14ac:dyDescent="0.25">
      <c r="A514" s="3">
        <v>40841</v>
      </c>
      <c r="B514">
        <v>2625.43</v>
      </c>
      <c r="C514">
        <f t="shared" si="28"/>
        <v>1.0189236495166241</v>
      </c>
      <c r="D514">
        <v>498</v>
      </c>
      <c r="E514">
        <f t="shared" si="29"/>
        <v>0</v>
      </c>
      <c r="F514">
        <f t="shared" si="30"/>
        <v>0</v>
      </c>
      <c r="G514" t="str">
        <f t="shared" si="31"/>
        <v>extra</v>
      </c>
      <c r="J514">
        <v>483</v>
      </c>
      <c r="K514">
        <v>0.29841718713434218</v>
      </c>
    </row>
    <row r="515" spans="1:11" x14ac:dyDescent="0.25">
      <c r="A515" s="3">
        <v>40840</v>
      </c>
      <c r="B515">
        <v>2576.67</v>
      </c>
      <c r="C515">
        <f t="shared" si="28"/>
        <v>1.0274295420833532</v>
      </c>
      <c r="D515">
        <v>499</v>
      </c>
      <c r="E515">
        <f t="shared" si="29"/>
        <v>0</v>
      </c>
      <c r="F515">
        <f t="shared" si="30"/>
        <v>0</v>
      </c>
      <c r="G515" t="str">
        <f t="shared" si="31"/>
        <v>extra</v>
      </c>
      <c r="J515">
        <v>484</v>
      </c>
      <c r="K515">
        <v>0.29842068753332618</v>
      </c>
    </row>
    <row r="516" spans="1:11" x14ac:dyDescent="0.25">
      <c r="A516" s="3">
        <v>40837</v>
      </c>
      <c r="B516">
        <v>2507.88</v>
      </c>
      <c r="C516">
        <f t="shared" si="28"/>
        <v>0.99498121426842767</v>
      </c>
      <c r="D516">
        <v>500</v>
      </c>
      <c r="E516">
        <f t="shared" si="29"/>
        <v>0</v>
      </c>
      <c r="F516">
        <f t="shared" si="30"/>
        <v>0</v>
      </c>
      <c r="G516" t="str">
        <f t="shared" si="31"/>
        <v>extra</v>
      </c>
      <c r="J516">
        <v>485</v>
      </c>
      <c r="K516">
        <v>0.29913107015224633</v>
      </c>
    </row>
    <row r="517" spans="1:11" x14ac:dyDescent="0.25">
      <c r="A517" s="3">
        <v>40836</v>
      </c>
      <c r="B517">
        <v>2520.5300000000002</v>
      </c>
      <c r="C517">
        <f t="shared" si="28"/>
        <v>0.97578472211468492</v>
      </c>
      <c r="D517">
        <v>501</v>
      </c>
      <c r="E517">
        <f t="shared" si="29"/>
        <v>0</v>
      </c>
      <c r="F517">
        <f t="shared" si="30"/>
        <v>0</v>
      </c>
      <c r="G517" t="str">
        <f t="shared" si="31"/>
        <v>extra</v>
      </c>
      <c r="J517">
        <v>486</v>
      </c>
      <c r="K517">
        <v>0.29913317000260503</v>
      </c>
    </row>
    <row r="518" spans="1:11" x14ac:dyDescent="0.25">
      <c r="A518" s="3">
        <v>40835</v>
      </c>
      <c r="B518">
        <v>2583.08</v>
      </c>
      <c r="C518">
        <f t="shared" si="28"/>
        <v>0.9964779088114003</v>
      </c>
      <c r="D518">
        <v>502</v>
      </c>
      <c r="E518">
        <f t="shared" si="29"/>
        <v>0</v>
      </c>
      <c r="F518">
        <f t="shared" si="30"/>
        <v>0</v>
      </c>
      <c r="G518" t="str">
        <f t="shared" si="31"/>
        <v>extra</v>
      </c>
      <c r="J518">
        <v>487</v>
      </c>
      <c r="K518">
        <v>0.29972428363029385</v>
      </c>
    </row>
    <row r="519" spans="1:11" x14ac:dyDescent="0.25">
      <c r="A519" s="3">
        <v>40834</v>
      </c>
      <c r="B519">
        <v>2592.21</v>
      </c>
      <c r="C519">
        <f t="shared" si="28"/>
        <v>0.97197547760550451</v>
      </c>
      <c r="D519">
        <v>503</v>
      </c>
      <c r="E519">
        <f t="shared" si="29"/>
        <v>0</v>
      </c>
      <c r="F519">
        <f t="shared" si="30"/>
        <v>0</v>
      </c>
      <c r="G519" t="str">
        <f t="shared" si="31"/>
        <v>extra</v>
      </c>
      <c r="J519">
        <v>488</v>
      </c>
      <c r="K519">
        <v>0.2998602698674887</v>
      </c>
    </row>
    <row r="520" spans="1:11" x14ac:dyDescent="0.25">
      <c r="A520" s="3">
        <v>40833</v>
      </c>
      <c r="B520">
        <v>2666.95</v>
      </c>
      <c r="C520">
        <f t="shared" si="28"/>
        <v>1.0049627324043438</v>
      </c>
      <c r="D520">
        <v>504</v>
      </c>
      <c r="E520">
        <f t="shared" si="29"/>
        <v>0</v>
      </c>
      <c r="F520">
        <f t="shared" si="30"/>
        <v>0</v>
      </c>
      <c r="G520" t="str">
        <f t="shared" si="31"/>
        <v>extra</v>
      </c>
      <c r="J520">
        <v>489</v>
      </c>
      <c r="K520">
        <v>0.29987230019819144</v>
      </c>
    </row>
    <row r="521" spans="1:11" x14ac:dyDescent="0.25">
      <c r="A521" s="3">
        <v>40830</v>
      </c>
      <c r="B521">
        <v>2653.78</v>
      </c>
      <c r="C521">
        <f t="shared" si="28"/>
        <v>0.99668744835874723</v>
      </c>
      <c r="D521">
        <v>505</v>
      </c>
      <c r="E521">
        <f t="shared" si="29"/>
        <v>0</v>
      </c>
      <c r="F521">
        <f t="shared" si="30"/>
        <v>0</v>
      </c>
      <c r="G521" t="str">
        <f t="shared" si="31"/>
        <v>extra</v>
      </c>
      <c r="J521">
        <v>490</v>
      </c>
      <c r="K521">
        <v>0.30002784758506129</v>
      </c>
    </row>
    <row r="522" spans="1:11" x14ac:dyDescent="0.25">
      <c r="A522" s="3">
        <v>40829</v>
      </c>
      <c r="B522">
        <v>2662.6</v>
      </c>
      <c r="C522">
        <f t="shared" si="28"/>
        <v>1.006745413572498</v>
      </c>
      <c r="D522">
        <v>506</v>
      </c>
      <c r="E522">
        <f t="shared" si="29"/>
        <v>0</v>
      </c>
      <c r="F522">
        <f t="shared" si="30"/>
        <v>0</v>
      </c>
      <c r="G522" t="str">
        <f t="shared" si="31"/>
        <v>extra</v>
      </c>
      <c r="J522">
        <v>491</v>
      </c>
      <c r="K522">
        <v>0.3001178639918658</v>
      </c>
    </row>
    <row r="523" spans="1:11" x14ac:dyDescent="0.25">
      <c r="A523" s="3">
        <v>40828</v>
      </c>
      <c r="B523">
        <v>2644.76</v>
      </c>
      <c r="C523">
        <f t="shared" si="28"/>
        <v>1.0363520233229755</v>
      </c>
      <c r="D523">
        <v>507</v>
      </c>
      <c r="E523">
        <f t="shared" si="29"/>
        <v>0</v>
      </c>
      <c r="F523">
        <f t="shared" si="30"/>
        <v>0</v>
      </c>
      <c r="G523" t="str">
        <f t="shared" si="31"/>
        <v>extra</v>
      </c>
      <c r="J523">
        <v>492</v>
      </c>
      <c r="K523">
        <v>0.30011832678170036</v>
      </c>
    </row>
    <row r="524" spans="1:11" x14ac:dyDescent="0.25">
      <c r="A524" s="3">
        <v>40827</v>
      </c>
      <c r="B524">
        <v>2551.9899999999998</v>
      </c>
      <c r="C524">
        <f t="shared" si="28"/>
        <v>0.99800944827694082</v>
      </c>
      <c r="D524">
        <v>508</v>
      </c>
      <c r="E524">
        <f t="shared" si="29"/>
        <v>0</v>
      </c>
      <c r="F524">
        <f t="shared" si="30"/>
        <v>0</v>
      </c>
      <c r="G524" t="str">
        <f t="shared" si="31"/>
        <v>extra</v>
      </c>
      <c r="J524">
        <v>493</v>
      </c>
      <c r="K524">
        <v>0.30058828622089828</v>
      </c>
    </row>
    <row r="525" spans="1:11" x14ac:dyDescent="0.25">
      <c r="A525" s="3">
        <v>40826</v>
      </c>
      <c r="B525">
        <v>2557.08</v>
      </c>
      <c r="C525">
        <f t="shared" si="28"/>
        <v>0.99059794293683534</v>
      </c>
      <c r="D525">
        <v>509</v>
      </c>
      <c r="E525">
        <f t="shared" si="29"/>
        <v>0</v>
      </c>
      <c r="F525">
        <f t="shared" si="30"/>
        <v>0</v>
      </c>
      <c r="G525" t="str">
        <f t="shared" si="31"/>
        <v>extra</v>
      </c>
      <c r="J525">
        <v>494</v>
      </c>
      <c r="K525">
        <v>0.30058907482276709</v>
      </c>
    </row>
    <row r="526" spans="1:11" x14ac:dyDescent="0.25">
      <c r="A526" s="3">
        <v>40816</v>
      </c>
      <c r="B526">
        <v>2581.35</v>
      </c>
      <c r="C526">
        <f t="shared" si="28"/>
        <v>0.99735722647873604</v>
      </c>
      <c r="D526">
        <v>510</v>
      </c>
      <c r="E526">
        <f t="shared" si="29"/>
        <v>0</v>
      </c>
      <c r="F526">
        <f t="shared" si="30"/>
        <v>0</v>
      </c>
      <c r="G526" t="str">
        <f t="shared" si="31"/>
        <v>extra</v>
      </c>
      <c r="J526">
        <v>495</v>
      </c>
      <c r="K526">
        <v>0.30062618081978054</v>
      </c>
    </row>
    <row r="527" spans="1:11" x14ac:dyDescent="0.25">
      <c r="A527" s="3">
        <v>40815</v>
      </c>
      <c r="B527">
        <v>2588.19</v>
      </c>
      <c r="C527">
        <f t="shared" si="28"/>
        <v>0.99141956415982591</v>
      </c>
      <c r="D527">
        <v>511</v>
      </c>
      <c r="E527">
        <f t="shared" si="29"/>
        <v>0</v>
      </c>
      <c r="F527">
        <f t="shared" si="30"/>
        <v>0</v>
      </c>
      <c r="G527" t="str">
        <f t="shared" si="31"/>
        <v>extra</v>
      </c>
      <c r="J527">
        <v>496</v>
      </c>
      <c r="K527">
        <v>0.30125772324901201</v>
      </c>
    </row>
    <row r="528" spans="1:11" x14ac:dyDescent="0.25">
      <c r="A528" s="3">
        <v>40814</v>
      </c>
      <c r="B528">
        <v>2610.59</v>
      </c>
      <c r="C528">
        <f t="shared" si="28"/>
        <v>0.98965457109497024</v>
      </c>
      <c r="D528">
        <v>512</v>
      </c>
      <c r="E528">
        <f t="shared" si="29"/>
        <v>0</v>
      </c>
      <c r="F528">
        <f t="shared" si="30"/>
        <v>0</v>
      </c>
      <c r="G528" t="str">
        <f t="shared" si="31"/>
        <v>extra</v>
      </c>
      <c r="J528">
        <v>497</v>
      </c>
      <c r="K528">
        <v>0.30126642975740081</v>
      </c>
    </row>
    <row r="529" spans="1:11" x14ac:dyDescent="0.25">
      <c r="A529" s="3">
        <v>40813</v>
      </c>
      <c r="B529">
        <v>2637.88</v>
      </c>
      <c r="C529">
        <f t="shared" si="28"/>
        <v>1.0103258621482083</v>
      </c>
      <c r="D529">
        <v>513</v>
      </c>
      <c r="E529">
        <f t="shared" si="29"/>
        <v>0</v>
      </c>
      <c r="F529">
        <f t="shared" si="30"/>
        <v>0</v>
      </c>
      <c r="G529" t="str">
        <f t="shared" si="31"/>
        <v>extra</v>
      </c>
      <c r="J529">
        <v>498</v>
      </c>
      <c r="K529">
        <v>0.30143750822570303</v>
      </c>
    </row>
    <row r="530" spans="1:11" x14ac:dyDescent="0.25">
      <c r="A530" s="3">
        <v>40812</v>
      </c>
      <c r="B530">
        <v>2610.92</v>
      </c>
      <c r="C530">
        <f t="shared" ref="C530:C593" si="32">B530/B531</f>
        <v>0.97806314338373024</v>
      </c>
      <c r="D530">
        <v>514</v>
      </c>
      <c r="E530">
        <f t="shared" ref="E530:E593" si="33">IF(D530&gt;$B$6,0,LN(C530))</f>
        <v>0</v>
      </c>
      <c r="F530">
        <f t="shared" ref="F530:F593" si="34">IF(D530&gt;$B$6,0,(E530-$B$7)^2)</f>
        <v>0</v>
      </c>
      <c r="G530" t="str">
        <f t="shared" ref="G530:G593" si="35">IF(D530&lt;=$B$6,E530,"extra")</f>
        <v>extra</v>
      </c>
      <c r="J530">
        <v>499</v>
      </c>
      <c r="K530">
        <v>0.302033756531842</v>
      </c>
    </row>
    <row r="531" spans="1:11" x14ac:dyDescent="0.25">
      <c r="A531" s="3">
        <v>40809</v>
      </c>
      <c r="B531">
        <v>2669.48</v>
      </c>
      <c r="C531">
        <f t="shared" si="32"/>
        <v>0.99396430712405381</v>
      </c>
      <c r="D531">
        <v>515</v>
      </c>
      <c r="E531">
        <f t="shared" si="33"/>
        <v>0</v>
      </c>
      <c r="F531">
        <f t="shared" si="34"/>
        <v>0</v>
      </c>
      <c r="G531" t="str">
        <f t="shared" si="35"/>
        <v>extra</v>
      </c>
      <c r="J531">
        <v>500</v>
      </c>
      <c r="K531">
        <v>0.30326127231338107</v>
      </c>
    </row>
    <row r="532" spans="1:11" x14ac:dyDescent="0.25">
      <c r="A532" s="3">
        <v>40808</v>
      </c>
      <c r="B532">
        <v>2685.69</v>
      </c>
      <c r="C532">
        <f t="shared" si="32"/>
        <v>0.96920978271460578</v>
      </c>
      <c r="D532">
        <v>516</v>
      </c>
      <c r="E532">
        <f t="shared" si="33"/>
        <v>0</v>
      </c>
      <c r="F532">
        <f t="shared" si="34"/>
        <v>0</v>
      </c>
      <c r="G532" t="str">
        <f t="shared" si="35"/>
        <v>extra</v>
      </c>
      <c r="J532">
        <v>501</v>
      </c>
      <c r="K532">
        <v>0.30329974805687215</v>
      </c>
    </row>
    <row r="533" spans="1:11" x14ac:dyDescent="0.25">
      <c r="A533" s="3">
        <v>40807</v>
      </c>
      <c r="B533">
        <v>2771.01</v>
      </c>
      <c r="C533">
        <f t="shared" si="32"/>
        <v>1.0301726862092684</v>
      </c>
      <c r="D533">
        <v>517</v>
      </c>
      <c r="E533">
        <f t="shared" si="33"/>
        <v>0</v>
      </c>
      <c r="F533">
        <f t="shared" si="34"/>
        <v>0</v>
      </c>
      <c r="G533" t="str">
        <f t="shared" si="35"/>
        <v>extra</v>
      </c>
      <c r="J533">
        <v>502</v>
      </c>
      <c r="K533">
        <v>0.30427827843684702</v>
      </c>
    </row>
    <row r="534" spans="1:11" x14ac:dyDescent="0.25">
      <c r="A534" s="3">
        <v>40806</v>
      </c>
      <c r="B534">
        <v>2689.85</v>
      </c>
      <c r="C534">
        <f t="shared" si="32"/>
        <v>1.0039488368100267</v>
      </c>
      <c r="D534">
        <v>518</v>
      </c>
      <c r="E534">
        <f t="shared" si="33"/>
        <v>0</v>
      </c>
      <c r="F534">
        <f t="shared" si="34"/>
        <v>0</v>
      </c>
      <c r="G534" t="str">
        <f t="shared" si="35"/>
        <v>extra</v>
      </c>
      <c r="J534">
        <v>503</v>
      </c>
      <c r="K534">
        <v>0.30429543775740131</v>
      </c>
    </row>
    <row r="535" spans="1:11" x14ac:dyDescent="0.25">
      <c r="A535" s="3">
        <v>40805</v>
      </c>
      <c r="B535">
        <v>2679.27</v>
      </c>
      <c r="C535">
        <f t="shared" si="32"/>
        <v>0.97998529621542152</v>
      </c>
      <c r="D535">
        <v>519</v>
      </c>
      <c r="E535">
        <f t="shared" si="33"/>
        <v>0</v>
      </c>
      <c r="F535">
        <f t="shared" si="34"/>
        <v>0</v>
      </c>
      <c r="G535" t="str">
        <f t="shared" si="35"/>
        <v>extra</v>
      </c>
      <c r="J535">
        <v>504</v>
      </c>
      <c r="K535">
        <v>0.30560348880014465</v>
      </c>
    </row>
    <row r="536" spans="1:11" x14ac:dyDescent="0.25">
      <c r="A536" s="3">
        <v>40802</v>
      </c>
      <c r="B536">
        <v>2733.99</v>
      </c>
      <c r="C536">
        <f t="shared" si="32"/>
        <v>1.0018101537164945</v>
      </c>
      <c r="D536">
        <v>520</v>
      </c>
      <c r="E536">
        <f t="shared" si="33"/>
        <v>0</v>
      </c>
      <c r="F536">
        <f t="shared" si="34"/>
        <v>0</v>
      </c>
      <c r="G536" t="str">
        <f t="shared" si="35"/>
        <v>extra</v>
      </c>
      <c r="J536">
        <v>505</v>
      </c>
      <c r="K536">
        <v>0.30564663178658674</v>
      </c>
    </row>
    <row r="537" spans="1:11" x14ac:dyDescent="0.25">
      <c r="A537" s="3">
        <v>40801</v>
      </c>
      <c r="B537">
        <v>2729.05</v>
      </c>
      <c r="C537">
        <f t="shared" si="32"/>
        <v>0.99851451277116543</v>
      </c>
      <c r="D537">
        <v>521</v>
      </c>
      <c r="E537">
        <f t="shared" si="33"/>
        <v>0</v>
      </c>
      <c r="F537">
        <f t="shared" si="34"/>
        <v>0</v>
      </c>
      <c r="G537" t="str">
        <f t="shared" si="35"/>
        <v>extra</v>
      </c>
      <c r="J537">
        <v>506</v>
      </c>
      <c r="K537">
        <v>0.30566095421254236</v>
      </c>
    </row>
    <row r="538" spans="1:11" x14ac:dyDescent="0.25">
      <c r="A538" s="3">
        <v>40800</v>
      </c>
      <c r="B538">
        <v>2733.11</v>
      </c>
      <c r="C538">
        <f t="shared" si="32"/>
        <v>1.0047164262502388</v>
      </c>
      <c r="D538">
        <v>522</v>
      </c>
      <c r="E538">
        <f t="shared" si="33"/>
        <v>0</v>
      </c>
      <c r="F538">
        <f t="shared" si="34"/>
        <v>0</v>
      </c>
      <c r="G538" t="str">
        <f t="shared" si="35"/>
        <v>extra</v>
      </c>
      <c r="J538">
        <v>507</v>
      </c>
      <c r="K538">
        <v>0.30573936112260808</v>
      </c>
    </row>
    <row r="539" spans="1:11" x14ac:dyDescent="0.25">
      <c r="A539" s="3">
        <v>40799</v>
      </c>
      <c r="B539">
        <v>2720.28</v>
      </c>
      <c r="C539">
        <f t="shared" si="32"/>
        <v>0.98879720838937168</v>
      </c>
      <c r="D539">
        <v>523</v>
      </c>
      <c r="E539">
        <f t="shared" si="33"/>
        <v>0</v>
      </c>
      <c r="F539">
        <f t="shared" si="34"/>
        <v>0</v>
      </c>
      <c r="G539" t="str">
        <f t="shared" si="35"/>
        <v>extra</v>
      </c>
      <c r="J539">
        <v>508</v>
      </c>
      <c r="K539">
        <v>0.30784743694046762</v>
      </c>
    </row>
    <row r="540" spans="1:11" x14ac:dyDescent="0.25">
      <c r="A540" s="3">
        <v>40795</v>
      </c>
      <c r="B540">
        <v>2751.1</v>
      </c>
      <c r="C540">
        <f t="shared" si="32"/>
        <v>0.99818222059351758</v>
      </c>
      <c r="D540">
        <v>524</v>
      </c>
      <c r="E540">
        <f t="shared" si="33"/>
        <v>0</v>
      </c>
      <c r="F540">
        <f t="shared" si="34"/>
        <v>0</v>
      </c>
      <c r="G540" t="str">
        <f t="shared" si="35"/>
        <v>extra</v>
      </c>
      <c r="J540">
        <v>509</v>
      </c>
      <c r="K540">
        <v>0.30785169460533179</v>
      </c>
    </row>
    <row r="541" spans="1:11" x14ac:dyDescent="0.25">
      <c r="A541" s="3">
        <v>40794</v>
      </c>
      <c r="B541">
        <v>2756.11</v>
      </c>
      <c r="C541">
        <f t="shared" si="32"/>
        <v>0.99173110622541916</v>
      </c>
      <c r="D541">
        <v>525</v>
      </c>
      <c r="E541">
        <f t="shared" si="33"/>
        <v>0</v>
      </c>
      <c r="F541">
        <f t="shared" si="34"/>
        <v>0</v>
      </c>
      <c r="G541" t="str">
        <f t="shared" si="35"/>
        <v>extra</v>
      </c>
      <c r="J541">
        <v>510</v>
      </c>
      <c r="K541">
        <v>0.30799064475000265</v>
      </c>
    </row>
    <row r="542" spans="1:11" x14ac:dyDescent="0.25">
      <c r="A542" s="3">
        <v>40793</v>
      </c>
      <c r="B542">
        <v>2779.09</v>
      </c>
      <c r="C542">
        <f t="shared" si="32"/>
        <v>1.0204861748613814</v>
      </c>
      <c r="D542">
        <v>526</v>
      </c>
      <c r="E542">
        <f t="shared" si="33"/>
        <v>0</v>
      </c>
      <c r="F542">
        <f t="shared" si="34"/>
        <v>0</v>
      </c>
      <c r="G542" t="str">
        <f t="shared" si="35"/>
        <v>extra</v>
      </c>
      <c r="J542">
        <v>511</v>
      </c>
      <c r="K542">
        <v>0.30799932104693628</v>
      </c>
    </row>
    <row r="543" spans="1:11" x14ac:dyDescent="0.25">
      <c r="A543" s="3">
        <v>40792</v>
      </c>
      <c r="B543">
        <v>2723.3</v>
      </c>
      <c r="C543">
        <f t="shared" si="32"/>
        <v>0.99252137530887596</v>
      </c>
      <c r="D543">
        <v>527</v>
      </c>
      <c r="E543">
        <f t="shared" si="33"/>
        <v>0</v>
      </c>
      <c r="F543">
        <f t="shared" si="34"/>
        <v>0</v>
      </c>
      <c r="G543" t="str">
        <f t="shared" si="35"/>
        <v>extra</v>
      </c>
      <c r="J543">
        <v>512</v>
      </c>
      <c r="K543">
        <v>0.30811367530509376</v>
      </c>
    </row>
    <row r="544" spans="1:11" x14ac:dyDescent="0.25">
      <c r="A544" s="3">
        <v>40791</v>
      </c>
      <c r="B544">
        <v>2743.82</v>
      </c>
      <c r="C544">
        <f t="shared" si="32"/>
        <v>0.97859015282557915</v>
      </c>
      <c r="D544">
        <v>528</v>
      </c>
      <c r="E544">
        <f t="shared" si="33"/>
        <v>0</v>
      </c>
      <c r="F544">
        <f t="shared" si="34"/>
        <v>0</v>
      </c>
      <c r="G544" t="str">
        <f t="shared" si="35"/>
        <v>extra</v>
      </c>
      <c r="J544">
        <v>513</v>
      </c>
      <c r="K544">
        <v>0.30828142082157034</v>
      </c>
    </row>
    <row r="545" spans="1:11" x14ac:dyDescent="0.25">
      <c r="A545" s="3">
        <v>40788</v>
      </c>
      <c r="B545">
        <v>2803.85</v>
      </c>
      <c r="C545">
        <f t="shared" si="32"/>
        <v>0.9891728463877737</v>
      </c>
      <c r="D545">
        <v>529</v>
      </c>
      <c r="E545">
        <f t="shared" si="33"/>
        <v>0</v>
      </c>
      <c r="F545">
        <f t="shared" si="34"/>
        <v>0</v>
      </c>
      <c r="G545" t="str">
        <f t="shared" si="35"/>
        <v>extra</v>
      </c>
      <c r="J545">
        <v>514</v>
      </c>
      <c r="K545">
        <v>0.30845929040468478</v>
      </c>
    </row>
    <row r="546" spans="1:11" x14ac:dyDescent="0.25">
      <c r="A546" s="3">
        <v>40787</v>
      </c>
      <c r="B546">
        <v>2834.54</v>
      </c>
      <c r="C546">
        <f t="shared" si="32"/>
        <v>0.99570040537027793</v>
      </c>
      <c r="D546">
        <v>530</v>
      </c>
      <c r="E546">
        <f t="shared" si="33"/>
        <v>0</v>
      </c>
      <c r="F546">
        <f t="shared" si="34"/>
        <v>0</v>
      </c>
      <c r="G546" t="str">
        <f t="shared" si="35"/>
        <v>extra</v>
      </c>
      <c r="J546">
        <v>515</v>
      </c>
      <c r="K546">
        <v>0.30924151492836083</v>
      </c>
    </row>
    <row r="547" spans="1:11" x14ac:dyDescent="0.25">
      <c r="A547" s="3">
        <v>40786</v>
      </c>
      <c r="B547">
        <v>2846.78</v>
      </c>
      <c r="C547">
        <f t="shared" si="32"/>
        <v>1.0017735612688003</v>
      </c>
      <c r="D547">
        <v>531</v>
      </c>
      <c r="E547">
        <f t="shared" si="33"/>
        <v>0</v>
      </c>
      <c r="F547">
        <f t="shared" si="34"/>
        <v>0</v>
      </c>
      <c r="G547" t="str">
        <f t="shared" si="35"/>
        <v>extra</v>
      </c>
      <c r="J547">
        <v>516</v>
      </c>
      <c r="K547">
        <v>0.30929496279945123</v>
      </c>
    </row>
    <row r="548" spans="1:11" x14ac:dyDescent="0.25">
      <c r="A548" s="3">
        <v>40785</v>
      </c>
      <c r="B548">
        <v>2841.74</v>
      </c>
      <c r="C548">
        <f t="shared" si="32"/>
        <v>0.99611961539674909</v>
      </c>
      <c r="D548">
        <v>532</v>
      </c>
      <c r="E548">
        <f t="shared" si="33"/>
        <v>0</v>
      </c>
      <c r="F548">
        <f t="shared" si="34"/>
        <v>0</v>
      </c>
      <c r="G548" t="str">
        <f t="shared" si="35"/>
        <v>extra</v>
      </c>
      <c r="J548">
        <v>517</v>
      </c>
      <c r="K548">
        <v>0.31084800399189721</v>
      </c>
    </row>
    <row r="549" spans="1:11" x14ac:dyDescent="0.25">
      <c r="A549" s="3">
        <v>40784</v>
      </c>
      <c r="B549">
        <v>2852.81</v>
      </c>
      <c r="C549">
        <f t="shared" si="32"/>
        <v>0.9833139162145581</v>
      </c>
      <c r="D549">
        <v>533</v>
      </c>
      <c r="E549">
        <f t="shared" si="33"/>
        <v>0</v>
      </c>
      <c r="F549">
        <f t="shared" si="34"/>
        <v>0</v>
      </c>
      <c r="G549" t="str">
        <f t="shared" si="35"/>
        <v>extra</v>
      </c>
      <c r="J549">
        <v>518</v>
      </c>
      <c r="K549">
        <v>0.31229828407750465</v>
      </c>
    </row>
    <row r="550" spans="1:11" x14ac:dyDescent="0.25">
      <c r="A550" s="3">
        <v>40781</v>
      </c>
      <c r="B550">
        <v>2901.22</v>
      </c>
      <c r="C550">
        <f t="shared" si="32"/>
        <v>0.9990977464323102</v>
      </c>
      <c r="D550">
        <v>534</v>
      </c>
      <c r="E550">
        <f t="shared" si="33"/>
        <v>0</v>
      </c>
      <c r="F550">
        <f t="shared" si="34"/>
        <v>0</v>
      </c>
      <c r="G550" t="str">
        <f t="shared" si="35"/>
        <v>extra</v>
      </c>
      <c r="J550">
        <v>519</v>
      </c>
      <c r="K550">
        <v>0.31232543665758816</v>
      </c>
    </row>
    <row r="551" spans="1:11" x14ac:dyDescent="0.25">
      <c r="A551" s="3">
        <v>40780</v>
      </c>
      <c r="B551">
        <v>2903.84</v>
      </c>
      <c r="C551">
        <f t="shared" si="32"/>
        <v>1.0333876627212619</v>
      </c>
      <c r="D551">
        <v>535</v>
      </c>
      <c r="E551">
        <f t="shared" si="33"/>
        <v>0</v>
      </c>
      <c r="F551">
        <f t="shared" si="34"/>
        <v>0</v>
      </c>
      <c r="G551" t="str">
        <f t="shared" si="35"/>
        <v>extra</v>
      </c>
      <c r="J551">
        <v>520</v>
      </c>
      <c r="K551">
        <v>0.3129629827695497</v>
      </c>
    </row>
    <row r="552" spans="1:11" x14ac:dyDescent="0.25">
      <c r="A552" s="3">
        <v>40779</v>
      </c>
      <c r="B552">
        <v>2810.02</v>
      </c>
      <c r="C552">
        <f t="shared" si="32"/>
        <v>0.99610776320453742</v>
      </c>
      <c r="D552">
        <v>536</v>
      </c>
      <c r="E552">
        <f t="shared" si="33"/>
        <v>0</v>
      </c>
      <c r="F552">
        <f t="shared" si="34"/>
        <v>0</v>
      </c>
      <c r="G552" t="str">
        <f t="shared" si="35"/>
        <v>extra</v>
      </c>
      <c r="J552">
        <v>521</v>
      </c>
      <c r="K552">
        <v>0.31296887903567394</v>
      </c>
    </row>
    <row r="553" spans="1:11" x14ac:dyDescent="0.25">
      <c r="A553" s="3">
        <v>40778</v>
      </c>
      <c r="B553">
        <v>2821</v>
      </c>
      <c r="C553">
        <f t="shared" si="32"/>
        <v>1.0155555315556613</v>
      </c>
      <c r="D553">
        <v>537</v>
      </c>
      <c r="E553">
        <f t="shared" si="33"/>
        <v>0</v>
      </c>
      <c r="F553">
        <f t="shared" si="34"/>
        <v>0</v>
      </c>
      <c r="G553" t="str">
        <f t="shared" si="35"/>
        <v>extra</v>
      </c>
      <c r="J553">
        <v>522</v>
      </c>
      <c r="K553">
        <v>0.3129700273125271</v>
      </c>
    </row>
    <row r="554" spans="1:11" x14ac:dyDescent="0.25">
      <c r="A554" s="3">
        <v>40777</v>
      </c>
      <c r="B554">
        <v>2777.79</v>
      </c>
      <c r="C554">
        <f t="shared" si="32"/>
        <v>0.98936124744449117</v>
      </c>
      <c r="D554">
        <v>538</v>
      </c>
      <c r="E554">
        <f t="shared" si="33"/>
        <v>0</v>
      </c>
      <c r="F554">
        <f t="shared" si="34"/>
        <v>0</v>
      </c>
      <c r="G554" t="str">
        <f t="shared" si="35"/>
        <v>extra</v>
      </c>
      <c r="J554">
        <v>523</v>
      </c>
      <c r="K554">
        <v>0.31300880445592089</v>
      </c>
    </row>
    <row r="555" spans="1:11" x14ac:dyDescent="0.25">
      <c r="A555" s="3">
        <v>40774</v>
      </c>
      <c r="B555">
        <v>2807.66</v>
      </c>
      <c r="C555">
        <f t="shared" si="32"/>
        <v>0.99061832936402927</v>
      </c>
      <c r="D555">
        <v>539</v>
      </c>
      <c r="E555">
        <f t="shared" si="33"/>
        <v>0</v>
      </c>
      <c r="F555">
        <f t="shared" si="34"/>
        <v>0</v>
      </c>
      <c r="G555" t="str">
        <f t="shared" si="35"/>
        <v>extra</v>
      </c>
      <c r="J555">
        <v>524</v>
      </c>
      <c r="K555">
        <v>0.31320077202918084</v>
      </c>
    </row>
    <row r="556" spans="1:11" x14ac:dyDescent="0.25">
      <c r="A556" s="3">
        <v>40773</v>
      </c>
      <c r="B556">
        <v>2834.25</v>
      </c>
      <c r="C556">
        <f t="shared" si="32"/>
        <v>0.98206520420927157</v>
      </c>
      <c r="D556">
        <v>540</v>
      </c>
      <c r="E556">
        <f t="shared" si="33"/>
        <v>0</v>
      </c>
      <c r="F556">
        <f t="shared" si="34"/>
        <v>0</v>
      </c>
      <c r="G556" t="str">
        <f t="shared" si="35"/>
        <v>extra</v>
      </c>
      <c r="J556">
        <v>525</v>
      </c>
      <c r="K556">
        <v>0.31320331833786774</v>
      </c>
    </row>
    <row r="557" spans="1:11" x14ac:dyDescent="0.25">
      <c r="A557" s="3">
        <v>40772</v>
      </c>
      <c r="B557">
        <v>2886.01</v>
      </c>
      <c r="C557">
        <f t="shared" si="32"/>
        <v>0.99600701274856962</v>
      </c>
      <c r="D557">
        <v>541</v>
      </c>
      <c r="E557">
        <f t="shared" si="33"/>
        <v>0</v>
      </c>
      <c r="F557">
        <f t="shared" si="34"/>
        <v>0</v>
      </c>
      <c r="G557" t="str">
        <f t="shared" si="35"/>
        <v>extra</v>
      </c>
      <c r="J557">
        <v>526</v>
      </c>
      <c r="K557">
        <v>0.31330451932993825</v>
      </c>
    </row>
    <row r="558" spans="1:11" x14ac:dyDescent="0.25">
      <c r="A558" s="3">
        <v>40771</v>
      </c>
      <c r="B558">
        <v>2897.58</v>
      </c>
      <c r="C558">
        <f t="shared" si="32"/>
        <v>0.99304289415603098</v>
      </c>
      <c r="D558">
        <v>542</v>
      </c>
      <c r="E558">
        <f t="shared" si="33"/>
        <v>0</v>
      </c>
      <c r="F558">
        <f t="shared" si="34"/>
        <v>0</v>
      </c>
      <c r="G558" t="str">
        <f t="shared" si="35"/>
        <v>extra</v>
      </c>
      <c r="J558">
        <v>527</v>
      </c>
      <c r="K558">
        <v>0.3139810431813686</v>
      </c>
    </row>
    <row r="559" spans="1:11" x14ac:dyDescent="0.25">
      <c r="A559" s="3">
        <v>40770</v>
      </c>
      <c r="B559">
        <v>2917.88</v>
      </c>
      <c r="C559">
        <f t="shared" si="32"/>
        <v>1.0147841842962819</v>
      </c>
      <c r="D559">
        <v>543</v>
      </c>
      <c r="E559">
        <f t="shared" si="33"/>
        <v>0</v>
      </c>
      <c r="F559">
        <f t="shared" si="34"/>
        <v>0</v>
      </c>
      <c r="G559" t="str">
        <f t="shared" si="35"/>
        <v>extra</v>
      </c>
      <c r="J559">
        <v>528</v>
      </c>
      <c r="K559">
        <v>0.31406323148119641</v>
      </c>
    </row>
    <row r="560" spans="1:11" x14ac:dyDescent="0.25">
      <c r="A560" s="3">
        <v>40767</v>
      </c>
      <c r="B560">
        <v>2875.37</v>
      </c>
      <c r="C560">
        <f t="shared" si="32"/>
        <v>1.002947413949465</v>
      </c>
      <c r="D560">
        <v>544</v>
      </c>
      <c r="E560">
        <f t="shared" si="33"/>
        <v>0</v>
      </c>
      <c r="F560">
        <f t="shared" si="34"/>
        <v>0</v>
      </c>
      <c r="G560" t="str">
        <f t="shared" si="35"/>
        <v>extra</v>
      </c>
      <c r="J560">
        <v>529</v>
      </c>
      <c r="K560">
        <v>0.31478825511877778</v>
      </c>
    </row>
    <row r="561" spans="1:11" x14ac:dyDescent="0.25">
      <c r="A561" s="3">
        <v>40766</v>
      </c>
      <c r="B561">
        <v>2866.92</v>
      </c>
      <c r="C561">
        <f t="shared" si="32"/>
        <v>1.0151551633783267</v>
      </c>
      <c r="D561">
        <v>545</v>
      </c>
      <c r="E561">
        <f t="shared" si="33"/>
        <v>0</v>
      </c>
      <c r="F561">
        <f t="shared" si="34"/>
        <v>0</v>
      </c>
      <c r="G561" t="str">
        <f t="shared" si="35"/>
        <v>extra</v>
      </c>
      <c r="J561">
        <v>530</v>
      </c>
      <c r="K561">
        <v>0.31496428160098305</v>
      </c>
    </row>
    <row r="562" spans="1:11" x14ac:dyDescent="0.25">
      <c r="A562" s="3">
        <v>40765</v>
      </c>
      <c r="B562">
        <v>2824.12</v>
      </c>
      <c r="C562">
        <f t="shared" si="32"/>
        <v>1.0092667045482973</v>
      </c>
      <c r="D562">
        <v>546</v>
      </c>
      <c r="E562">
        <f t="shared" si="33"/>
        <v>0</v>
      </c>
      <c r="F562">
        <f t="shared" si="34"/>
        <v>0</v>
      </c>
      <c r="G562" t="str">
        <f t="shared" si="35"/>
        <v>extra</v>
      </c>
      <c r="J562">
        <v>531</v>
      </c>
      <c r="K562">
        <v>0.31498803656023672</v>
      </c>
    </row>
    <row r="563" spans="1:11" x14ac:dyDescent="0.25">
      <c r="A563" s="3">
        <v>40764</v>
      </c>
      <c r="B563">
        <v>2798.19</v>
      </c>
      <c r="C563">
        <f t="shared" si="32"/>
        <v>1.0015354880274885</v>
      </c>
      <c r="D563">
        <v>547</v>
      </c>
      <c r="E563">
        <f t="shared" si="33"/>
        <v>0</v>
      </c>
      <c r="F563">
        <f t="shared" si="34"/>
        <v>0</v>
      </c>
      <c r="G563" t="str">
        <f t="shared" si="35"/>
        <v>extra</v>
      </c>
      <c r="J563">
        <v>532</v>
      </c>
      <c r="K563">
        <v>0.31499415449557477</v>
      </c>
    </row>
    <row r="564" spans="1:11" x14ac:dyDescent="0.25">
      <c r="A564" s="3">
        <v>40763</v>
      </c>
      <c r="B564">
        <v>2793.9</v>
      </c>
      <c r="C564">
        <f t="shared" si="32"/>
        <v>0.96427166237549267</v>
      </c>
      <c r="D564">
        <v>548</v>
      </c>
      <c r="E564">
        <f t="shared" si="33"/>
        <v>0</v>
      </c>
      <c r="F564">
        <f t="shared" si="34"/>
        <v>0</v>
      </c>
      <c r="G564" t="str">
        <f t="shared" si="35"/>
        <v>extra</v>
      </c>
      <c r="J564">
        <v>533</v>
      </c>
      <c r="K564">
        <v>0.31501286349820229</v>
      </c>
    </row>
    <row r="565" spans="1:11" x14ac:dyDescent="0.25">
      <c r="A565" s="3">
        <v>40760</v>
      </c>
      <c r="B565">
        <v>2897.42</v>
      </c>
      <c r="C565">
        <f t="shared" si="32"/>
        <v>0.97875560329830325</v>
      </c>
      <c r="D565">
        <v>549</v>
      </c>
      <c r="E565">
        <f t="shared" si="33"/>
        <v>0</v>
      </c>
      <c r="F565">
        <f t="shared" si="34"/>
        <v>0</v>
      </c>
      <c r="G565" t="str">
        <f t="shared" si="35"/>
        <v>extra</v>
      </c>
      <c r="J565">
        <v>534</v>
      </c>
      <c r="K565">
        <v>0.31544245586653796</v>
      </c>
    </row>
    <row r="566" spans="1:11" x14ac:dyDescent="0.25">
      <c r="A566" s="3">
        <v>40759</v>
      </c>
      <c r="B566">
        <v>2960.31</v>
      </c>
      <c r="C566">
        <f t="shared" si="32"/>
        <v>1.0018410285393267</v>
      </c>
      <c r="D566">
        <v>550</v>
      </c>
      <c r="E566">
        <f t="shared" si="33"/>
        <v>0</v>
      </c>
      <c r="F566">
        <f t="shared" si="34"/>
        <v>0</v>
      </c>
      <c r="G566" t="str">
        <f t="shared" si="35"/>
        <v>extra</v>
      </c>
      <c r="J566">
        <v>535</v>
      </c>
      <c r="K566">
        <v>0.31544175724209633</v>
      </c>
    </row>
    <row r="567" spans="1:11" x14ac:dyDescent="0.25">
      <c r="A567" s="3">
        <v>40758</v>
      </c>
      <c r="B567">
        <v>2954.87</v>
      </c>
      <c r="C567">
        <f t="shared" si="32"/>
        <v>0.99948924021945751</v>
      </c>
      <c r="D567">
        <v>551</v>
      </c>
      <c r="E567">
        <f t="shared" si="33"/>
        <v>0</v>
      </c>
      <c r="F567">
        <f t="shared" si="34"/>
        <v>0</v>
      </c>
      <c r="G567" t="str">
        <f t="shared" si="35"/>
        <v>extra</v>
      </c>
      <c r="J567">
        <v>536</v>
      </c>
      <c r="K567">
        <v>0.31719023051077588</v>
      </c>
    </row>
    <row r="568" spans="1:11" x14ac:dyDescent="0.25">
      <c r="A568" s="3">
        <v>40757</v>
      </c>
      <c r="B568">
        <v>2956.38</v>
      </c>
      <c r="C568">
        <f t="shared" si="32"/>
        <v>0.99283344303695453</v>
      </c>
      <c r="D568">
        <v>552</v>
      </c>
      <c r="E568">
        <f t="shared" si="33"/>
        <v>0</v>
      </c>
      <c r="F568">
        <f t="shared" si="34"/>
        <v>0</v>
      </c>
      <c r="G568" t="str">
        <f t="shared" si="35"/>
        <v>extra</v>
      </c>
      <c r="J568">
        <v>537</v>
      </c>
      <c r="K568">
        <v>0.31720920936038927</v>
      </c>
    </row>
    <row r="569" spans="1:11" x14ac:dyDescent="0.25">
      <c r="A569" s="3">
        <v>40756</v>
      </c>
      <c r="B569">
        <v>2977.72</v>
      </c>
      <c r="C569">
        <f t="shared" si="32"/>
        <v>1.0018976608974186</v>
      </c>
      <c r="D569">
        <v>553</v>
      </c>
      <c r="E569">
        <f t="shared" si="33"/>
        <v>0</v>
      </c>
      <c r="F569">
        <f t="shared" si="34"/>
        <v>0</v>
      </c>
      <c r="G569" t="str">
        <f t="shared" si="35"/>
        <v>extra</v>
      </c>
      <c r="J569">
        <v>538</v>
      </c>
      <c r="K569">
        <v>0.31760089667264474</v>
      </c>
    </row>
    <row r="570" spans="1:11" x14ac:dyDescent="0.25">
      <c r="A570" s="3">
        <v>40753</v>
      </c>
      <c r="B570">
        <v>2972.08</v>
      </c>
      <c r="C570">
        <f t="shared" si="32"/>
        <v>0.99700771553170076</v>
      </c>
      <c r="D570">
        <v>554</v>
      </c>
      <c r="E570">
        <f t="shared" si="33"/>
        <v>0</v>
      </c>
      <c r="F570">
        <f t="shared" si="34"/>
        <v>0</v>
      </c>
      <c r="G570" t="str">
        <f t="shared" si="35"/>
        <v>extra</v>
      </c>
      <c r="J570">
        <v>539</v>
      </c>
      <c r="K570">
        <v>0.31776985024819882</v>
      </c>
    </row>
    <row r="571" spans="1:11" x14ac:dyDescent="0.25">
      <c r="A571" s="3">
        <v>40752</v>
      </c>
      <c r="B571">
        <v>2981</v>
      </c>
      <c r="C571">
        <f t="shared" si="32"/>
        <v>0.99365010583156943</v>
      </c>
      <c r="D571">
        <v>555</v>
      </c>
      <c r="E571">
        <f t="shared" si="33"/>
        <v>0</v>
      </c>
      <c r="F571">
        <f t="shared" si="34"/>
        <v>0</v>
      </c>
      <c r="G571" t="str">
        <f t="shared" si="35"/>
        <v>extra</v>
      </c>
      <c r="J571">
        <v>540</v>
      </c>
      <c r="K571">
        <v>0.31789914800149566</v>
      </c>
    </row>
    <row r="572" spans="1:11" x14ac:dyDescent="0.25">
      <c r="A572" s="3">
        <v>40751</v>
      </c>
      <c r="B572">
        <v>3000.05</v>
      </c>
      <c r="C572">
        <f t="shared" si="32"/>
        <v>1.0074821090950612</v>
      </c>
      <c r="D572">
        <v>556</v>
      </c>
      <c r="E572">
        <f t="shared" si="33"/>
        <v>0</v>
      </c>
      <c r="F572">
        <f t="shared" si="34"/>
        <v>0</v>
      </c>
      <c r="G572" t="str">
        <f t="shared" si="35"/>
        <v>extra</v>
      </c>
      <c r="J572">
        <v>541</v>
      </c>
      <c r="K572">
        <v>0.31839415666957416</v>
      </c>
    </row>
    <row r="573" spans="1:11" x14ac:dyDescent="0.25">
      <c r="A573" s="3">
        <v>40750</v>
      </c>
      <c r="B573">
        <v>2977.77</v>
      </c>
      <c r="C573">
        <f t="shared" si="32"/>
        <v>1.0031937580222956</v>
      </c>
      <c r="D573">
        <v>557</v>
      </c>
      <c r="E573">
        <f t="shared" si="33"/>
        <v>0</v>
      </c>
      <c r="F573">
        <f t="shared" si="34"/>
        <v>0</v>
      </c>
      <c r="G573" t="str">
        <f t="shared" si="35"/>
        <v>extra</v>
      </c>
      <c r="J573">
        <v>542</v>
      </c>
      <c r="K573">
        <v>0.31841369538154835</v>
      </c>
    </row>
    <row r="574" spans="1:11" x14ac:dyDescent="0.25">
      <c r="A574" s="3">
        <v>40749</v>
      </c>
      <c r="B574">
        <v>2968.29</v>
      </c>
      <c r="C574">
        <f t="shared" si="32"/>
        <v>0.96750315353048744</v>
      </c>
      <c r="D574">
        <v>558</v>
      </c>
      <c r="E574">
        <f t="shared" si="33"/>
        <v>0</v>
      </c>
      <c r="F574">
        <f t="shared" si="34"/>
        <v>0</v>
      </c>
      <c r="G574" t="str">
        <f t="shared" si="35"/>
        <v>extra</v>
      </c>
      <c r="J574">
        <v>543</v>
      </c>
      <c r="K574">
        <v>0.318481022616868</v>
      </c>
    </row>
    <row r="575" spans="1:11" x14ac:dyDescent="0.25">
      <c r="A575" s="3">
        <v>40746</v>
      </c>
      <c r="B575">
        <v>3067.99</v>
      </c>
      <c r="C575">
        <f t="shared" si="32"/>
        <v>1.0028929699196505</v>
      </c>
      <c r="D575">
        <v>559</v>
      </c>
      <c r="E575">
        <f t="shared" si="33"/>
        <v>0</v>
      </c>
      <c r="F575">
        <f t="shared" si="34"/>
        <v>0</v>
      </c>
      <c r="G575" t="str">
        <f t="shared" si="35"/>
        <v>extra</v>
      </c>
      <c r="J575">
        <v>544</v>
      </c>
      <c r="K575">
        <v>0.31883716607687707</v>
      </c>
    </row>
    <row r="576" spans="1:11" x14ac:dyDescent="0.25">
      <c r="A576" s="3">
        <v>40745</v>
      </c>
      <c r="B576">
        <v>3059.14</v>
      </c>
      <c r="C576">
        <f t="shared" si="32"/>
        <v>0.98951018414591929</v>
      </c>
      <c r="D576">
        <v>560</v>
      </c>
      <c r="E576">
        <f t="shared" si="33"/>
        <v>0</v>
      </c>
      <c r="F576">
        <f t="shared" si="34"/>
        <v>0</v>
      </c>
      <c r="G576" t="str">
        <f t="shared" si="35"/>
        <v>extra</v>
      </c>
      <c r="J576">
        <v>545</v>
      </c>
      <c r="K576">
        <v>0.31885334171622109</v>
      </c>
    </row>
    <row r="577" spans="1:11" x14ac:dyDescent="0.25">
      <c r="A577" s="3">
        <v>40744</v>
      </c>
      <c r="B577">
        <v>3091.57</v>
      </c>
      <c r="C577">
        <f t="shared" si="32"/>
        <v>0.99884980598553208</v>
      </c>
      <c r="D577">
        <v>561</v>
      </c>
      <c r="E577">
        <f t="shared" si="33"/>
        <v>0</v>
      </c>
      <c r="F577">
        <f t="shared" si="34"/>
        <v>0</v>
      </c>
      <c r="G577" t="str">
        <f t="shared" si="35"/>
        <v>extra</v>
      </c>
      <c r="J577">
        <v>546</v>
      </c>
      <c r="K577">
        <v>0.3192249361578216</v>
      </c>
    </row>
    <row r="578" spans="1:11" x14ac:dyDescent="0.25">
      <c r="A578" s="3">
        <v>40743</v>
      </c>
      <c r="B578">
        <v>3095.13</v>
      </c>
      <c r="C578">
        <f t="shared" si="32"/>
        <v>0.99120284378402623</v>
      </c>
      <c r="D578">
        <v>562</v>
      </c>
      <c r="E578">
        <f t="shared" si="33"/>
        <v>0</v>
      </c>
      <c r="F578">
        <f t="shared" si="34"/>
        <v>0</v>
      </c>
      <c r="G578" t="str">
        <f t="shared" si="35"/>
        <v>extra</v>
      </c>
      <c r="J578">
        <v>547</v>
      </c>
      <c r="K578">
        <v>0.31936726333232385</v>
      </c>
    </row>
    <row r="579" spans="1:11" x14ac:dyDescent="0.25">
      <c r="A579" s="3">
        <v>40742</v>
      </c>
      <c r="B579">
        <v>3122.6</v>
      </c>
      <c r="C579">
        <f t="shared" si="32"/>
        <v>0.99798970241842955</v>
      </c>
      <c r="D579">
        <v>563</v>
      </c>
      <c r="E579">
        <f t="shared" si="33"/>
        <v>0</v>
      </c>
      <c r="F579">
        <f t="shared" si="34"/>
        <v>0</v>
      </c>
      <c r="G579" t="str">
        <f t="shared" si="35"/>
        <v>extra</v>
      </c>
      <c r="J579">
        <v>548</v>
      </c>
      <c r="K579">
        <v>0.31937158202730198</v>
      </c>
    </row>
    <row r="580" spans="1:11" x14ac:dyDescent="0.25">
      <c r="A580" s="3">
        <v>40739</v>
      </c>
      <c r="B580">
        <v>3128.89</v>
      </c>
      <c r="C580">
        <f t="shared" si="32"/>
        <v>1.0042172831581482</v>
      </c>
      <c r="D580">
        <v>564</v>
      </c>
      <c r="E580">
        <f t="shared" si="33"/>
        <v>0</v>
      </c>
      <c r="F580">
        <f t="shared" si="34"/>
        <v>0</v>
      </c>
      <c r="G580" t="str">
        <f t="shared" si="35"/>
        <v>extra</v>
      </c>
      <c r="J580">
        <v>549</v>
      </c>
      <c r="K580">
        <v>0.32140424848015992</v>
      </c>
    </row>
    <row r="581" spans="1:11" x14ac:dyDescent="0.25">
      <c r="A581" s="3">
        <v>40738</v>
      </c>
      <c r="B581">
        <v>3115.75</v>
      </c>
      <c r="C581">
        <f t="shared" si="32"/>
        <v>1.0030583501006036</v>
      </c>
      <c r="D581">
        <v>565</v>
      </c>
      <c r="E581">
        <f t="shared" si="33"/>
        <v>0</v>
      </c>
      <c r="F581">
        <f t="shared" si="34"/>
        <v>0</v>
      </c>
      <c r="G581" t="str">
        <f t="shared" si="35"/>
        <v>extra</v>
      </c>
      <c r="J581">
        <v>550</v>
      </c>
      <c r="K581">
        <v>0.32209575644863153</v>
      </c>
    </row>
    <row r="582" spans="1:11" x14ac:dyDescent="0.25">
      <c r="A582" s="3">
        <v>40737</v>
      </c>
      <c r="B582">
        <v>3106.25</v>
      </c>
      <c r="C582">
        <f t="shared" si="32"/>
        <v>1.0161404817282813</v>
      </c>
      <c r="D582">
        <v>566</v>
      </c>
      <c r="E582">
        <f t="shared" si="33"/>
        <v>0</v>
      </c>
      <c r="F582">
        <f t="shared" si="34"/>
        <v>0</v>
      </c>
      <c r="G582" t="str">
        <f t="shared" si="35"/>
        <v>extra</v>
      </c>
      <c r="J582">
        <v>551</v>
      </c>
      <c r="K582">
        <v>0.32210262795040318</v>
      </c>
    </row>
    <row r="583" spans="1:11" x14ac:dyDescent="0.25">
      <c r="A583" s="3">
        <v>40736</v>
      </c>
      <c r="B583">
        <v>3056.91</v>
      </c>
      <c r="C583">
        <f t="shared" si="32"/>
        <v>0.9819157718239373</v>
      </c>
      <c r="D583">
        <v>567</v>
      </c>
      <c r="E583">
        <f t="shared" si="33"/>
        <v>0</v>
      </c>
      <c r="F583">
        <f t="shared" si="34"/>
        <v>0</v>
      </c>
      <c r="G583" t="str">
        <f t="shared" si="35"/>
        <v>extra</v>
      </c>
      <c r="J583">
        <v>552</v>
      </c>
      <c r="K583">
        <v>0.32210157911990511</v>
      </c>
    </row>
    <row r="584" spans="1:11" x14ac:dyDescent="0.25">
      <c r="A584" s="3">
        <v>40735</v>
      </c>
      <c r="B584">
        <v>3113.21</v>
      </c>
      <c r="C584">
        <f t="shared" si="32"/>
        <v>1.0012961616889342</v>
      </c>
      <c r="D584">
        <v>568</v>
      </c>
      <c r="E584">
        <f t="shared" si="33"/>
        <v>0</v>
      </c>
      <c r="F584">
        <f t="shared" si="34"/>
        <v>0</v>
      </c>
      <c r="G584" t="str">
        <f t="shared" si="35"/>
        <v>extra</v>
      </c>
      <c r="J584">
        <v>553</v>
      </c>
      <c r="K584">
        <v>0.32217192104697723</v>
      </c>
    </row>
    <row r="585" spans="1:11" x14ac:dyDescent="0.25">
      <c r="A585" s="3">
        <v>40732</v>
      </c>
      <c r="B585">
        <v>3109.18</v>
      </c>
      <c r="C585">
        <f t="shared" si="32"/>
        <v>1.0024180444146398</v>
      </c>
      <c r="D585">
        <v>569</v>
      </c>
      <c r="E585">
        <f t="shared" si="33"/>
        <v>0</v>
      </c>
      <c r="F585">
        <f t="shared" si="34"/>
        <v>0</v>
      </c>
      <c r="G585" t="str">
        <f t="shared" si="35"/>
        <v>extra</v>
      </c>
      <c r="J585">
        <v>554</v>
      </c>
      <c r="K585">
        <v>0.32217926414987147</v>
      </c>
    </row>
    <row r="586" spans="1:11" x14ac:dyDescent="0.25">
      <c r="A586" s="3">
        <v>40731</v>
      </c>
      <c r="B586">
        <v>3101.68</v>
      </c>
      <c r="C586">
        <f t="shared" si="32"/>
        <v>0.99613644173670635</v>
      </c>
      <c r="D586">
        <v>570</v>
      </c>
      <c r="E586">
        <f t="shared" si="33"/>
        <v>0</v>
      </c>
      <c r="F586">
        <f t="shared" si="34"/>
        <v>0</v>
      </c>
      <c r="G586" t="str">
        <f t="shared" si="35"/>
        <v>extra</v>
      </c>
      <c r="J586">
        <v>555</v>
      </c>
      <c r="K586">
        <v>0.32218850246250347</v>
      </c>
    </row>
    <row r="587" spans="1:11" x14ac:dyDescent="0.25">
      <c r="A587" s="3">
        <v>40730</v>
      </c>
      <c r="B587">
        <v>3113.71</v>
      </c>
      <c r="C587">
        <f t="shared" si="32"/>
        <v>0.99718494795836665</v>
      </c>
      <c r="D587">
        <v>571</v>
      </c>
      <c r="E587">
        <f t="shared" si="33"/>
        <v>0</v>
      </c>
      <c r="F587">
        <f t="shared" si="34"/>
        <v>0</v>
      </c>
      <c r="G587" t="str">
        <f t="shared" si="35"/>
        <v>extra</v>
      </c>
      <c r="J587">
        <v>556</v>
      </c>
      <c r="K587">
        <v>0.32224233040495531</v>
      </c>
    </row>
    <row r="588" spans="1:11" x14ac:dyDescent="0.25">
      <c r="A588" s="3">
        <v>40729</v>
      </c>
      <c r="B588">
        <v>3122.5</v>
      </c>
      <c r="C588">
        <f t="shared" si="32"/>
        <v>1.0001665609645161</v>
      </c>
      <c r="D588">
        <v>572</v>
      </c>
      <c r="E588">
        <f t="shared" si="33"/>
        <v>0</v>
      </c>
      <c r="F588">
        <f t="shared" si="34"/>
        <v>0</v>
      </c>
      <c r="G588" t="str">
        <f t="shared" si="35"/>
        <v>extra</v>
      </c>
      <c r="J588">
        <v>557</v>
      </c>
      <c r="K588">
        <v>0.32233812899011804</v>
      </c>
    </row>
    <row r="589" spans="1:11" x14ac:dyDescent="0.25">
      <c r="A589" s="3">
        <v>40728</v>
      </c>
      <c r="B589">
        <v>3121.98</v>
      </c>
      <c r="C589">
        <f t="shared" si="32"/>
        <v>1.0236839085170917</v>
      </c>
      <c r="D589">
        <v>573</v>
      </c>
      <c r="E589">
        <f t="shared" si="33"/>
        <v>0</v>
      </c>
      <c r="F589">
        <f t="shared" si="34"/>
        <v>0</v>
      </c>
      <c r="G589" t="str">
        <f t="shared" si="35"/>
        <v>extra</v>
      </c>
      <c r="J589">
        <v>558</v>
      </c>
      <c r="K589">
        <v>0.32235738301431915</v>
      </c>
    </row>
    <row r="590" spans="1:11" x14ac:dyDescent="0.25">
      <c r="A590" s="3">
        <v>40725</v>
      </c>
      <c r="B590">
        <v>3049.75</v>
      </c>
      <c r="C590">
        <f t="shared" si="32"/>
        <v>1.0018593405582621</v>
      </c>
      <c r="D590">
        <v>574</v>
      </c>
      <c r="E590">
        <f t="shared" si="33"/>
        <v>0</v>
      </c>
      <c r="F590">
        <f t="shared" si="34"/>
        <v>0</v>
      </c>
      <c r="G590" t="str">
        <f t="shared" si="35"/>
        <v>extra</v>
      </c>
      <c r="J590">
        <v>559</v>
      </c>
      <c r="K590">
        <v>0.32400531206935446</v>
      </c>
    </row>
    <row r="591" spans="1:11" x14ac:dyDescent="0.25">
      <c r="A591" s="3">
        <v>40724</v>
      </c>
      <c r="B591">
        <v>3044.09</v>
      </c>
      <c r="C591">
        <f t="shared" si="32"/>
        <v>1.0146391704470081</v>
      </c>
      <c r="D591">
        <v>575</v>
      </c>
      <c r="E591">
        <f t="shared" si="33"/>
        <v>0</v>
      </c>
      <c r="F591">
        <f t="shared" si="34"/>
        <v>0</v>
      </c>
      <c r="G591" t="str">
        <f t="shared" si="35"/>
        <v>extra</v>
      </c>
      <c r="J591">
        <v>560</v>
      </c>
      <c r="K591">
        <v>0.32402178869015225</v>
      </c>
    </row>
    <row r="592" spans="1:11" x14ac:dyDescent="0.25">
      <c r="A592" s="3">
        <v>40723</v>
      </c>
      <c r="B592">
        <v>3000.17</v>
      </c>
      <c r="C592">
        <f t="shared" si="32"/>
        <v>0.98633672285179819</v>
      </c>
      <c r="D592">
        <v>576</v>
      </c>
      <c r="E592">
        <f t="shared" si="33"/>
        <v>0</v>
      </c>
      <c r="F592">
        <f t="shared" si="34"/>
        <v>0</v>
      </c>
      <c r="G592" t="str">
        <f t="shared" si="35"/>
        <v>extra</v>
      </c>
      <c r="J592">
        <v>561</v>
      </c>
      <c r="K592">
        <v>0.32417759893479492</v>
      </c>
    </row>
    <row r="593" spans="1:11" x14ac:dyDescent="0.25">
      <c r="A593" s="3">
        <v>40722</v>
      </c>
      <c r="B593">
        <v>3041.73</v>
      </c>
      <c r="C593">
        <f t="shared" si="32"/>
        <v>1.0017256766859104</v>
      </c>
      <c r="D593">
        <v>577</v>
      </c>
      <c r="E593">
        <f t="shared" si="33"/>
        <v>0</v>
      </c>
      <c r="F593">
        <f t="shared" si="34"/>
        <v>0</v>
      </c>
      <c r="G593" t="str">
        <f t="shared" si="35"/>
        <v>extra</v>
      </c>
      <c r="J593">
        <v>562</v>
      </c>
      <c r="K593">
        <v>0.32417724347679749</v>
      </c>
    </row>
    <row r="594" spans="1:11" x14ac:dyDescent="0.25">
      <c r="A594" s="3">
        <v>40721</v>
      </c>
      <c r="B594">
        <v>3036.49</v>
      </c>
      <c r="C594">
        <f t="shared" ref="C594:C657" si="36">B594/B595</f>
        <v>1.002979385427436</v>
      </c>
      <c r="D594">
        <v>578</v>
      </c>
      <c r="E594">
        <f t="shared" ref="E594:E657" si="37">IF(D594&gt;$B$6,0,LN(C594))</f>
        <v>0</v>
      </c>
      <c r="F594">
        <f t="shared" ref="F594:F657" si="38">IF(D594&gt;$B$6,0,(E594-$B$7)^2)</f>
        <v>0</v>
      </c>
      <c r="G594" t="str">
        <f t="shared" ref="G594:G657" si="39">IF(D594&lt;=$B$6,E594,"extra")</f>
        <v>extra</v>
      </c>
      <c r="J594">
        <v>563</v>
      </c>
      <c r="K594">
        <v>0.32428381574366094</v>
      </c>
    </row>
    <row r="595" spans="1:11" x14ac:dyDescent="0.25">
      <c r="A595" s="3">
        <v>40718</v>
      </c>
      <c r="B595">
        <v>3027.47</v>
      </c>
      <c r="C595">
        <f t="shared" si="36"/>
        <v>1.0236135013507435</v>
      </c>
      <c r="D595">
        <v>579</v>
      </c>
      <c r="E595">
        <f t="shared" si="37"/>
        <v>0</v>
      </c>
      <c r="F595">
        <f t="shared" si="38"/>
        <v>0</v>
      </c>
      <c r="G595" t="str">
        <f t="shared" si="39"/>
        <v>extra</v>
      </c>
      <c r="J595">
        <v>564</v>
      </c>
      <c r="K595">
        <v>0.32428629911052725</v>
      </c>
    </row>
    <row r="596" spans="1:11" x14ac:dyDescent="0.25">
      <c r="A596" s="3">
        <v>40717</v>
      </c>
      <c r="B596">
        <v>2957.63</v>
      </c>
      <c r="C596">
        <f t="shared" si="36"/>
        <v>1.0168638992223009</v>
      </c>
      <c r="D596">
        <v>580</v>
      </c>
      <c r="E596">
        <f t="shared" si="37"/>
        <v>0</v>
      </c>
      <c r="F596">
        <f t="shared" si="38"/>
        <v>0</v>
      </c>
      <c r="G596" t="str">
        <f t="shared" si="39"/>
        <v>extra</v>
      </c>
      <c r="J596">
        <v>565</v>
      </c>
      <c r="K596">
        <v>0.32431963334103975</v>
      </c>
    </row>
    <row r="597" spans="1:11" x14ac:dyDescent="0.25">
      <c r="A597" s="3">
        <v>40716</v>
      </c>
      <c r="B597">
        <v>2908.58</v>
      </c>
      <c r="C597">
        <f t="shared" si="36"/>
        <v>0.99983156128934669</v>
      </c>
      <c r="D597">
        <v>581</v>
      </c>
      <c r="E597">
        <f t="shared" si="37"/>
        <v>0</v>
      </c>
      <c r="F597">
        <f t="shared" si="38"/>
        <v>0</v>
      </c>
      <c r="G597" t="str">
        <f t="shared" si="39"/>
        <v>extra</v>
      </c>
      <c r="J597">
        <v>566</v>
      </c>
      <c r="K597">
        <v>0.3243381139991694</v>
      </c>
    </row>
    <row r="598" spans="1:11" x14ac:dyDescent="0.25">
      <c r="A598" s="3">
        <v>40715</v>
      </c>
      <c r="B598">
        <v>2909.07</v>
      </c>
      <c r="C598">
        <f t="shared" si="36"/>
        <v>1.0118856308045499</v>
      </c>
      <c r="D598">
        <v>582</v>
      </c>
      <c r="E598">
        <f t="shared" si="37"/>
        <v>0</v>
      </c>
      <c r="F598">
        <f t="shared" si="38"/>
        <v>0</v>
      </c>
      <c r="G598" t="str">
        <f t="shared" si="39"/>
        <v>extra</v>
      </c>
      <c r="J598">
        <v>567</v>
      </c>
      <c r="K598">
        <v>0.32475751906438088</v>
      </c>
    </row>
    <row r="599" spans="1:11" x14ac:dyDescent="0.25">
      <c r="A599" s="3">
        <v>40714</v>
      </c>
      <c r="B599">
        <v>2874.9</v>
      </c>
      <c r="C599">
        <f t="shared" si="36"/>
        <v>0.99403214206682899</v>
      </c>
      <c r="D599">
        <v>583</v>
      </c>
      <c r="E599">
        <f t="shared" si="37"/>
        <v>0</v>
      </c>
      <c r="F599">
        <f t="shared" si="38"/>
        <v>0</v>
      </c>
      <c r="G599" t="str">
        <f t="shared" si="39"/>
        <v>extra</v>
      </c>
      <c r="J599">
        <v>568</v>
      </c>
      <c r="K599">
        <v>0.32524402553888959</v>
      </c>
    </row>
    <row r="600" spans="1:11" x14ac:dyDescent="0.25">
      <c r="A600" s="3">
        <v>40711</v>
      </c>
      <c r="B600">
        <v>2892.16</v>
      </c>
      <c r="C600">
        <f t="shared" si="36"/>
        <v>0.99128729974842156</v>
      </c>
      <c r="D600">
        <v>584</v>
      </c>
      <c r="E600">
        <f t="shared" si="37"/>
        <v>0</v>
      </c>
      <c r="F600">
        <f t="shared" si="38"/>
        <v>0</v>
      </c>
      <c r="G600" t="str">
        <f t="shared" si="39"/>
        <v>extra</v>
      </c>
      <c r="J600">
        <v>569</v>
      </c>
      <c r="K600">
        <v>0.32524795431421899</v>
      </c>
    </row>
    <row r="601" spans="1:11" x14ac:dyDescent="0.25">
      <c r="A601" s="3">
        <v>40710</v>
      </c>
      <c r="B601">
        <v>2917.58</v>
      </c>
      <c r="C601">
        <f t="shared" si="36"/>
        <v>0.98463106455357863</v>
      </c>
      <c r="D601">
        <v>585</v>
      </c>
      <c r="E601">
        <f t="shared" si="37"/>
        <v>0</v>
      </c>
      <c r="F601">
        <f t="shared" si="38"/>
        <v>0</v>
      </c>
      <c r="G601" t="str">
        <f t="shared" si="39"/>
        <v>extra</v>
      </c>
      <c r="J601">
        <v>570</v>
      </c>
      <c r="K601">
        <v>0.32525996556663905</v>
      </c>
    </row>
    <row r="602" spans="1:11" x14ac:dyDescent="0.25">
      <c r="A602" s="3">
        <v>40709</v>
      </c>
      <c r="B602">
        <v>2963.12</v>
      </c>
      <c r="C602">
        <f t="shared" si="36"/>
        <v>0.98983150496398931</v>
      </c>
      <c r="D602">
        <v>586</v>
      </c>
      <c r="E602">
        <f t="shared" si="37"/>
        <v>0</v>
      </c>
      <c r="F602">
        <f t="shared" si="38"/>
        <v>0</v>
      </c>
      <c r="G602" t="str">
        <f t="shared" si="39"/>
        <v>extra</v>
      </c>
      <c r="J602">
        <v>571</v>
      </c>
      <c r="K602">
        <v>0.32527659502337919</v>
      </c>
    </row>
    <row r="603" spans="1:11" x14ac:dyDescent="0.25">
      <c r="A603" s="3">
        <v>40708</v>
      </c>
      <c r="B603">
        <v>2993.56</v>
      </c>
      <c r="C603">
        <f t="shared" si="36"/>
        <v>1.0146457199993222</v>
      </c>
      <c r="D603">
        <v>587</v>
      </c>
      <c r="E603">
        <f t="shared" si="37"/>
        <v>0</v>
      </c>
      <c r="F603">
        <f t="shared" si="38"/>
        <v>0</v>
      </c>
      <c r="G603" t="str">
        <f t="shared" si="39"/>
        <v>extra</v>
      </c>
      <c r="J603">
        <v>572</v>
      </c>
      <c r="K603">
        <v>0.32528392568615672</v>
      </c>
    </row>
    <row r="604" spans="1:11" x14ac:dyDescent="0.25">
      <c r="A604" s="3">
        <v>40707</v>
      </c>
      <c r="B604">
        <v>2950.35</v>
      </c>
      <c r="C604">
        <f t="shared" si="36"/>
        <v>0.99609038701117181</v>
      </c>
      <c r="D604">
        <v>588</v>
      </c>
      <c r="E604">
        <f t="shared" si="37"/>
        <v>0</v>
      </c>
      <c r="F604">
        <f t="shared" si="38"/>
        <v>0</v>
      </c>
      <c r="G604" t="str">
        <f t="shared" si="39"/>
        <v>extra</v>
      </c>
      <c r="J604">
        <v>573</v>
      </c>
      <c r="K604">
        <v>0.3252836081539478</v>
      </c>
    </row>
    <row r="605" spans="1:11" x14ac:dyDescent="0.25">
      <c r="A605" s="3">
        <v>40704</v>
      </c>
      <c r="B605">
        <v>2961.93</v>
      </c>
      <c r="C605">
        <f t="shared" si="36"/>
        <v>1.003401210749723</v>
      </c>
      <c r="D605">
        <v>589</v>
      </c>
      <c r="E605">
        <f t="shared" si="37"/>
        <v>0</v>
      </c>
      <c r="F605">
        <f t="shared" si="38"/>
        <v>0</v>
      </c>
      <c r="G605" t="str">
        <f t="shared" si="39"/>
        <v>extra</v>
      </c>
      <c r="J605">
        <v>574</v>
      </c>
      <c r="K605">
        <v>0.3261612656243682</v>
      </c>
    </row>
    <row r="606" spans="1:11" x14ac:dyDescent="0.25">
      <c r="A606" s="3">
        <v>40703</v>
      </c>
      <c r="B606">
        <v>2951.89</v>
      </c>
      <c r="C606">
        <f t="shared" si="36"/>
        <v>0.9811343958253701</v>
      </c>
      <c r="D606">
        <v>590</v>
      </c>
      <c r="E606">
        <f t="shared" si="37"/>
        <v>0</v>
      </c>
      <c r="F606">
        <f t="shared" si="38"/>
        <v>0</v>
      </c>
      <c r="G606" t="str">
        <f t="shared" si="39"/>
        <v>extra</v>
      </c>
      <c r="J606">
        <v>575</v>
      </c>
      <c r="K606">
        <v>0.32616848211575122</v>
      </c>
    </row>
    <row r="607" spans="1:11" x14ac:dyDescent="0.25">
      <c r="A607" s="3">
        <v>40702</v>
      </c>
      <c r="B607">
        <v>3008.65</v>
      </c>
      <c r="C607">
        <f t="shared" si="36"/>
        <v>1.0014612583464813</v>
      </c>
      <c r="D607">
        <v>591</v>
      </c>
      <c r="E607">
        <f t="shared" si="37"/>
        <v>0</v>
      </c>
      <c r="F607">
        <f t="shared" si="38"/>
        <v>0</v>
      </c>
      <c r="G607" t="str">
        <f t="shared" si="39"/>
        <v>extra</v>
      </c>
      <c r="J607">
        <v>576</v>
      </c>
      <c r="K607">
        <v>0.32651206033311875</v>
      </c>
    </row>
    <row r="608" spans="1:11" x14ac:dyDescent="0.25">
      <c r="A608" s="3">
        <v>40701</v>
      </c>
      <c r="B608">
        <v>3004.26</v>
      </c>
      <c r="C608">
        <f t="shared" si="36"/>
        <v>1.0059972876588479</v>
      </c>
      <c r="D608">
        <v>592</v>
      </c>
      <c r="E608">
        <f t="shared" si="37"/>
        <v>0</v>
      </c>
      <c r="F608">
        <f t="shared" si="38"/>
        <v>0</v>
      </c>
      <c r="G608" t="str">
        <f t="shared" si="39"/>
        <v>extra</v>
      </c>
      <c r="J608">
        <v>577</v>
      </c>
      <c r="K608">
        <v>0.32678366761796107</v>
      </c>
    </row>
    <row r="609" spans="1:11" x14ac:dyDescent="0.25">
      <c r="A609" s="3">
        <v>40697</v>
      </c>
      <c r="B609">
        <v>2986.35</v>
      </c>
      <c r="C609">
        <f t="shared" si="36"/>
        <v>1.0103663755916514</v>
      </c>
      <c r="D609">
        <v>593</v>
      </c>
      <c r="E609">
        <f t="shared" si="37"/>
        <v>0</v>
      </c>
      <c r="F609">
        <f t="shared" si="38"/>
        <v>0</v>
      </c>
      <c r="G609" t="str">
        <f t="shared" si="39"/>
        <v>extra</v>
      </c>
      <c r="J609">
        <v>578</v>
      </c>
      <c r="K609">
        <v>0.32678991227377902</v>
      </c>
    </row>
    <row r="610" spans="1:11" x14ac:dyDescent="0.25">
      <c r="A610" s="3">
        <v>40696</v>
      </c>
      <c r="B610">
        <v>2955.71</v>
      </c>
      <c r="C610">
        <f t="shared" si="36"/>
        <v>0.98386908863346612</v>
      </c>
      <c r="D610">
        <v>594</v>
      </c>
      <c r="E610">
        <f t="shared" si="37"/>
        <v>0</v>
      </c>
      <c r="F610">
        <f t="shared" si="38"/>
        <v>0</v>
      </c>
      <c r="G610" t="str">
        <f t="shared" si="39"/>
        <v>extra</v>
      </c>
      <c r="J610">
        <v>579</v>
      </c>
      <c r="K610">
        <v>0.32680684404676091</v>
      </c>
    </row>
    <row r="611" spans="1:11" x14ac:dyDescent="0.25">
      <c r="A611" s="3">
        <v>40695</v>
      </c>
      <c r="B611">
        <v>3004.17</v>
      </c>
      <c r="C611">
        <f t="shared" si="36"/>
        <v>1.0008695478351257</v>
      </c>
      <c r="D611">
        <v>595</v>
      </c>
      <c r="E611">
        <f t="shared" si="37"/>
        <v>0</v>
      </c>
      <c r="F611">
        <f t="shared" si="38"/>
        <v>0</v>
      </c>
      <c r="G611" t="str">
        <f t="shared" si="39"/>
        <v>extra</v>
      </c>
      <c r="J611">
        <v>580</v>
      </c>
      <c r="K611">
        <v>0.32767115300999122</v>
      </c>
    </row>
    <row r="612" spans="1:11" x14ac:dyDescent="0.25">
      <c r="A612" s="3">
        <v>40694</v>
      </c>
      <c r="B612">
        <v>3001.56</v>
      </c>
      <c r="C612">
        <f t="shared" si="36"/>
        <v>1.015924806482293</v>
      </c>
      <c r="D612">
        <v>596</v>
      </c>
      <c r="E612">
        <f t="shared" si="37"/>
        <v>0</v>
      </c>
      <c r="F612">
        <f t="shared" si="38"/>
        <v>0</v>
      </c>
      <c r="G612" t="str">
        <f t="shared" si="39"/>
        <v>extra</v>
      </c>
      <c r="J612">
        <v>581</v>
      </c>
      <c r="K612">
        <v>0.32811787913655771</v>
      </c>
    </row>
    <row r="613" spans="1:11" x14ac:dyDescent="0.25">
      <c r="A613" s="3">
        <v>40693</v>
      </c>
      <c r="B613">
        <v>2954.51</v>
      </c>
      <c r="C613">
        <f t="shared" si="36"/>
        <v>0.99703034782051159</v>
      </c>
      <c r="D613">
        <v>597</v>
      </c>
      <c r="E613">
        <f t="shared" si="37"/>
        <v>0</v>
      </c>
      <c r="F613">
        <f t="shared" si="38"/>
        <v>0</v>
      </c>
      <c r="G613" t="str">
        <f t="shared" si="39"/>
        <v>extra</v>
      </c>
      <c r="J613">
        <v>582</v>
      </c>
      <c r="K613">
        <v>0.32811696569132459</v>
      </c>
    </row>
    <row r="614" spans="1:11" x14ac:dyDescent="0.25">
      <c r="A614" s="3">
        <v>40690</v>
      </c>
      <c r="B614">
        <v>2963.31</v>
      </c>
      <c r="C614">
        <f t="shared" si="36"/>
        <v>0.99494020239190428</v>
      </c>
      <c r="D614">
        <v>598</v>
      </c>
      <c r="E614">
        <f t="shared" si="37"/>
        <v>0</v>
      </c>
      <c r="F614">
        <f t="shared" si="38"/>
        <v>0</v>
      </c>
      <c r="G614" t="str">
        <f t="shared" si="39"/>
        <v>extra</v>
      </c>
      <c r="J614">
        <v>583</v>
      </c>
      <c r="K614">
        <v>0.32834245985654209</v>
      </c>
    </row>
    <row r="615" spans="1:11" x14ac:dyDescent="0.25">
      <c r="A615" s="3">
        <v>40689</v>
      </c>
      <c r="B615">
        <v>2978.38</v>
      </c>
      <c r="C615">
        <f t="shared" si="36"/>
        <v>0.99600045479778221</v>
      </c>
      <c r="D615">
        <v>599</v>
      </c>
      <c r="E615">
        <f t="shared" si="37"/>
        <v>0</v>
      </c>
      <c r="F615">
        <f t="shared" si="38"/>
        <v>0</v>
      </c>
      <c r="G615" t="str">
        <f t="shared" si="39"/>
        <v>extra</v>
      </c>
      <c r="J615">
        <v>584</v>
      </c>
      <c r="K615">
        <v>0.32839000931752055</v>
      </c>
    </row>
    <row r="616" spans="1:11" x14ac:dyDescent="0.25">
      <c r="A616" s="3">
        <v>40688</v>
      </c>
      <c r="B616">
        <v>2990.34</v>
      </c>
      <c r="C616">
        <f t="shared" si="36"/>
        <v>0.98814362471994777</v>
      </c>
      <c r="D616">
        <v>600</v>
      </c>
      <c r="E616">
        <f t="shared" si="37"/>
        <v>0</v>
      </c>
      <c r="F616">
        <f t="shared" si="38"/>
        <v>0</v>
      </c>
      <c r="G616" t="str">
        <f t="shared" si="39"/>
        <v>extra</v>
      </c>
      <c r="J616">
        <v>585</v>
      </c>
      <c r="K616">
        <v>0.32849652538574936</v>
      </c>
    </row>
    <row r="617" spans="1:11" x14ac:dyDescent="0.25">
      <c r="A617" s="3">
        <v>40687</v>
      </c>
      <c r="B617">
        <v>3026.22</v>
      </c>
      <c r="C617">
        <f t="shared" si="36"/>
        <v>1.0010717900879265</v>
      </c>
      <c r="D617">
        <v>601</v>
      </c>
      <c r="E617">
        <f t="shared" si="37"/>
        <v>0</v>
      </c>
      <c r="F617">
        <f t="shared" si="38"/>
        <v>0</v>
      </c>
      <c r="G617" t="str">
        <f t="shared" si="39"/>
        <v>extra</v>
      </c>
      <c r="J617">
        <v>586</v>
      </c>
      <c r="K617">
        <v>0.32884386976366947</v>
      </c>
    </row>
    <row r="618" spans="1:11" x14ac:dyDescent="0.25">
      <c r="A618" s="3">
        <v>40686</v>
      </c>
      <c r="B618">
        <v>3022.98</v>
      </c>
      <c r="C618">
        <f t="shared" si="36"/>
        <v>0.96840722706304461</v>
      </c>
      <c r="D618">
        <v>602</v>
      </c>
      <c r="E618">
        <f t="shared" si="37"/>
        <v>0</v>
      </c>
      <c r="F618">
        <f t="shared" si="38"/>
        <v>0</v>
      </c>
      <c r="G618" t="str">
        <f t="shared" si="39"/>
        <v>extra</v>
      </c>
      <c r="J618">
        <v>587</v>
      </c>
      <c r="K618">
        <v>0.32898989505382759</v>
      </c>
    </row>
    <row r="619" spans="1:11" x14ac:dyDescent="0.25">
      <c r="A619" s="3">
        <v>40683</v>
      </c>
      <c r="B619">
        <v>3121.6</v>
      </c>
      <c r="C619">
        <f t="shared" si="36"/>
        <v>1.0003076292042659</v>
      </c>
      <c r="D619">
        <v>603</v>
      </c>
      <c r="E619">
        <f t="shared" si="37"/>
        <v>0</v>
      </c>
      <c r="F619">
        <f t="shared" si="38"/>
        <v>0</v>
      </c>
      <c r="G619" t="str">
        <f t="shared" si="39"/>
        <v>extra</v>
      </c>
      <c r="J619">
        <v>588</v>
      </c>
      <c r="K619">
        <v>0.3293291146482788</v>
      </c>
    </row>
    <row r="620" spans="1:11" x14ac:dyDescent="0.25">
      <c r="A620" s="3">
        <v>40682</v>
      </c>
      <c r="B620">
        <v>3120.64</v>
      </c>
      <c r="C620">
        <f t="shared" si="36"/>
        <v>0.99403066847594101</v>
      </c>
      <c r="D620">
        <v>604</v>
      </c>
      <c r="E620">
        <f t="shared" si="37"/>
        <v>0</v>
      </c>
      <c r="F620">
        <f t="shared" si="38"/>
        <v>0</v>
      </c>
      <c r="G620" t="str">
        <f t="shared" si="39"/>
        <v>extra</v>
      </c>
      <c r="J620">
        <v>589</v>
      </c>
      <c r="K620">
        <v>0.32934711322778298</v>
      </c>
    </row>
    <row r="621" spans="1:11" x14ac:dyDescent="0.25">
      <c r="A621" s="3">
        <v>40681</v>
      </c>
      <c r="B621">
        <v>3139.38</v>
      </c>
      <c r="C621">
        <f t="shared" si="36"/>
        <v>1.0074935093692936</v>
      </c>
      <c r="D621">
        <v>605</v>
      </c>
      <c r="E621">
        <f t="shared" si="37"/>
        <v>0</v>
      </c>
      <c r="F621">
        <f t="shared" si="38"/>
        <v>0</v>
      </c>
      <c r="G621" t="str">
        <f t="shared" si="39"/>
        <v>extra</v>
      </c>
      <c r="J621">
        <v>590</v>
      </c>
      <c r="K621">
        <v>0.32936798819253355</v>
      </c>
    </row>
    <row r="622" spans="1:11" x14ac:dyDescent="0.25">
      <c r="A622" s="3">
        <v>40680</v>
      </c>
      <c r="B622">
        <v>3116.03</v>
      </c>
      <c r="C622">
        <f t="shared" si="36"/>
        <v>1.0050218354695755</v>
      </c>
      <c r="D622">
        <v>606</v>
      </c>
      <c r="E622">
        <f t="shared" si="37"/>
        <v>0</v>
      </c>
      <c r="F622">
        <f t="shared" si="38"/>
        <v>0</v>
      </c>
      <c r="G622" t="str">
        <f t="shared" si="39"/>
        <v>extra</v>
      </c>
      <c r="J622">
        <v>591</v>
      </c>
      <c r="K622">
        <v>0.32989604952927792</v>
      </c>
    </row>
    <row r="623" spans="1:11" x14ac:dyDescent="0.25">
      <c r="A623" s="3">
        <v>40679</v>
      </c>
      <c r="B623">
        <v>3100.46</v>
      </c>
      <c r="C623">
        <f t="shared" si="36"/>
        <v>0.99116713393796207</v>
      </c>
      <c r="D623">
        <v>607</v>
      </c>
      <c r="E623">
        <f t="shared" si="37"/>
        <v>0</v>
      </c>
      <c r="F623">
        <f t="shared" si="38"/>
        <v>0</v>
      </c>
      <c r="G623" t="str">
        <f t="shared" si="39"/>
        <v>extra</v>
      </c>
      <c r="J623">
        <v>592</v>
      </c>
      <c r="K623">
        <v>0.32990046039122189</v>
      </c>
    </row>
    <row r="624" spans="1:11" x14ac:dyDescent="0.25">
      <c r="A624" s="3">
        <v>40676</v>
      </c>
      <c r="B624">
        <v>3128.09</v>
      </c>
      <c r="C624">
        <f t="shared" si="36"/>
        <v>1.0085407531596595</v>
      </c>
      <c r="D624">
        <v>608</v>
      </c>
      <c r="E624">
        <f t="shared" si="37"/>
        <v>0</v>
      </c>
      <c r="F624">
        <f t="shared" si="38"/>
        <v>0</v>
      </c>
      <c r="G624" t="str">
        <f t="shared" si="39"/>
        <v>extra</v>
      </c>
      <c r="J624">
        <v>593</v>
      </c>
      <c r="K624">
        <v>0.32996158808132375</v>
      </c>
    </row>
    <row r="625" spans="1:11" x14ac:dyDescent="0.25">
      <c r="A625" s="3">
        <v>40675</v>
      </c>
      <c r="B625">
        <v>3101.6</v>
      </c>
      <c r="C625">
        <f t="shared" si="36"/>
        <v>0.98617209682393814</v>
      </c>
      <c r="D625">
        <v>609</v>
      </c>
      <c r="E625">
        <f t="shared" si="37"/>
        <v>0</v>
      </c>
      <c r="F625">
        <f t="shared" si="38"/>
        <v>0</v>
      </c>
      <c r="G625" t="str">
        <f t="shared" si="39"/>
        <v>extra</v>
      </c>
      <c r="J625">
        <v>594</v>
      </c>
      <c r="K625">
        <v>0.33013494683963751</v>
      </c>
    </row>
    <row r="626" spans="1:11" x14ac:dyDescent="0.25">
      <c r="A626" s="3">
        <v>40674</v>
      </c>
      <c r="B626">
        <v>3145.09</v>
      </c>
      <c r="C626">
        <f t="shared" si="36"/>
        <v>0.99742168323174418</v>
      </c>
      <c r="D626">
        <v>610</v>
      </c>
      <c r="E626">
        <f t="shared" si="37"/>
        <v>0</v>
      </c>
      <c r="F626">
        <f t="shared" si="38"/>
        <v>0</v>
      </c>
      <c r="G626" t="str">
        <f t="shared" si="39"/>
        <v>extra</v>
      </c>
      <c r="J626">
        <v>595</v>
      </c>
      <c r="K626">
        <v>0.33051617740601208</v>
      </c>
    </row>
    <row r="627" spans="1:11" x14ac:dyDescent="0.25">
      <c r="A627" s="3">
        <v>40673</v>
      </c>
      <c r="B627">
        <v>3153.22</v>
      </c>
      <c r="C627">
        <f t="shared" si="36"/>
        <v>1.0074957824242112</v>
      </c>
      <c r="D627">
        <v>611</v>
      </c>
      <c r="E627">
        <f t="shared" si="37"/>
        <v>0</v>
      </c>
      <c r="F627">
        <f t="shared" si="38"/>
        <v>0</v>
      </c>
      <c r="G627" t="str">
        <f t="shared" si="39"/>
        <v>extra</v>
      </c>
      <c r="J627">
        <v>596</v>
      </c>
      <c r="K627">
        <v>0.3305177330683155</v>
      </c>
    </row>
    <row r="628" spans="1:11" x14ac:dyDescent="0.25">
      <c r="A628" s="3">
        <v>40672</v>
      </c>
      <c r="B628">
        <v>3129.76</v>
      </c>
      <c r="C628">
        <f t="shared" si="36"/>
        <v>1.0026782853847633</v>
      </c>
      <c r="D628">
        <v>612</v>
      </c>
      <c r="E628">
        <f t="shared" si="37"/>
        <v>0</v>
      </c>
      <c r="F628">
        <f t="shared" si="38"/>
        <v>0</v>
      </c>
      <c r="G628" t="str">
        <f t="shared" si="39"/>
        <v>extra</v>
      </c>
      <c r="J628">
        <v>597</v>
      </c>
      <c r="K628">
        <v>0.3309147384397344</v>
      </c>
    </row>
    <row r="629" spans="1:11" x14ac:dyDescent="0.25">
      <c r="A629" s="3">
        <v>40669</v>
      </c>
      <c r="B629">
        <v>3121.4</v>
      </c>
      <c r="C629">
        <f t="shared" si="36"/>
        <v>0.99849014113341783</v>
      </c>
      <c r="D629">
        <v>613</v>
      </c>
      <c r="E629">
        <f t="shared" si="37"/>
        <v>0</v>
      </c>
      <c r="F629">
        <f t="shared" si="38"/>
        <v>0</v>
      </c>
      <c r="G629" t="str">
        <f t="shared" si="39"/>
        <v>extra</v>
      </c>
      <c r="J629">
        <v>598</v>
      </c>
      <c r="K629">
        <v>0.33092396488815112</v>
      </c>
    </row>
    <row r="630" spans="1:11" x14ac:dyDescent="0.25">
      <c r="A630" s="3">
        <v>40668</v>
      </c>
      <c r="B630">
        <v>3126.12</v>
      </c>
      <c r="C630">
        <f t="shared" si="36"/>
        <v>0.99906999932886542</v>
      </c>
      <c r="D630">
        <v>614</v>
      </c>
      <c r="E630">
        <f t="shared" si="37"/>
        <v>0</v>
      </c>
      <c r="F630">
        <f t="shared" si="38"/>
        <v>0</v>
      </c>
      <c r="G630" t="str">
        <f t="shared" si="39"/>
        <v>extra</v>
      </c>
      <c r="J630">
        <v>599</v>
      </c>
      <c r="K630">
        <v>0.33095625160201642</v>
      </c>
    </row>
    <row r="631" spans="1:11" x14ac:dyDescent="0.25">
      <c r="A631" s="3">
        <v>40667</v>
      </c>
      <c r="B631">
        <v>3129.03</v>
      </c>
      <c r="C631">
        <f t="shared" si="36"/>
        <v>0.97443267634757857</v>
      </c>
      <c r="D631">
        <v>615</v>
      </c>
      <c r="E631">
        <f t="shared" si="37"/>
        <v>0</v>
      </c>
      <c r="F631">
        <f t="shared" si="38"/>
        <v>0</v>
      </c>
      <c r="G631" t="str">
        <f t="shared" si="39"/>
        <v>extra</v>
      </c>
      <c r="J631">
        <v>600</v>
      </c>
      <c r="K631">
        <v>0.33097506847513219</v>
      </c>
    </row>
    <row r="632" spans="1:11" x14ac:dyDescent="0.25">
      <c r="A632" s="3">
        <v>40666</v>
      </c>
      <c r="B632">
        <v>3211.13</v>
      </c>
      <c r="C632">
        <f t="shared" si="36"/>
        <v>1.0057662432032877</v>
      </c>
      <c r="D632">
        <v>616</v>
      </c>
      <c r="E632">
        <f t="shared" si="37"/>
        <v>0</v>
      </c>
      <c r="F632">
        <f t="shared" si="38"/>
        <v>0</v>
      </c>
      <c r="G632" t="str">
        <f t="shared" si="39"/>
        <v>extra</v>
      </c>
      <c r="J632">
        <v>601</v>
      </c>
      <c r="K632">
        <v>0.33117509533684808</v>
      </c>
    </row>
    <row r="633" spans="1:11" x14ac:dyDescent="0.25">
      <c r="A633" s="3">
        <v>40662</v>
      </c>
      <c r="B633">
        <v>3192.72</v>
      </c>
      <c r="C633">
        <f t="shared" si="36"/>
        <v>1.0097856270834782</v>
      </c>
      <c r="D633">
        <v>617</v>
      </c>
      <c r="E633">
        <f t="shared" si="37"/>
        <v>0</v>
      </c>
      <c r="F633">
        <f t="shared" si="38"/>
        <v>0</v>
      </c>
      <c r="G633" t="str">
        <f t="shared" si="39"/>
        <v>extra</v>
      </c>
      <c r="J633">
        <v>602</v>
      </c>
      <c r="K633">
        <v>0.33117754426445645</v>
      </c>
    </row>
    <row r="634" spans="1:11" x14ac:dyDescent="0.25">
      <c r="A634" s="3">
        <v>40661</v>
      </c>
      <c r="B634">
        <v>3161.78</v>
      </c>
      <c r="C634">
        <f t="shared" si="36"/>
        <v>0.98513164044243662</v>
      </c>
      <c r="D634">
        <v>618</v>
      </c>
      <c r="E634">
        <f t="shared" si="37"/>
        <v>0</v>
      </c>
      <c r="F634">
        <f t="shared" si="38"/>
        <v>0</v>
      </c>
      <c r="G634" t="str">
        <f t="shared" si="39"/>
        <v>extra</v>
      </c>
      <c r="J634">
        <v>603</v>
      </c>
      <c r="K634">
        <v>0.33269131169480176</v>
      </c>
    </row>
    <row r="635" spans="1:11" x14ac:dyDescent="0.25">
      <c r="A635" s="3">
        <v>40660</v>
      </c>
      <c r="B635">
        <v>3209.5</v>
      </c>
      <c r="C635">
        <f t="shared" si="36"/>
        <v>0.99335801124124101</v>
      </c>
      <c r="D635">
        <v>619</v>
      </c>
      <c r="E635">
        <f t="shared" si="37"/>
        <v>0</v>
      </c>
      <c r="F635">
        <f t="shared" si="38"/>
        <v>0</v>
      </c>
      <c r="G635" t="str">
        <f t="shared" si="39"/>
        <v>extra</v>
      </c>
      <c r="J635">
        <v>604</v>
      </c>
      <c r="K635">
        <v>0.33269130805804353</v>
      </c>
    </row>
    <row r="636" spans="1:11" x14ac:dyDescent="0.25">
      <c r="A636" s="3">
        <v>40659</v>
      </c>
      <c r="B636">
        <v>3230.96</v>
      </c>
      <c r="C636">
        <f t="shared" si="36"/>
        <v>0.99427308843939344</v>
      </c>
      <c r="D636">
        <v>620</v>
      </c>
      <c r="E636">
        <f t="shared" si="37"/>
        <v>0</v>
      </c>
      <c r="F636">
        <f t="shared" si="38"/>
        <v>0</v>
      </c>
      <c r="G636" t="str">
        <f t="shared" si="39"/>
        <v>extra</v>
      </c>
      <c r="J636">
        <v>605</v>
      </c>
      <c r="K636">
        <v>0.33273621768251366</v>
      </c>
    </row>
    <row r="637" spans="1:11" x14ac:dyDescent="0.25">
      <c r="A637" s="3">
        <v>40658</v>
      </c>
      <c r="B637">
        <v>3249.57</v>
      </c>
      <c r="C637">
        <f t="shared" si="36"/>
        <v>0.98473608611065655</v>
      </c>
      <c r="D637">
        <v>621</v>
      </c>
      <c r="E637">
        <f t="shared" si="37"/>
        <v>0</v>
      </c>
      <c r="F637">
        <f t="shared" si="38"/>
        <v>0</v>
      </c>
      <c r="G637" t="str">
        <f t="shared" si="39"/>
        <v>extra</v>
      </c>
      <c r="J637">
        <v>606</v>
      </c>
      <c r="K637">
        <v>0.33283029418262694</v>
      </c>
    </row>
    <row r="638" spans="1:11" x14ac:dyDescent="0.25">
      <c r="A638" s="3">
        <v>40655</v>
      </c>
      <c r="B638">
        <v>3299.94</v>
      </c>
      <c r="C638">
        <f t="shared" si="36"/>
        <v>0.99474583781730719</v>
      </c>
      <c r="D638">
        <v>622</v>
      </c>
      <c r="E638">
        <f t="shared" si="37"/>
        <v>0</v>
      </c>
      <c r="F638">
        <f t="shared" si="38"/>
        <v>0</v>
      </c>
      <c r="G638" t="str">
        <f t="shared" si="39"/>
        <v>extra</v>
      </c>
      <c r="J638">
        <v>607</v>
      </c>
      <c r="K638">
        <v>0.33287449094151178</v>
      </c>
    </row>
    <row r="639" spans="1:11" x14ac:dyDescent="0.25">
      <c r="A639" s="3">
        <v>40654</v>
      </c>
      <c r="B639">
        <v>3317.37</v>
      </c>
      <c r="C639">
        <f t="shared" si="36"/>
        <v>1.0065569094837001</v>
      </c>
      <c r="D639">
        <v>623</v>
      </c>
      <c r="E639">
        <f t="shared" si="37"/>
        <v>0</v>
      </c>
      <c r="F639">
        <f t="shared" si="38"/>
        <v>0</v>
      </c>
      <c r="G639" t="str">
        <f t="shared" si="39"/>
        <v>extra</v>
      </c>
      <c r="J639">
        <v>608</v>
      </c>
      <c r="K639">
        <v>0.33298011684416212</v>
      </c>
    </row>
    <row r="640" spans="1:11" x14ac:dyDescent="0.25">
      <c r="A640" s="3">
        <v>40653</v>
      </c>
      <c r="B640">
        <v>3295.76</v>
      </c>
      <c r="C640">
        <f t="shared" si="36"/>
        <v>0.99998482922255838</v>
      </c>
      <c r="D640">
        <v>624</v>
      </c>
      <c r="E640">
        <f t="shared" si="37"/>
        <v>0</v>
      </c>
      <c r="F640">
        <f t="shared" si="38"/>
        <v>0</v>
      </c>
      <c r="G640" t="str">
        <f t="shared" si="39"/>
        <v>extra</v>
      </c>
      <c r="J640">
        <v>609</v>
      </c>
      <c r="K640">
        <v>0.3331003501784694</v>
      </c>
    </row>
    <row r="641" spans="1:11" x14ac:dyDescent="0.25">
      <c r="A641" s="3">
        <v>40652</v>
      </c>
      <c r="B641">
        <v>3295.81</v>
      </c>
      <c r="C641">
        <f t="shared" si="36"/>
        <v>0.98105934322387056</v>
      </c>
      <c r="D641">
        <v>625</v>
      </c>
      <c r="E641">
        <f t="shared" si="37"/>
        <v>0</v>
      </c>
      <c r="F641">
        <f t="shared" si="38"/>
        <v>0</v>
      </c>
      <c r="G641" t="str">
        <f t="shared" si="39"/>
        <v>extra</v>
      </c>
      <c r="J641">
        <v>610</v>
      </c>
      <c r="K641">
        <v>0.33337207754138837</v>
      </c>
    </row>
    <row r="642" spans="1:11" x14ac:dyDescent="0.25">
      <c r="A642" s="3">
        <v>40651</v>
      </c>
      <c r="B642">
        <v>3359.44</v>
      </c>
      <c r="C642">
        <f t="shared" si="36"/>
        <v>1.0001488564844863</v>
      </c>
      <c r="D642">
        <v>626</v>
      </c>
      <c r="E642">
        <f t="shared" si="37"/>
        <v>0</v>
      </c>
      <c r="F642">
        <f t="shared" si="38"/>
        <v>0</v>
      </c>
      <c r="G642" t="str">
        <f t="shared" si="39"/>
        <v>extra</v>
      </c>
      <c r="J642">
        <v>611</v>
      </c>
      <c r="K642">
        <v>0.33337782804977684</v>
      </c>
    </row>
    <row r="643" spans="1:11" x14ac:dyDescent="0.25">
      <c r="A643" s="3">
        <v>40648</v>
      </c>
      <c r="B643">
        <v>3358.94</v>
      </c>
      <c r="C643">
        <f t="shared" si="36"/>
        <v>1.0016042653180501</v>
      </c>
      <c r="D643">
        <v>627</v>
      </c>
      <c r="E643">
        <f t="shared" si="37"/>
        <v>0</v>
      </c>
      <c r="F643">
        <f t="shared" si="38"/>
        <v>0</v>
      </c>
      <c r="G643" t="str">
        <f t="shared" si="39"/>
        <v>extra</v>
      </c>
      <c r="J643">
        <v>612</v>
      </c>
      <c r="K643">
        <v>0.33347184986792849</v>
      </c>
    </row>
    <row r="644" spans="1:11" x14ac:dyDescent="0.25">
      <c r="A644" s="3">
        <v>40647</v>
      </c>
      <c r="B644">
        <v>3353.56</v>
      </c>
      <c r="C644">
        <f t="shared" si="36"/>
        <v>0.9945225872842175</v>
      </c>
      <c r="D644">
        <v>628</v>
      </c>
      <c r="E644">
        <f t="shared" si="37"/>
        <v>0</v>
      </c>
      <c r="F644">
        <f t="shared" si="38"/>
        <v>0</v>
      </c>
      <c r="G644" t="str">
        <f t="shared" si="39"/>
        <v>extra</v>
      </c>
      <c r="J644">
        <v>613</v>
      </c>
      <c r="K644">
        <v>0.33348579507876719</v>
      </c>
    </row>
    <row r="645" spans="1:11" x14ac:dyDescent="0.25">
      <c r="A645" s="3">
        <v>40646</v>
      </c>
      <c r="B645">
        <v>3372.03</v>
      </c>
      <c r="C645">
        <f t="shared" si="36"/>
        <v>1.0136047878272318</v>
      </c>
      <c r="D645">
        <v>629</v>
      </c>
      <c r="E645">
        <f t="shared" si="37"/>
        <v>0</v>
      </c>
      <c r="F645">
        <f t="shared" si="38"/>
        <v>0</v>
      </c>
      <c r="G645" t="str">
        <f t="shared" si="39"/>
        <v>extra</v>
      </c>
      <c r="J645">
        <v>614</v>
      </c>
      <c r="K645">
        <v>0.33348655451394221</v>
      </c>
    </row>
    <row r="646" spans="1:11" x14ac:dyDescent="0.25">
      <c r="A646" s="3">
        <v>40645</v>
      </c>
      <c r="B646">
        <v>3326.77</v>
      </c>
      <c r="C646">
        <f t="shared" si="36"/>
        <v>0.99800205794031982</v>
      </c>
      <c r="D646">
        <v>630</v>
      </c>
      <c r="E646">
        <f t="shared" si="37"/>
        <v>0</v>
      </c>
      <c r="F646">
        <f t="shared" si="38"/>
        <v>0</v>
      </c>
      <c r="G646" t="str">
        <f t="shared" si="39"/>
        <v>extra</v>
      </c>
      <c r="J646">
        <v>615</v>
      </c>
      <c r="K646">
        <v>0.33348599375387394</v>
      </c>
    </row>
    <row r="647" spans="1:11" x14ac:dyDescent="0.25">
      <c r="A647" s="3">
        <v>40644</v>
      </c>
      <c r="B647">
        <v>3333.43</v>
      </c>
      <c r="C647">
        <f t="shared" si="36"/>
        <v>0.99405670730252638</v>
      </c>
      <c r="D647">
        <v>631</v>
      </c>
      <c r="E647">
        <f t="shared" si="37"/>
        <v>0</v>
      </c>
      <c r="F647">
        <f t="shared" si="38"/>
        <v>0</v>
      </c>
      <c r="G647" t="str">
        <f t="shared" si="39"/>
        <v>extra</v>
      </c>
      <c r="J647">
        <v>616</v>
      </c>
      <c r="K647">
        <v>0.33445517184135343</v>
      </c>
    </row>
    <row r="648" spans="1:11" x14ac:dyDescent="0.25">
      <c r="A648" s="3">
        <v>40641</v>
      </c>
      <c r="B648">
        <v>3353.36</v>
      </c>
      <c r="C648">
        <f t="shared" si="36"/>
        <v>1.0087052779131398</v>
      </c>
      <c r="D648">
        <v>632</v>
      </c>
      <c r="E648">
        <f t="shared" si="37"/>
        <v>0</v>
      </c>
      <c r="F648">
        <f t="shared" si="38"/>
        <v>0</v>
      </c>
      <c r="G648" t="str">
        <f t="shared" si="39"/>
        <v>extra</v>
      </c>
      <c r="J648">
        <v>617</v>
      </c>
      <c r="K648">
        <v>0.33451290397275024</v>
      </c>
    </row>
    <row r="649" spans="1:11" x14ac:dyDescent="0.25">
      <c r="A649" s="3">
        <v>40640</v>
      </c>
      <c r="B649">
        <v>3324.42</v>
      </c>
      <c r="C649">
        <f t="shared" si="36"/>
        <v>1.0040319292554973</v>
      </c>
      <c r="D649">
        <v>633</v>
      </c>
      <c r="E649">
        <f t="shared" si="37"/>
        <v>0</v>
      </c>
      <c r="F649">
        <f t="shared" si="38"/>
        <v>0</v>
      </c>
      <c r="G649" t="str">
        <f t="shared" si="39"/>
        <v>extra</v>
      </c>
      <c r="J649">
        <v>618</v>
      </c>
      <c r="K649">
        <v>0.33466882157122951</v>
      </c>
    </row>
    <row r="650" spans="1:11" x14ac:dyDescent="0.25">
      <c r="A650" s="3">
        <v>40639</v>
      </c>
      <c r="B650">
        <v>3311.07</v>
      </c>
      <c r="C650">
        <f t="shared" si="36"/>
        <v>1.0117149902375082</v>
      </c>
      <c r="D650">
        <v>634</v>
      </c>
      <c r="E650">
        <f t="shared" si="37"/>
        <v>0</v>
      </c>
      <c r="F650">
        <f t="shared" si="38"/>
        <v>0</v>
      </c>
      <c r="G650" t="str">
        <f t="shared" si="39"/>
        <v>extra</v>
      </c>
      <c r="J650">
        <v>619</v>
      </c>
      <c r="K650">
        <v>0.33498240429035847</v>
      </c>
    </row>
    <row r="651" spans="1:11" x14ac:dyDescent="0.25">
      <c r="A651" s="3">
        <v>40634</v>
      </c>
      <c r="B651">
        <v>3272.73</v>
      </c>
      <c r="C651">
        <f t="shared" si="36"/>
        <v>1.0153383654588946</v>
      </c>
      <c r="D651">
        <v>635</v>
      </c>
      <c r="E651">
        <f t="shared" si="37"/>
        <v>0</v>
      </c>
      <c r="F651">
        <f t="shared" si="38"/>
        <v>0</v>
      </c>
      <c r="G651" t="str">
        <f t="shared" si="39"/>
        <v>extra</v>
      </c>
      <c r="J651">
        <v>620</v>
      </c>
      <c r="K651">
        <v>0.33503825879321542</v>
      </c>
    </row>
    <row r="652" spans="1:11" x14ac:dyDescent="0.25">
      <c r="A652" s="3">
        <v>40633</v>
      </c>
      <c r="B652">
        <v>3223.29</v>
      </c>
      <c r="C652">
        <f t="shared" si="36"/>
        <v>0.98992960860912504</v>
      </c>
      <c r="D652">
        <v>636</v>
      </c>
      <c r="E652">
        <f t="shared" si="37"/>
        <v>0</v>
      </c>
      <c r="F652">
        <f t="shared" si="38"/>
        <v>0</v>
      </c>
      <c r="G652" t="str">
        <f t="shared" si="39"/>
        <v>extra</v>
      </c>
      <c r="J652">
        <v>621</v>
      </c>
      <c r="K652">
        <v>0.33507826285539155</v>
      </c>
    </row>
    <row r="653" spans="1:11" x14ac:dyDescent="0.25">
      <c r="A653" s="3">
        <v>40632</v>
      </c>
      <c r="B653">
        <v>3256.08</v>
      </c>
      <c r="C653">
        <f t="shared" si="36"/>
        <v>0.99941681655504333</v>
      </c>
      <c r="D653">
        <v>637</v>
      </c>
      <c r="E653">
        <f t="shared" si="37"/>
        <v>0</v>
      </c>
      <c r="F653">
        <f t="shared" si="38"/>
        <v>0</v>
      </c>
      <c r="G653" t="str">
        <f t="shared" si="39"/>
        <v>extra</v>
      </c>
      <c r="J653">
        <v>622</v>
      </c>
      <c r="K653">
        <v>0.33540723748772999</v>
      </c>
    </row>
    <row r="654" spans="1:11" x14ac:dyDescent="0.25">
      <c r="A654" s="3">
        <v>40631</v>
      </c>
      <c r="B654">
        <v>3257.98</v>
      </c>
      <c r="C654">
        <f t="shared" si="36"/>
        <v>0.99009594082484187</v>
      </c>
      <c r="D654">
        <v>638</v>
      </c>
      <c r="E654">
        <f t="shared" si="37"/>
        <v>0</v>
      </c>
      <c r="F654">
        <f t="shared" si="38"/>
        <v>0</v>
      </c>
      <c r="G654" t="str">
        <f t="shared" si="39"/>
        <v>extra</v>
      </c>
      <c r="J654">
        <v>623</v>
      </c>
      <c r="K654">
        <v>0.33543965778399543</v>
      </c>
    </row>
    <row r="655" spans="1:11" x14ac:dyDescent="0.25">
      <c r="A655" s="3">
        <v>40630</v>
      </c>
      <c r="B655">
        <v>3290.57</v>
      </c>
      <c r="C655">
        <f t="shared" si="36"/>
        <v>0.99881316626599648</v>
      </c>
      <c r="D655">
        <v>639</v>
      </c>
      <c r="E655">
        <f t="shared" si="37"/>
        <v>0</v>
      </c>
      <c r="F655">
        <f t="shared" si="38"/>
        <v>0</v>
      </c>
      <c r="G655" t="str">
        <f t="shared" si="39"/>
        <v>extra</v>
      </c>
      <c r="J655">
        <v>624</v>
      </c>
      <c r="K655">
        <v>0.33551381762963739</v>
      </c>
    </row>
    <row r="656" spans="1:11" x14ac:dyDescent="0.25">
      <c r="A656" s="3">
        <v>40627</v>
      </c>
      <c r="B656">
        <v>3294.48</v>
      </c>
      <c r="C656">
        <f t="shared" si="36"/>
        <v>1.0132621426110919</v>
      </c>
      <c r="D656">
        <v>640</v>
      </c>
      <c r="E656">
        <f t="shared" si="37"/>
        <v>0</v>
      </c>
      <c r="F656">
        <f t="shared" si="38"/>
        <v>0</v>
      </c>
      <c r="G656" t="str">
        <f t="shared" si="39"/>
        <v>extra</v>
      </c>
      <c r="J656">
        <v>625</v>
      </c>
      <c r="K656">
        <v>0.33551336947468419</v>
      </c>
    </row>
    <row r="657" spans="1:11" x14ac:dyDescent="0.25">
      <c r="A657" s="3">
        <v>40626</v>
      </c>
      <c r="B657">
        <v>3251.36</v>
      </c>
      <c r="C657">
        <f t="shared" si="36"/>
        <v>0.99584370874720141</v>
      </c>
      <c r="D657">
        <v>641</v>
      </c>
      <c r="E657">
        <f t="shared" si="37"/>
        <v>0</v>
      </c>
      <c r="F657">
        <f t="shared" si="38"/>
        <v>0</v>
      </c>
      <c r="G657" t="str">
        <f t="shared" si="39"/>
        <v>extra</v>
      </c>
      <c r="J657">
        <v>626</v>
      </c>
      <c r="K657">
        <v>0.33602744175926835</v>
      </c>
    </row>
    <row r="658" spans="1:11" x14ac:dyDescent="0.25">
      <c r="A658" s="3">
        <v>40625</v>
      </c>
      <c r="B658">
        <v>3264.93</v>
      </c>
      <c r="C658">
        <f t="shared" ref="C658:C721" si="40">B658/B659</f>
        <v>1.0130221907811452</v>
      </c>
      <c r="D658">
        <v>642</v>
      </c>
      <c r="E658">
        <f t="shared" ref="E658:E721" si="41">IF(D658&gt;$B$6,0,LN(C658))</f>
        <v>0</v>
      </c>
      <c r="F658">
        <f t="shared" ref="F658:F721" si="42">IF(D658&gt;$B$6,0,(E658-$B$7)^2)</f>
        <v>0</v>
      </c>
      <c r="G658" t="str">
        <f t="shared" ref="G658:G721" si="43">IF(D658&lt;=$B$6,E658,"extra")</f>
        <v>extra</v>
      </c>
      <c r="J658">
        <v>627</v>
      </c>
      <c r="K658">
        <v>0.33602735576454079</v>
      </c>
    </row>
    <row r="659" spans="1:11" x14ac:dyDescent="0.25">
      <c r="A659" s="3">
        <v>40624</v>
      </c>
      <c r="B659">
        <v>3222.96</v>
      </c>
      <c r="C659">
        <f t="shared" si="40"/>
        <v>1.0049421441734148</v>
      </c>
      <c r="D659">
        <v>643</v>
      </c>
      <c r="E659">
        <f t="shared" si="41"/>
        <v>0</v>
      </c>
      <c r="F659">
        <f t="shared" si="42"/>
        <v>0</v>
      </c>
      <c r="G659" t="str">
        <f t="shared" si="43"/>
        <v>extra</v>
      </c>
      <c r="J659">
        <v>628</v>
      </c>
      <c r="K659">
        <v>0.33603353759776067</v>
      </c>
    </row>
    <row r="660" spans="1:11" x14ac:dyDescent="0.25">
      <c r="A660" s="3">
        <v>40623</v>
      </c>
      <c r="B660">
        <v>3207.11</v>
      </c>
      <c r="C660">
        <f t="shared" si="40"/>
        <v>0.99733183235946254</v>
      </c>
      <c r="D660">
        <v>644</v>
      </c>
      <c r="E660">
        <f t="shared" si="41"/>
        <v>0</v>
      </c>
      <c r="F660">
        <f t="shared" si="42"/>
        <v>0</v>
      </c>
      <c r="G660" t="str">
        <f t="shared" si="43"/>
        <v>extra</v>
      </c>
      <c r="J660">
        <v>629</v>
      </c>
      <c r="K660">
        <v>0.33606884274106619</v>
      </c>
    </row>
    <row r="661" spans="1:11" x14ac:dyDescent="0.25">
      <c r="A661" s="3">
        <v>40620</v>
      </c>
      <c r="B661">
        <v>3215.69</v>
      </c>
      <c r="C661">
        <f t="shared" si="40"/>
        <v>1.0058146445215976</v>
      </c>
      <c r="D661">
        <v>645</v>
      </c>
      <c r="E661">
        <f t="shared" si="41"/>
        <v>0</v>
      </c>
      <c r="F661">
        <f t="shared" si="42"/>
        <v>0</v>
      </c>
      <c r="G661" t="str">
        <f t="shared" si="43"/>
        <v>extra</v>
      </c>
      <c r="J661">
        <v>630</v>
      </c>
      <c r="K661">
        <v>0.33636359880486738</v>
      </c>
    </row>
    <row r="662" spans="1:11" x14ac:dyDescent="0.25">
      <c r="A662" s="3">
        <v>40619</v>
      </c>
      <c r="B662">
        <v>3197.1</v>
      </c>
      <c r="C662">
        <f t="shared" si="40"/>
        <v>0.98426821008558585</v>
      </c>
      <c r="D662">
        <v>646</v>
      </c>
      <c r="E662">
        <f t="shared" si="41"/>
        <v>0</v>
      </c>
      <c r="F662">
        <f t="shared" si="42"/>
        <v>0</v>
      </c>
      <c r="G662" t="str">
        <f t="shared" si="43"/>
        <v>extra</v>
      </c>
      <c r="J662">
        <v>631</v>
      </c>
      <c r="K662">
        <v>0.33636587092080844</v>
      </c>
    </row>
    <row r="663" spans="1:11" x14ac:dyDescent="0.25">
      <c r="A663" s="3">
        <v>40618</v>
      </c>
      <c r="B663">
        <v>3248.2</v>
      </c>
      <c r="C663">
        <f t="shared" si="40"/>
        <v>1.0138079127080237</v>
      </c>
      <c r="D663">
        <v>647</v>
      </c>
      <c r="E663">
        <f t="shared" si="41"/>
        <v>0</v>
      </c>
      <c r="F663">
        <f t="shared" si="42"/>
        <v>0</v>
      </c>
      <c r="G663" t="str">
        <f t="shared" si="43"/>
        <v>extra</v>
      </c>
      <c r="J663">
        <v>632</v>
      </c>
      <c r="K663">
        <v>0.33640854290766387</v>
      </c>
    </row>
    <row r="664" spans="1:11" x14ac:dyDescent="0.25">
      <c r="A664" s="3">
        <v>40617</v>
      </c>
      <c r="B664">
        <v>3203.96</v>
      </c>
      <c r="C664">
        <f t="shared" si="40"/>
        <v>0.98193029556348299</v>
      </c>
      <c r="D664">
        <v>648</v>
      </c>
      <c r="E664">
        <f t="shared" si="41"/>
        <v>0</v>
      </c>
      <c r="F664">
        <f t="shared" si="42"/>
        <v>0</v>
      </c>
      <c r="G664" t="str">
        <f t="shared" si="43"/>
        <v>extra</v>
      </c>
      <c r="J664">
        <v>633</v>
      </c>
      <c r="K664">
        <v>0.33653451323132222</v>
      </c>
    </row>
    <row r="665" spans="1:11" x14ac:dyDescent="0.25">
      <c r="A665" s="3">
        <v>40616</v>
      </c>
      <c r="B665">
        <v>3262.92</v>
      </c>
      <c r="C665">
        <f t="shared" si="40"/>
        <v>1.0047853962271123</v>
      </c>
      <c r="D665">
        <v>649</v>
      </c>
      <c r="E665">
        <f t="shared" si="41"/>
        <v>0</v>
      </c>
      <c r="F665">
        <f t="shared" si="42"/>
        <v>0</v>
      </c>
      <c r="G665" t="str">
        <f t="shared" si="43"/>
        <v>extra</v>
      </c>
      <c r="J665">
        <v>634</v>
      </c>
      <c r="K665">
        <v>0.33656477884985836</v>
      </c>
    </row>
    <row r="666" spans="1:11" x14ac:dyDescent="0.25">
      <c r="A666" s="3">
        <v>40613</v>
      </c>
      <c r="B666">
        <v>3247.38</v>
      </c>
      <c r="C666">
        <f t="shared" si="40"/>
        <v>0.98997640430941447</v>
      </c>
      <c r="D666">
        <v>650</v>
      </c>
      <c r="E666">
        <f t="shared" si="41"/>
        <v>0</v>
      </c>
      <c r="F666">
        <f t="shared" si="42"/>
        <v>0</v>
      </c>
      <c r="G666" t="str">
        <f t="shared" si="43"/>
        <v>extra</v>
      </c>
      <c r="J666">
        <v>635</v>
      </c>
      <c r="K666">
        <v>0.33678489966811714</v>
      </c>
    </row>
    <row r="667" spans="1:11" x14ac:dyDescent="0.25">
      <c r="A667" s="3">
        <v>40612</v>
      </c>
      <c r="B667">
        <v>3280.26</v>
      </c>
      <c r="C667">
        <f t="shared" si="40"/>
        <v>0.98244909939320613</v>
      </c>
      <c r="D667">
        <v>651</v>
      </c>
      <c r="E667">
        <f t="shared" si="41"/>
        <v>0</v>
      </c>
      <c r="F667">
        <f t="shared" si="42"/>
        <v>0</v>
      </c>
      <c r="G667" t="str">
        <f t="shared" si="43"/>
        <v>extra</v>
      </c>
      <c r="J667">
        <v>636</v>
      </c>
      <c r="K667">
        <v>0.33715243457525879</v>
      </c>
    </row>
    <row r="668" spans="1:11" x14ac:dyDescent="0.25">
      <c r="A668" s="3">
        <v>40611</v>
      </c>
      <c r="B668">
        <v>3338.86</v>
      </c>
      <c r="C668">
        <f t="shared" si="40"/>
        <v>1.0004194806829145</v>
      </c>
      <c r="D668">
        <v>652</v>
      </c>
      <c r="E668">
        <f t="shared" si="41"/>
        <v>0</v>
      </c>
      <c r="F668">
        <f t="shared" si="42"/>
        <v>0</v>
      </c>
      <c r="G668" t="str">
        <f t="shared" si="43"/>
        <v>extra</v>
      </c>
      <c r="J668">
        <v>637</v>
      </c>
      <c r="K668">
        <v>0.33728915523524805</v>
      </c>
    </row>
    <row r="669" spans="1:11" x14ac:dyDescent="0.25">
      <c r="A669" s="3">
        <v>40610</v>
      </c>
      <c r="B669">
        <v>3337.46</v>
      </c>
      <c r="C669">
        <f t="shared" si="40"/>
        <v>1.00088468770524</v>
      </c>
      <c r="D669">
        <v>653</v>
      </c>
      <c r="E669">
        <f t="shared" si="41"/>
        <v>0</v>
      </c>
      <c r="F669">
        <f t="shared" si="42"/>
        <v>0</v>
      </c>
      <c r="G669" t="str">
        <f t="shared" si="43"/>
        <v>extra</v>
      </c>
      <c r="J669">
        <v>638</v>
      </c>
      <c r="K669">
        <v>0.33728833019689819</v>
      </c>
    </row>
    <row r="670" spans="1:11" x14ac:dyDescent="0.25">
      <c r="A670" s="3">
        <v>40609</v>
      </c>
      <c r="B670">
        <v>3334.51</v>
      </c>
      <c r="C670">
        <f t="shared" si="40"/>
        <v>1.0195189364870196</v>
      </c>
      <c r="D670">
        <v>654</v>
      </c>
      <c r="E670">
        <f t="shared" si="41"/>
        <v>0</v>
      </c>
      <c r="F670">
        <f t="shared" si="42"/>
        <v>0</v>
      </c>
      <c r="G670" t="str">
        <f t="shared" si="43"/>
        <v>extra</v>
      </c>
      <c r="J670">
        <v>639</v>
      </c>
      <c r="K670">
        <v>0.33741981435178187</v>
      </c>
    </row>
    <row r="671" spans="1:11" x14ac:dyDescent="0.25">
      <c r="A671" s="3">
        <v>40606</v>
      </c>
      <c r="B671">
        <v>3270.67</v>
      </c>
      <c r="C671">
        <f t="shared" si="40"/>
        <v>1.0151937474392561</v>
      </c>
      <c r="D671">
        <v>655</v>
      </c>
      <c r="E671">
        <f t="shared" si="41"/>
        <v>0</v>
      </c>
      <c r="F671">
        <f t="shared" si="42"/>
        <v>0</v>
      </c>
      <c r="G671" t="str">
        <f t="shared" si="43"/>
        <v>extra</v>
      </c>
      <c r="J671">
        <v>640</v>
      </c>
      <c r="K671">
        <v>0.33741963391512053</v>
      </c>
    </row>
    <row r="672" spans="1:11" x14ac:dyDescent="0.25">
      <c r="A672" s="3">
        <v>40605</v>
      </c>
      <c r="B672">
        <v>3221.72</v>
      </c>
      <c r="C672">
        <f t="shared" si="40"/>
        <v>0.99334628310671214</v>
      </c>
      <c r="D672">
        <v>656</v>
      </c>
      <c r="E672">
        <f t="shared" si="41"/>
        <v>0</v>
      </c>
      <c r="F672">
        <f t="shared" si="42"/>
        <v>0</v>
      </c>
      <c r="G672" t="str">
        <f t="shared" si="43"/>
        <v>extra</v>
      </c>
      <c r="J672">
        <v>641</v>
      </c>
      <c r="K672">
        <v>0.33769738369308638</v>
      </c>
    </row>
    <row r="673" spans="1:11" x14ac:dyDescent="0.25">
      <c r="A673" s="3">
        <v>40604</v>
      </c>
      <c r="B673">
        <v>3243.3</v>
      </c>
      <c r="C673">
        <f t="shared" si="40"/>
        <v>0.99643920378261641</v>
      </c>
      <c r="D673">
        <v>657</v>
      </c>
      <c r="E673">
        <f t="shared" si="41"/>
        <v>0</v>
      </c>
      <c r="F673">
        <f t="shared" si="42"/>
        <v>0</v>
      </c>
      <c r="G673" t="str">
        <f t="shared" si="43"/>
        <v>extra</v>
      </c>
      <c r="J673">
        <v>642</v>
      </c>
      <c r="K673">
        <v>0.33771640469175584</v>
      </c>
    </row>
    <row r="674" spans="1:11" x14ac:dyDescent="0.25">
      <c r="A674" s="3">
        <v>40603</v>
      </c>
      <c r="B674">
        <v>3254.89</v>
      </c>
      <c r="C674">
        <f t="shared" si="40"/>
        <v>1.0047321241156206</v>
      </c>
      <c r="D674">
        <v>658</v>
      </c>
      <c r="E674">
        <f t="shared" si="41"/>
        <v>0</v>
      </c>
      <c r="F674">
        <f t="shared" si="42"/>
        <v>0</v>
      </c>
      <c r="G674" t="str">
        <f t="shared" si="43"/>
        <v>extra</v>
      </c>
      <c r="J674">
        <v>643</v>
      </c>
      <c r="K674">
        <v>0.33798375253802493</v>
      </c>
    </row>
    <row r="675" spans="1:11" x14ac:dyDescent="0.25">
      <c r="A675" s="3">
        <v>40602</v>
      </c>
      <c r="B675">
        <v>3239.56</v>
      </c>
      <c r="C675">
        <f t="shared" si="40"/>
        <v>1.0131160050287402</v>
      </c>
      <c r="D675">
        <v>659</v>
      </c>
      <c r="E675">
        <f t="shared" si="41"/>
        <v>0</v>
      </c>
      <c r="F675">
        <f t="shared" si="42"/>
        <v>0</v>
      </c>
      <c r="G675" t="str">
        <f t="shared" si="43"/>
        <v>extra</v>
      </c>
      <c r="J675">
        <v>644</v>
      </c>
      <c r="K675">
        <v>0.33802648140448982</v>
      </c>
    </row>
    <row r="676" spans="1:11" x14ac:dyDescent="0.25">
      <c r="A676" s="3">
        <v>40599</v>
      </c>
      <c r="B676">
        <v>3197.62</v>
      </c>
      <c r="C676">
        <f t="shared" si="40"/>
        <v>1.0020934270152368</v>
      </c>
      <c r="D676">
        <v>660</v>
      </c>
      <c r="E676">
        <f t="shared" si="41"/>
        <v>0</v>
      </c>
      <c r="F676">
        <f t="shared" si="42"/>
        <v>0</v>
      </c>
      <c r="G676" t="str">
        <f t="shared" si="43"/>
        <v>extra</v>
      </c>
      <c r="J676">
        <v>645</v>
      </c>
      <c r="K676">
        <v>0.33803276134617477</v>
      </c>
    </row>
    <row r="677" spans="1:11" x14ac:dyDescent="0.25">
      <c r="A677" s="3">
        <v>40598</v>
      </c>
      <c r="B677">
        <v>3190.94</v>
      </c>
      <c r="C677">
        <f t="shared" si="40"/>
        <v>1.0051027800701791</v>
      </c>
      <c r="D677">
        <v>661</v>
      </c>
      <c r="E677">
        <f t="shared" si="41"/>
        <v>0</v>
      </c>
      <c r="F677">
        <f t="shared" si="42"/>
        <v>0</v>
      </c>
      <c r="G677" t="str">
        <f t="shared" si="43"/>
        <v>extra</v>
      </c>
      <c r="J677">
        <v>646</v>
      </c>
      <c r="K677">
        <v>0.33809044866357335</v>
      </c>
    </row>
    <row r="678" spans="1:11" x14ac:dyDescent="0.25">
      <c r="A678" s="3">
        <v>40597</v>
      </c>
      <c r="B678">
        <v>3174.74</v>
      </c>
      <c r="C678">
        <f t="shared" si="40"/>
        <v>1.0035276490558165</v>
      </c>
      <c r="D678">
        <v>662</v>
      </c>
      <c r="E678">
        <f t="shared" si="41"/>
        <v>0</v>
      </c>
      <c r="F678">
        <f t="shared" si="42"/>
        <v>0</v>
      </c>
      <c r="G678" t="str">
        <f t="shared" si="43"/>
        <v>extra</v>
      </c>
      <c r="J678">
        <v>647</v>
      </c>
      <c r="K678">
        <v>0.33843982582985088</v>
      </c>
    </row>
    <row r="679" spans="1:11" x14ac:dyDescent="0.25">
      <c r="A679" s="3">
        <v>40596</v>
      </c>
      <c r="B679">
        <v>3163.58</v>
      </c>
      <c r="C679">
        <f t="shared" si="40"/>
        <v>0.97104585455092374</v>
      </c>
      <c r="D679">
        <v>663</v>
      </c>
      <c r="E679">
        <f t="shared" si="41"/>
        <v>0</v>
      </c>
      <c r="F679">
        <f t="shared" si="42"/>
        <v>0</v>
      </c>
      <c r="G679" t="str">
        <f t="shared" si="43"/>
        <v>extra</v>
      </c>
      <c r="J679">
        <v>648</v>
      </c>
      <c r="K679">
        <v>0.3387378316727746</v>
      </c>
    </row>
    <row r="680" spans="1:11" x14ac:dyDescent="0.25">
      <c r="A680" s="3">
        <v>40595</v>
      </c>
      <c r="B680">
        <v>3257.91</v>
      </c>
      <c r="C680">
        <f t="shared" si="40"/>
        <v>1.0143311705294096</v>
      </c>
      <c r="D680">
        <v>664</v>
      </c>
      <c r="E680">
        <f t="shared" si="41"/>
        <v>0</v>
      </c>
      <c r="F680">
        <f t="shared" si="42"/>
        <v>0</v>
      </c>
      <c r="G680" t="str">
        <f t="shared" si="43"/>
        <v>extra</v>
      </c>
      <c r="J680">
        <v>649</v>
      </c>
      <c r="K680">
        <v>0.3392028088617578</v>
      </c>
    </row>
    <row r="681" spans="1:11" x14ac:dyDescent="0.25">
      <c r="A681" s="3">
        <v>40592</v>
      </c>
      <c r="B681">
        <v>3211.88</v>
      </c>
      <c r="C681">
        <f t="shared" si="40"/>
        <v>0.98951603710515701</v>
      </c>
      <c r="D681">
        <v>665</v>
      </c>
      <c r="E681">
        <f t="shared" si="41"/>
        <v>0</v>
      </c>
      <c r="F681">
        <f t="shared" si="42"/>
        <v>0</v>
      </c>
      <c r="G681" t="str">
        <f t="shared" si="43"/>
        <v>extra</v>
      </c>
      <c r="J681">
        <v>650</v>
      </c>
      <c r="K681">
        <v>0.33924315715009806</v>
      </c>
    </row>
    <row r="682" spans="1:11" x14ac:dyDescent="0.25">
      <c r="A682" s="3">
        <v>40591</v>
      </c>
      <c r="B682">
        <v>3245.91</v>
      </c>
      <c r="C682">
        <f t="shared" si="40"/>
        <v>0.99919348135926089</v>
      </c>
      <c r="D682">
        <v>666</v>
      </c>
      <c r="E682">
        <f t="shared" si="41"/>
        <v>0</v>
      </c>
      <c r="F682">
        <f t="shared" si="42"/>
        <v>0</v>
      </c>
      <c r="G682" t="str">
        <f t="shared" si="43"/>
        <v>extra</v>
      </c>
      <c r="J682">
        <v>651</v>
      </c>
      <c r="K682">
        <v>0.33937769595510153</v>
      </c>
    </row>
    <row r="683" spans="1:11" x14ac:dyDescent="0.25">
      <c r="A683" s="3">
        <v>40590</v>
      </c>
      <c r="B683">
        <v>3248.53</v>
      </c>
      <c r="C683">
        <f t="shared" si="40"/>
        <v>1.0095907908517654</v>
      </c>
      <c r="D683">
        <v>667</v>
      </c>
      <c r="E683">
        <f t="shared" si="41"/>
        <v>0</v>
      </c>
      <c r="F683">
        <f t="shared" si="42"/>
        <v>0</v>
      </c>
      <c r="G683" t="str">
        <f t="shared" si="43"/>
        <v>extra</v>
      </c>
      <c r="J683">
        <v>652</v>
      </c>
      <c r="K683">
        <v>0.3398128433188396</v>
      </c>
    </row>
    <row r="684" spans="1:11" x14ac:dyDescent="0.25">
      <c r="A684" s="3">
        <v>40589</v>
      </c>
      <c r="B684">
        <v>3217.67</v>
      </c>
      <c r="C684">
        <f t="shared" si="40"/>
        <v>0.99954335630012991</v>
      </c>
      <c r="D684">
        <v>668</v>
      </c>
      <c r="E684">
        <f t="shared" si="41"/>
        <v>0</v>
      </c>
      <c r="F684">
        <f t="shared" si="42"/>
        <v>0</v>
      </c>
      <c r="G684" t="str">
        <f t="shared" si="43"/>
        <v>extra</v>
      </c>
      <c r="J684">
        <v>653</v>
      </c>
      <c r="K684">
        <v>0.33981339636597674</v>
      </c>
    </row>
    <row r="685" spans="1:11" x14ac:dyDescent="0.25">
      <c r="A685" s="3">
        <v>40588</v>
      </c>
      <c r="B685">
        <v>3219.14</v>
      </c>
      <c r="C685">
        <f t="shared" si="40"/>
        <v>1.031458269250487</v>
      </c>
      <c r="D685">
        <v>669</v>
      </c>
      <c r="E685">
        <f t="shared" si="41"/>
        <v>0</v>
      </c>
      <c r="F685">
        <f t="shared" si="42"/>
        <v>0</v>
      </c>
      <c r="G685" t="str">
        <f t="shared" si="43"/>
        <v>extra</v>
      </c>
      <c r="J685">
        <v>654</v>
      </c>
      <c r="K685">
        <v>0.33981557742690793</v>
      </c>
    </row>
    <row r="686" spans="1:11" x14ac:dyDescent="0.25">
      <c r="A686" s="3">
        <v>40585</v>
      </c>
      <c r="B686">
        <v>3120.96</v>
      </c>
      <c r="C686">
        <f t="shared" si="40"/>
        <v>1.0054120921601979</v>
      </c>
      <c r="D686">
        <v>670</v>
      </c>
      <c r="E686">
        <f t="shared" si="41"/>
        <v>0</v>
      </c>
      <c r="F686">
        <f t="shared" si="42"/>
        <v>0</v>
      </c>
      <c r="G686" t="str">
        <f t="shared" si="43"/>
        <v>extra</v>
      </c>
      <c r="J686">
        <v>655</v>
      </c>
      <c r="K686">
        <v>0.34039588369021045</v>
      </c>
    </row>
    <row r="687" spans="1:11" x14ac:dyDescent="0.25">
      <c r="A687" s="3">
        <v>40584</v>
      </c>
      <c r="B687">
        <v>3104.16</v>
      </c>
      <c r="C687">
        <f t="shared" si="40"/>
        <v>1.0207862674493169</v>
      </c>
      <c r="D687">
        <v>671</v>
      </c>
      <c r="E687">
        <f t="shared" si="41"/>
        <v>0</v>
      </c>
      <c r="F687">
        <f t="shared" si="42"/>
        <v>0</v>
      </c>
      <c r="G687" t="str">
        <f t="shared" si="43"/>
        <v>extra</v>
      </c>
      <c r="J687">
        <v>656</v>
      </c>
      <c r="K687">
        <v>0.34075220230594194</v>
      </c>
    </row>
    <row r="688" spans="1:11" x14ac:dyDescent="0.25">
      <c r="A688" s="3">
        <v>40583</v>
      </c>
      <c r="B688">
        <v>3040.95</v>
      </c>
      <c r="C688">
        <f t="shared" si="40"/>
        <v>0.98819411948213998</v>
      </c>
      <c r="D688">
        <v>672</v>
      </c>
      <c r="E688">
        <f t="shared" si="41"/>
        <v>0</v>
      </c>
      <c r="F688">
        <f t="shared" si="42"/>
        <v>0</v>
      </c>
      <c r="G688" t="str">
        <f t="shared" si="43"/>
        <v>extra</v>
      </c>
      <c r="J688">
        <v>657</v>
      </c>
      <c r="K688">
        <v>0.34080779964323554</v>
      </c>
    </row>
    <row r="689" spans="1:11" x14ac:dyDescent="0.25">
      <c r="A689" s="3">
        <v>40575</v>
      </c>
      <c r="B689">
        <v>3077.28</v>
      </c>
      <c r="C689">
        <f t="shared" si="40"/>
        <v>1.0002502836005733</v>
      </c>
      <c r="D689">
        <v>673</v>
      </c>
      <c r="E689">
        <f t="shared" si="41"/>
        <v>0</v>
      </c>
      <c r="F689">
        <f t="shared" si="42"/>
        <v>0</v>
      </c>
      <c r="G689" t="str">
        <f t="shared" si="43"/>
        <v>extra</v>
      </c>
      <c r="J689">
        <v>658</v>
      </c>
      <c r="K689">
        <v>0.34082091570537404</v>
      </c>
    </row>
    <row r="690" spans="1:11" x14ac:dyDescent="0.25">
      <c r="A690" s="3">
        <v>40574</v>
      </c>
      <c r="B690">
        <v>3076.51</v>
      </c>
      <c r="C690">
        <f t="shared" si="40"/>
        <v>1.0130962808801545</v>
      </c>
      <c r="D690">
        <v>674</v>
      </c>
      <c r="E690">
        <f t="shared" si="41"/>
        <v>0</v>
      </c>
      <c r="F690">
        <f t="shared" si="42"/>
        <v>0</v>
      </c>
      <c r="G690" t="str">
        <f t="shared" si="43"/>
        <v>extra</v>
      </c>
      <c r="J690">
        <v>659</v>
      </c>
      <c r="K690">
        <v>0.34086010365700514</v>
      </c>
    </row>
    <row r="691" spans="1:11" x14ac:dyDescent="0.25">
      <c r="A691" s="3">
        <v>40571</v>
      </c>
      <c r="B691">
        <v>3036.74</v>
      </c>
      <c r="C691">
        <f t="shared" si="40"/>
        <v>1.0033933923019227</v>
      </c>
      <c r="D691">
        <v>675</v>
      </c>
      <c r="E691">
        <f t="shared" si="41"/>
        <v>0</v>
      </c>
      <c r="F691">
        <f t="shared" si="42"/>
        <v>0</v>
      </c>
      <c r="G691" t="str">
        <f t="shared" si="43"/>
        <v>extra</v>
      </c>
      <c r="J691">
        <v>660</v>
      </c>
      <c r="K691">
        <v>0.34112767661540483</v>
      </c>
    </row>
    <row r="692" spans="1:11" x14ac:dyDescent="0.25">
      <c r="A692" s="3">
        <v>40570</v>
      </c>
      <c r="B692">
        <v>3026.47</v>
      </c>
      <c r="C692">
        <f t="shared" si="40"/>
        <v>1.0161293030220619</v>
      </c>
      <c r="D692">
        <v>676</v>
      </c>
      <c r="E692">
        <f t="shared" si="41"/>
        <v>0</v>
      </c>
      <c r="F692">
        <f t="shared" si="42"/>
        <v>0</v>
      </c>
      <c r="G692" t="str">
        <f t="shared" si="43"/>
        <v>extra</v>
      </c>
      <c r="J692">
        <v>661</v>
      </c>
      <c r="K692">
        <v>0.34113649847922817</v>
      </c>
    </row>
    <row r="693" spans="1:11" x14ac:dyDescent="0.25">
      <c r="A693" s="3">
        <v>40569</v>
      </c>
      <c r="B693">
        <v>2978.43</v>
      </c>
      <c r="C693">
        <f t="shared" si="40"/>
        <v>1.0135368281353683</v>
      </c>
      <c r="D693">
        <v>677</v>
      </c>
      <c r="E693">
        <f t="shared" si="41"/>
        <v>0</v>
      </c>
      <c r="F693">
        <f t="shared" si="42"/>
        <v>0</v>
      </c>
      <c r="G693" t="str">
        <f t="shared" si="43"/>
        <v>extra</v>
      </c>
      <c r="J693">
        <v>662</v>
      </c>
      <c r="K693">
        <v>0.3411809747615861</v>
      </c>
    </row>
    <row r="694" spans="1:11" x14ac:dyDescent="0.25">
      <c r="A694" s="3">
        <v>40568</v>
      </c>
      <c r="B694">
        <v>2938.65</v>
      </c>
      <c r="C694">
        <f t="shared" si="40"/>
        <v>0.99472620615185681</v>
      </c>
      <c r="D694">
        <v>678</v>
      </c>
      <c r="E694">
        <f t="shared" si="41"/>
        <v>0</v>
      </c>
      <c r="F694">
        <f t="shared" si="42"/>
        <v>0</v>
      </c>
      <c r="G694" t="str">
        <f t="shared" si="43"/>
        <v>extra</v>
      </c>
      <c r="J694">
        <v>663</v>
      </c>
      <c r="K694">
        <v>0.3412033974067738</v>
      </c>
    </row>
    <row r="695" spans="1:11" x14ac:dyDescent="0.25">
      <c r="A695" s="3">
        <v>40567</v>
      </c>
      <c r="B695">
        <v>2954.23</v>
      </c>
      <c r="C695">
        <f t="shared" si="40"/>
        <v>0.99020265061371693</v>
      </c>
      <c r="D695">
        <v>679</v>
      </c>
      <c r="E695">
        <f t="shared" si="41"/>
        <v>0</v>
      </c>
      <c r="F695">
        <f t="shared" si="42"/>
        <v>0</v>
      </c>
      <c r="G695" t="str">
        <f t="shared" si="43"/>
        <v>extra</v>
      </c>
      <c r="J695">
        <v>664</v>
      </c>
      <c r="K695">
        <v>0.34242898219984802</v>
      </c>
    </row>
    <row r="696" spans="1:11" x14ac:dyDescent="0.25">
      <c r="A696" s="3">
        <v>40564</v>
      </c>
      <c r="B696">
        <v>2983.46</v>
      </c>
      <c r="C696">
        <f t="shared" si="40"/>
        <v>1.0131591905484751</v>
      </c>
      <c r="D696">
        <v>680</v>
      </c>
      <c r="E696">
        <f t="shared" si="41"/>
        <v>0</v>
      </c>
      <c r="F696">
        <f t="shared" si="42"/>
        <v>0</v>
      </c>
      <c r="G696" t="str">
        <f t="shared" si="43"/>
        <v>extra</v>
      </c>
      <c r="J696">
        <v>665</v>
      </c>
      <c r="K696">
        <v>0.34274499254128954</v>
      </c>
    </row>
    <row r="697" spans="1:11" x14ac:dyDescent="0.25">
      <c r="A697" s="3">
        <v>40563</v>
      </c>
      <c r="B697">
        <v>2944.71</v>
      </c>
      <c r="C697">
        <f t="shared" si="40"/>
        <v>0.96711168037834383</v>
      </c>
      <c r="D697">
        <v>681</v>
      </c>
      <c r="E697">
        <f t="shared" si="41"/>
        <v>0</v>
      </c>
      <c r="F697">
        <f t="shared" si="42"/>
        <v>0</v>
      </c>
      <c r="G697" t="str">
        <f t="shared" si="43"/>
        <v>extra</v>
      </c>
      <c r="J697">
        <v>666</v>
      </c>
      <c r="K697">
        <v>0.3428923150168951</v>
      </c>
    </row>
    <row r="698" spans="1:11" x14ac:dyDescent="0.25">
      <c r="A698" s="3">
        <v>40562</v>
      </c>
      <c r="B698">
        <v>3044.85</v>
      </c>
      <c r="C698">
        <f t="shared" si="40"/>
        <v>1.0225681325877789</v>
      </c>
      <c r="D698">
        <v>682</v>
      </c>
      <c r="E698">
        <f t="shared" si="41"/>
        <v>0</v>
      </c>
      <c r="F698">
        <f t="shared" si="42"/>
        <v>0</v>
      </c>
      <c r="G698" t="str">
        <f t="shared" si="43"/>
        <v>extra</v>
      </c>
      <c r="J698">
        <v>667</v>
      </c>
      <c r="K698">
        <v>0.34289169186685664</v>
      </c>
    </row>
    <row r="699" spans="1:11" x14ac:dyDescent="0.25">
      <c r="A699" s="3">
        <v>40561</v>
      </c>
      <c r="B699">
        <v>2977.65</v>
      </c>
      <c r="C699">
        <f t="shared" si="40"/>
        <v>1.0011094861062082</v>
      </c>
      <c r="D699">
        <v>683</v>
      </c>
      <c r="E699">
        <f t="shared" si="41"/>
        <v>0</v>
      </c>
      <c r="F699">
        <f t="shared" si="42"/>
        <v>0</v>
      </c>
      <c r="G699" t="str">
        <f t="shared" si="43"/>
        <v>extra</v>
      </c>
      <c r="J699">
        <v>668</v>
      </c>
      <c r="K699">
        <v>0.34303782682929312</v>
      </c>
    </row>
    <row r="700" spans="1:11" x14ac:dyDescent="0.25">
      <c r="A700" s="3">
        <v>40560</v>
      </c>
      <c r="B700">
        <v>2974.35</v>
      </c>
      <c r="C700">
        <f t="shared" si="40"/>
        <v>0.96199375133414833</v>
      </c>
      <c r="D700">
        <v>684</v>
      </c>
      <c r="E700">
        <f t="shared" si="41"/>
        <v>0</v>
      </c>
      <c r="F700">
        <f t="shared" si="42"/>
        <v>0</v>
      </c>
      <c r="G700" t="str">
        <f t="shared" si="43"/>
        <v>extra</v>
      </c>
      <c r="J700">
        <v>669</v>
      </c>
      <c r="K700">
        <v>0.3430370572014711</v>
      </c>
    </row>
    <row r="701" spans="1:11" x14ac:dyDescent="0.25">
      <c r="A701" s="3">
        <v>40557</v>
      </c>
      <c r="B701">
        <v>3091.86</v>
      </c>
      <c r="C701">
        <f t="shared" si="40"/>
        <v>0.98426755972087809</v>
      </c>
      <c r="D701">
        <v>685</v>
      </c>
      <c r="E701">
        <f t="shared" si="41"/>
        <v>0</v>
      </c>
      <c r="F701">
        <f t="shared" si="42"/>
        <v>0</v>
      </c>
      <c r="G701" t="str">
        <f t="shared" si="43"/>
        <v>extra</v>
      </c>
      <c r="J701">
        <v>670</v>
      </c>
      <c r="K701">
        <v>0.34447657974186191</v>
      </c>
    </row>
    <row r="702" spans="1:11" x14ac:dyDescent="0.25">
      <c r="A702" s="3">
        <v>40556</v>
      </c>
      <c r="B702">
        <v>3141.28</v>
      </c>
      <c r="C702">
        <f t="shared" si="40"/>
        <v>0.99966267176689982</v>
      </c>
      <c r="D702">
        <v>686</v>
      </c>
      <c r="E702">
        <f t="shared" si="41"/>
        <v>0</v>
      </c>
      <c r="F702">
        <f t="shared" si="42"/>
        <v>0</v>
      </c>
      <c r="G702" t="str">
        <f t="shared" si="43"/>
        <v>extra</v>
      </c>
      <c r="J702">
        <v>671</v>
      </c>
      <c r="K702">
        <v>0.3445250654802744</v>
      </c>
    </row>
    <row r="703" spans="1:11" x14ac:dyDescent="0.25">
      <c r="A703" s="3">
        <v>40555</v>
      </c>
      <c r="B703">
        <v>3142.34</v>
      </c>
      <c r="C703">
        <f t="shared" si="40"/>
        <v>1.0055745427082934</v>
      </c>
      <c r="D703">
        <v>687</v>
      </c>
      <c r="E703">
        <f t="shared" si="41"/>
        <v>0</v>
      </c>
      <c r="F703">
        <f t="shared" si="42"/>
        <v>0</v>
      </c>
      <c r="G703" t="str">
        <f t="shared" si="43"/>
        <v>extra</v>
      </c>
      <c r="J703">
        <v>672</v>
      </c>
      <c r="K703">
        <v>0.34516394779861886</v>
      </c>
    </row>
    <row r="704" spans="1:11" x14ac:dyDescent="0.25">
      <c r="A704" s="3">
        <v>40554</v>
      </c>
      <c r="B704">
        <v>3124.92</v>
      </c>
      <c r="C704">
        <f t="shared" si="40"/>
        <v>1.0053825538335817</v>
      </c>
      <c r="D704">
        <v>688</v>
      </c>
      <c r="E704">
        <f t="shared" si="41"/>
        <v>0</v>
      </c>
      <c r="F704">
        <f t="shared" si="42"/>
        <v>0</v>
      </c>
      <c r="G704" t="str">
        <f t="shared" si="43"/>
        <v>extra</v>
      </c>
      <c r="J704">
        <v>673</v>
      </c>
      <c r="K704">
        <v>0.34535473849808529</v>
      </c>
    </row>
    <row r="705" spans="1:11" x14ac:dyDescent="0.25">
      <c r="A705" s="3">
        <v>40553</v>
      </c>
      <c r="B705">
        <v>3108.19</v>
      </c>
      <c r="C705">
        <f t="shared" si="40"/>
        <v>0.98154814913061883</v>
      </c>
      <c r="D705">
        <v>689</v>
      </c>
      <c r="E705">
        <f t="shared" si="41"/>
        <v>0</v>
      </c>
      <c r="F705">
        <f t="shared" si="42"/>
        <v>0</v>
      </c>
      <c r="G705" t="str">
        <f t="shared" si="43"/>
        <v>extra</v>
      </c>
      <c r="J705">
        <v>674</v>
      </c>
      <c r="K705">
        <v>0.34535458940629232</v>
      </c>
    </row>
    <row r="706" spans="1:11" x14ac:dyDescent="0.25">
      <c r="A706" s="3">
        <v>40550</v>
      </c>
      <c r="B706">
        <v>3166.62</v>
      </c>
      <c r="C706">
        <f t="shared" si="40"/>
        <v>1.0022091124305301</v>
      </c>
      <c r="D706">
        <v>690</v>
      </c>
      <c r="E706">
        <f t="shared" si="41"/>
        <v>0</v>
      </c>
      <c r="F706">
        <f t="shared" si="42"/>
        <v>0</v>
      </c>
      <c r="G706" t="str">
        <f t="shared" si="43"/>
        <v>extra</v>
      </c>
      <c r="J706">
        <v>675</v>
      </c>
      <c r="K706">
        <v>0.34561451107821572</v>
      </c>
    </row>
    <row r="707" spans="1:11" x14ac:dyDescent="0.25">
      <c r="A707" s="3">
        <v>40549</v>
      </c>
      <c r="B707">
        <v>3159.64</v>
      </c>
      <c r="C707">
        <f t="shared" si="40"/>
        <v>0.99495537935421297</v>
      </c>
      <c r="D707">
        <v>691</v>
      </c>
      <c r="E707">
        <f t="shared" si="41"/>
        <v>0</v>
      </c>
      <c r="F707">
        <f t="shared" si="42"/>
        <v>0</v>
      </c>
      <c r="G707" t="str">
        <f t="shared" si="43"/>
        <v>extra</v>
      </c>
      <c r="J707">
        <v>676</v>
      </c>
      <c r="K707">
        <v>0.34563431639576053</v>
      </c>
    </row>
    <row r="708" spans="1:11" x14ac:dyDescent="0.25">
      <c r="A708" s="3">
        <v>40548</v>
      </c>
      <c r="B708">
        <v>3175.66</v>
      </c>
      <c r="C708">
        <f t="shared" si="40"/>
        <v>0.99560457475358033</v>
      </c>
      <c r="D708">
        <v>692</v>
      </c>
      <c r="E708">
        <f t="shared" si="41"/>
        <v>0</v>
      </c>
      <c r="F708">
        <f t="shared" si="42"/>
        <v>0</v>
      </c>
      <c r="G708" t="str">
        <f t="shared" si="43"/>
        <v>extra</v>
      </c>
      <c r="J708">
        <v>677</v>
      </c>
      <c r="K708">
        <v>0.34602180886801404</v>
      </c>
    </row>
    <row r="709" spans="1:11" x14ac:dyDescent="0.25">
      <c r="A709" s="3">
        <v>40547</v>
      </c>
      <c r="B709">
        <v>3189.68</v>
      </c>
      <c r="C709">
        <f t="shared" si="40"/>
        <v>1.0196339178968499</v>
      </c>
      <c r="D709">
        <v>693</v>
      </c>
      <c r="E709">
        <f t="shared" si="41"/>
        <v>0</v>
      </c>
      <c r="F709">
        <f t="shared" si="42"/>
        <v>0</v>
      </c>
      <c r="G709" t="str">
        <f t="shared" si="43"/>
        <v>extra</v>
      </c>
      <c r="J709">
        <v>678</v>
      </c>
      <c r="K709">
        <v>0.3462963806631727</v>
      </c>
    </row>
    <row r="710" spans="1:11" x14ac:dyDescent="0.25">
      <c r="A710" s="3">
        <v>40543</v>
      </c>
      <c r="B710">
        <v>3128.26</v>
      </c>
      <c r="C710">
        <f t="shared" si="40"/>
        <v>1.0209392643843218</v>
      </c>
      <c r="D710">
        <v>694</v>
      </c>
      <c r="E710">
        <f t="shared" si="41"/>
        <v>0</v>
      </c>
      <c r="F710">
        <f t="shared" si="42"/>
        <v>0</v>
      </c>
      <c r="G710" t="str">
        <f t="shared" si="43"/>
        <v>extra</v>
      </c>
      <c r="J710">
        <v>679</v>
      </c>
      <c r="K710">
        <v>0.34633116953179682</v>
      </c>
    </row>
    <row r="711" spans="1:11" x14ac:dyDescent="0.25">
      <c r="A711" s="3">
        <v>40542</v>
      </c>
      <c r="B711">
        <v>3064.1</v>
      </c>
      <c r="C711">
        <f t="shared" si="40"/>
        <v>1.0007413866870467</v>
      </c>
      <c r="D711">
        <v>695</v>
      </c>
      <c r="E711">
        <f t="shared" si="41"/>
        <v>0</v>
      </c>
      <c r="F711">
        <f t="shared" si="42"/>
        <v>0</v>
      </c>
      <c r="G711" t="str">
        <f t="shared" si="43"/>
        <v>extra</v>
      </c>
      <c r="J711">
        <v>680</v>
      </c>
      <c r="K711">
        <v>0.34646111603292407</v>
      </c>
    </row>
    <row r="712" spans="1:11" x14ac:dyDescent="0.25">
      <c r="A712" s="3">
        <v>40541</v>
      </c>
      <c r="B712">
        <v>3061.83</v>
      </c>
      <c r="C712">
        <f t="shared" si="40"/>
        <v>1.0055502096928337</v>
      </c>
      <c r="D712">
        <v>696</v>
      </c>
      <c r="E712">
        <f t="shared" si="41"/>
        <v>0</v>
      </c>
      <c r="F712">
        <f t="shared" si="42"/>
        <v>0</v>
      </c>
      <c r="G712" t="str">
        <f t="shared" si="43"/>
        <v>extra</v>
      </c>
      <c r="J712">
        <v>681</v>
      </c>
      <c r="K712">
        <v>0.34672072996871539</v>
      </c>
    </row>
    <row r="713" spans="1:11" x14ac:dyDescent="0.25">
      <c r="A713" s="3">
        <v>40540</v>
      </c>
      <c r="B713">
        <v>3044.93</v>
      </c>
      <c r="C713">
        <f t="shared" si="40"/>
        <v>0.98232737901287537</v>
      </c>
      <c r="D713">
        <v>697</v>
      </c>
      <c r="E713">
        <f t="shared" si="41"/>
        <v>0</v>
      </c>
      <c r="F713">
        <f t="shared" si="42"/>
        <v>0</v>
      </c>
      <c r="G713" t="str">
        <f t="shared" si="43"/>
        <v>extra</v>
      </c>
      <c r="J713">
        <v>682</v>
      </c>
      <c r="K713">
        <v>0.34829962267364384</v>
      </c>
    </row>
    <row r="714" spans="1:11" x14ac:dyDescent="0.25">
      <c r="A714" s="3">
        <v>40539</v>
      </c>
      <c r="B714">
        <v>3099.71</v>
      </c>
      <c r="C714">
        <f t="shared" si="40"/>
        <v>0.98000290866783013</v>
      </c>
      <c r="D714">
        <v>698</v>
      </c>
      <c r="E714">
        <f t="shared" si="41"/>
        <v>0</v>
      </c>
      <c r="F714">
        <f t="shared" si="42"/>
        <v>0</v>
      </c>
      <c r="G714" t="str">
        <f t="shared" si="43"/>
        <v>extra</v>
      </c>
      <c r="J714">
        <v>683</v>
      </c>
      <c r="K714">
        <v>0.34903871018695398</v>
      </c>
    </row>
    <row r="715" spans="1:11" x14ac:dyDescent="0.25">
      <c r="A715" s="3">
        <v>40536</v>
      </c>
      <c r="B715">
        <v>3162.96</v>
      </c>
      <c r="C715">
        <f t="shared" si="40"/>
        <v>0.99195574247085716</v>
      </c>
      <c r="D715">
        <v>699</v>
      </c>
      <c r="E715">
        <f t="shared" si="41"/>
        <v>0</v>
      </c>
      <c r="F715">
        <f t="shared" si="42"/>
        <v>0</v>
      </c>
      <c r="G715" t="str">
        <f t="shared" si="43"/>
        <v>extra</v>
      </c>
      <c r="J715">
        <v>684</v>
      </c>
      <c r="K715">
        <v>0.34904100008229622</v>
      </c>
    </row>
    <row r="716" spans="1:11" x14ac:dyDescent="0.25">
      <c r="A716" s="3">
        <v>40535</v>
      </c>
      <c r="B716">
        <v>3188.61</v>
      </c>
      <c r="C716">
        <f t="shared" si="40"/>
        <v>0.99165280131863354</v>
      </c>
      <c r="D716">
        <v>700</v>
      </c>
      <c r="E716">
        <f t="shared" si="41"/>
        <v>0</v>
      </c>
      <c r="F716">
        <f t="shared" si="42"/>
        <v>0</v>
      </c>
      <c r="G716" t="str">
        <f t="shared" si="43"/>
        <v>extra</v>
      </c>
      <c r="J716">
        <v>685</v>
      </c>
      <c r="K716">
        <v>0.35114958418468539</v>
      </c>
    </row>
    <row r="717" spans="1:11" x14ac:dyDescent="0.25">
      <c r="A717" s="3">
        <v>40534</v>
      </c>
      <c r="B717">
        <v>3215.45</v>
      </c>
      <c r="C717">
        <f t="shared" si="40"/>
        <v>0.98951841970020082</v>
      </c>
      <c r="D717">
        <v>701</v>
      </c>
      <c r="E717">
        <f t="shared" si="41"/>
        <v>0</v>
      </c>
      <c r="F717">
        <f t="shared" si="42"/>
        <v>0</v>
      </c>
      <c r="G717" t="str">
        <f t="shared" si="43"/>
        <v>extra</v>
      </c>
      <c r="J717">
        <v>686</v>
      </c>
      <c r="K717">
        <v>0.35148935586179703</v>
      </c>
    </row>
    <row r="718" spans="1:11" x14ac:dyDescent="0.25">
      <c r="A718" s="3">
        <v>40533</v>
      </c>
      <c r="B718">
        <v>3249.51</v>
      </c>
      <c r="C718">
        <f t="shared" si="40"/>
        <v>1.0222892665462806</v>
      </c>
      <c r="D718">
        <v>702</v>
      </c>
      <c r="E718">
        <f t="shared" si="41"/>
        <v>0</v>
      </c>
      <c r="F718">
        <f t="shared" si="42"/>
        <v>0</v>
      </c>
      <c r="G718" t="str">
        <f t="shared" si="43"/>
        <v>extra</v>
      </c>
      <c r="J718">
        <v>687</v>
      </c>
      <c r="K718">
        <v>0.3514886183635037</v>
      </c>
    </row>
    <row r="719" spans="1:11" x14ac:dyDescent="0.25">
      <c r="A719" s="3">
        <v>40532</v>
      </c>
      <c r="B719">
        <v>3178.66</v>
      </c>
      <c r="C719">
        <f t="shared" si="40"/>
        <v>0.98542933849196757</v>
      </c>
      <c r="D719">
        <v>703</v>
      </c>
      <c r="E719">
        <f t="shared" si="41"/>
        <v>0</v>
      </c>
      <c r="F719">
        <f t="shared" si="42"/>
        <v>0</v>
      </c>
      <c r="G719" t="str">
        <f t="shared" si="43"/>
        <v>extra</v>
      </c>
      <c r="J719">
        <v>688</v>
      </c>
      <c r="K719">
        <v>0.35153884966500831</v>
      </c>
    </row>
    <row r="720" spans="1:11" x14ac:dyDescent="0.25">
      <c r="A720" s="3">
        <v>40529</v>
      </c>
      <c r="B720">
        <v>3225.66</v>
      </c>
      <c r="C720">
        <f t="shared" si="40"/>
        <v>0.99844923808374109</v>
      </c>
      <c r="D720">
        <v>704</v>
      </c>
      <c r="E720">
        <f t="shared" si="41"/>
        <v>0</v>
      </c>
      <c r="F720">
        <f t="shared" si="42"/>
        <v>0</v>
      </c>
      <c r="G720" t="str">
        <f t="shared" si="43"/>
        <v>extra</v>
      </c>
      <c r="J720">
        <v>689</v>
      </c>
      <c r="K720">
        <v>0.3515857304753417</v>
      </c>
    </row>
    <row r="721" spans="1:11" x14ac:dyDescent="0.25">
      <c r="A721" s="3">
        <v>40528</v>
      </c>
      <c r="B721">
        <v>3230.67</v>
      </c>
      <c r="C721">
        <f t="shared" si="40"/>
        <v>0.99477466714290996</v>
      </c>
      <c r="D721">
        <v>705</v>
      </c>
      <c r="E721">
        <f t="shared" si="41"/>
        <v>0</v>
      </c>
      <c r="F721">
        <f t="shared" si="42"/>
        <v>0</v>
      </c>
      <c r="G721" t="str">
        <f t="shared" si="43"/>
        <v>extra</v>
      </c>
      <c r="J721">
        <v>690</v>
      </c>
      <c r="K721">
        <v>0.35205736738594573</v>
      </c>
    </row>
    <row r="722" spans="1:11" x14ac:dyDescent="0.25">
      <c r="A722" s="3">
        <v>40527</v>
      </c>
      <c r="B722">
        <v>3247.64</v>
      </c>
      <c r="C722">
        <f t="shared" ref="C722:C785" si="44">B722/B723</f>
        <v>0.99332307682896614</v>
      </c>
      <c r="D722">
        <v>706</v>
      </c>
      <c r="E722">
        <f t="shared" ref="E722:E785" si="45">IF(D722&gt;$B$6,0,LN(C722))</f>
        <v>0</v>
      </c>
      <c r="F722">
        <f t="shared" ref="F722:F785" si="46">IF(D722&gt;$B$6,0,(E722-$B$7)^2)</f>
        <v>0</v>
      </c>
      <c r="G722" t="str">
        <f t="shared" ref="G722:G785" si="47">IF(D722&lt;=$B$6,E722,"extra")</f>
        <v>extra</v>
      </c>
      <c r="J722">
        <v>691</v>
      </c>
      <c r="K722">
        <v>0.35206653269270982</v>
      </c>
    </row>
    <row r="723" spans="1:11" x14ac:dyDescent="0.25">
      <c r="A723" s="3">
        <v>40526</v>
      </c>
      <c r="B723">
        <v>3269.47</v>
      </c>
      <c r="C723">
        <f t="shared" si="44"/>
        <v>1.0025789160579688</v>
      </c>
      <c r="D723">
        <v>707</v>
      </c>
      <c r="E723">
        <f t="shared" si="45"/>
        <v>0</v>
      </c>
      <c r="F723">
        <f t="shared" si="46"/>
        <v>0</v>
      </c>
      <c r="G723" t="str">
        <f t="shared" si="47"/>
        <v>extra</v>
      </c>
      <c r="J723">
        <v>692</v>
      </c>
      <c r="K723">
        <v>0.35209626554413792</v>
      </c>
    </row>
    <row r="724" spans="1:11" x14ac:dyDescent="0.25">
      <c r="A724" s="3">
        <v>40525</v>
      </c>
      <c r="B724">
        <v>3261.06</v>
      </c>
      <c r="C724">
        <f t="shared" si="44"/>
        <v>1.0313347965515278</v>
      </c>
      <c r="D724">
        <v>708</v>
      </c>
      <c r="E724">
        <f t="shared" si="45"/>
        <v>0</v>
      </c>
      <c r="F724">
        <f t="shared" si="46"/>
        <v>0</v>
      </c>
      <c r="G724" t="str">
        <f t="shared" si="47"/>
        <v>extra</v>
      </c>
      <c r="J724">
        <v>693</v>
      </c>
      <c r="K724">
        <v>0.35211794034237792</v>
      </c>
    </row>
    <row r="725" spans="1:11" x14ac:dyDescent="0.25">
      <c r="A725" s="3">
        <v>40522</v>
      </c>
      <c r="B725">
        <v>3161.98</v>
      </c>
      <c r="C725">
        <f t="shared" si="44"/>
        <v>1.0123616478355111</v>
      </c>
      <c r="D725">
        <v>709</v>
      </c>
      <c r="E725">
        <f t="shared" si="45"/>
        <v>0</v>
      </c>
      <c r="F725">
        <f t="shared" si="46"/>
        <v>0</v>
      </c>
      <c r="G725" t="str">
        <f t="shared" si="47"/>
        <v>extra</v>
      </c>
      <c r="J725">
        <v>694</v>
      </c>
      <c r="K725">
        <v>0.35267903020340202</v>
      </c>
    </row>
    <row r="726" spans="1:11" x14ac:dyDescent="0.25">
      <c r="A726" s="3">
        <v>40521</v>
      </c>
      <c r="B726">
        <v>3123.37</v>
      </c>
      <c r="C726">
        <f t="shared" si="44"/>
        <v>0.98470623100495602</v>
      </c>
      <c r="D726">
        <v>710</v>
      </c>
      <c r="E726">
        <f t="shared" si="45"/>
        <v>0</v>
      </c>
      <c r="F726">
        <f t="shared" si="46"/>
        <v>0</v>
      </c>
      <c r="G726" t="str">
        <f t="shared" si="47"/>
        <v>extra</v>
      </c>
      <c r="J726">
        <v>695</v>
      </c>
      <c r="K726">
        <v>0.35331194358999074</v>
      </c>
    </row>
    <row r="727" spans="1:11" x14ac:dyDescent="0.25">
      <c r="A727" s="3">
        <v>40520</v>
      </c>
      <c r="B727">
        <v>3171.88</v>
      </c>
      <c r="C727">
        <f t="shared" si="44"/>
        <v>0.9911071948605461</v>
      </c>
      <c r="D727">
        <v>711</v>
      </c>
      <c r="E727">
        <f t="shared" si="45"/>
        <v>0</v>
      </c>
      <c r="F727">
        <f t="shared" si="46"/>
        <v>0</v>
      </c>
      <c r="G727" t="str">
        <f t="shared" si="47"/>
        <v>extra</v>
      </c>
      <c r="J727">
        <v>696</v>
      </c>
      <c r="K727">
        <v>0.35331299835952606</v>
      </c>
    </row>
    <row r="728" spans="1:11" x14ac:dyDescent="0.25">
      <c r="A728" s="3">
        <v>40519</v>
      </c>
      <c r="B728">
        <v>3200.34</v>
      </c>
      <c r="C728">
        <f t="shared" si="44"/>
        <v>1.0109838038647068</v>
      </c>
      <c r="D728">
        <v>712</v>
      </c>
      <c r="E728">
        <f t="shared" si="45"/>
        <v>0</v>
      </c>
      <c r="F728">
        <f t="shared" si="46"/>
        <v>0</v>
      </c>
      <c r="G728" t="str">
        <f t="shared" si="47"/>
        <v>extra</v>
      </c>
      <c r="J728">
        <v>697</v>
      </c>
      <c r="K728">
        <v>0.3533618510151878</v>
      </c>
    </row>
    <row r="729" spans="1:11" x14ac:dyDescent="0.25">
      <c r="A729" s="3">
        <v>40518</v>
      </c>
      <c r="B729">
        <v>3165.57</v>
      </c>
      <c r="C729">
        <f t="shared" si="44"/>
        <v>1.0023494767506294</v>
      </c>
      <c r="D729">
        <v>713</v>
      </c>
      <c r="E729">
        <f t="shared" si="45"/>
        <v>0</v>
      </c>
      <c r="F729">
        <f t="shared" si="46"/>
        <v>0</v>
      </c>
      <c r="G729" t="str">
        <f t="shared" si="47"/>
        <v>extra</v>
      </c>
      <c r="J729">
        <v>698</v>
      </c>
      <c r="K729">
        <v>0.3537927820714552</v>
      </c>
    </row>
    <row r="730" spans="1:11" x14ac:dyDescent="0.25">
      <c r="A730" s="3">
        <v>40515</v>
      </c>
      <c r="B730">
        <v>3158.15</v>
      </c>
      <c r="C730">
        <f t="shared" si="44"/>
        <v>1.0009793791560224</v>
      </c>
      <c r="D730">
        <v>714</v>
      </c>
      <c r="E730">
        <f t="shared" si="45"/>
        <v>0</v>
      </c>
      <c r="F730">
        <f t="shared" si="46"/>
        <v>0</v>
      </c>
      <c r="G730" t="str">
        <f t="shared" si="47"/>
        <v>extra</v>
      </c>
      <c r="J730">
        <v>699</v>
      </c>
      <c r="K730">
        <v>0.35434663194776084</v>
      </c>
    </row>
    <row r="731" spans="1:11" x14ac:dyDescent="0.25">
      <c r="A731" s="3">
        <v>40514</v>
      </c>
      <c r="B731">
        <v>3155.06</v>
      </c>
      <c r="C731">
        <f t="shared" si="44"/>
        <v>1.00607138985083</v>
      </c>
      <c r="D731">
        <v>715</v>
      </c>
      <c r="E731">
        <f t="shared" si="45"/>
        <v>0</v>
      </c>
      <c r="F731">
        <f t="shared" si="46"/>
        <v>0</v>
      </c>
      <c r="G731" t="str">
        <f t="shared" si="47"/>
        <v>extra</v>
      </c>
      <c r="J731">
        <v>700</v>
      </c>
      <c r="K731">
        <v>0.35442862691247878</v>
      </c>
    </row>
    <row r="732" spans="1:11" x14ac:dyDescent="0.25">
      <c r="A732" s="3">
        <v>40513</v>
      </c>
      <c r="B732">
        <v>3136.02</v>
      </c>
      <c r="C732">
        <f t="shared" si="44"/>
        <v>0.99969078639077591</v>
      </c>
      <c r="D732">
        <v>716</v>
      </c>
      <c r="E732">
        <f t="shared" si="45"/>
        <v>0</v>
      </c>
      <c r="F732">
        <f t="shared" si="46"/>
        <v>0</v>
      </c>
      <c r="G732" t="str">
        <f t="shared" si="47"/>
        <v>extra</v>
      </c>
      <c r="J732">
        <v>701</v>
      </c>
      <c r="K732">
        <v>0.35451709231338657</v>
      </c>
    </row>
    <row r="733" spans="1:11" x14ac:dyDescent="0.25">
      <c r="A733" s="3">
        <v>40512</v>
      </c>
      <c r="B733">
        <v>3136.99</v>
      </c>
      <c r="C733">
        <f t="shared" si="44"/>
        <v>0.9833670318647042</v>
      </c>
      <c r="D733">
        <v>717</v>
      </c>
      <c r="E733">
        <f t="shared" si="45"/>
        <v>0</v>
      </c>
      <c r="F733">
        <f t="shared" si="46"/>
        <v>0</v>
      </c>
      <c r="G733" t="str">
        <f t="shared" si="47"/>
        <v>extra</v>
      </c>
      <c r="J733">
        <v>702</v>
      </c>
      <c r="K733">
        <v>0.35466011605449355</v>
      </c>
    </row>
    <row r="734" spans="1:11" x14ac:dyDescent="0.25">
      <c r="A734" s="3">
        <v>40511</v>
      </c>
      <c r="B734">
        <v>3190.05</v>
      </c>
      <c r="C734">
        <f t="shared" si="44"/>
        <v>0.9984975820461055</v>
      </c>
      <c r="D734">
        <v>718</v>
      </c>
      <c r="E734">
        <f t="shared" si="45"/>
        <v>0</v>
      </c>
      <c r="F734">
        <f t="shared" si="46"/>
        <v>0</v>
      </c>
      <c r="G734" t="str">
        <f t="shared" si="47"/>
        <v>extra</v>
      </c>
      <c r="J734">
        <v>703</v>
      </c>
      <c r="K734">
        <v>0.35537381030767429</v>
      </c>
    </row>
    <row r="735" spans="1:11" x14ac:dyDescent="0.25">
      <c r="A735" s="3">
        <v>40508</v>
      </c>
      <c r="B735">
        <v>3194.85</v>
      </c>
      <c r="C735">
        <f t="shared" si="44"/>
        <v>0.99111829451400346</v>
      </c>
      <c r="D735">
        <v>719</v>
      </c>
      <c r="E735">
        <f t="shared" si="45"/>
        <v>0</v>
      </c>
      <c r="F735">
        <f t="shared" si="46"/>
        <v>0</v>
      </c>
      <c r="G735" t="str">
        <f t="shared" si="47"/>
        <v>extra</v>
      </c>
      <c r="J735">
        <v>704</v>
      </c>
      <c r="K735">
        <v>0.35565900598990396</v>
      </c>
    </row>
    <row r="736" spans="1:11" x14ac:dyDescent="0.25">
      <c r="A736" s="3">
        <v>40507</v>
      </c>
      <c r="B736">
        <v>3223.48</v>
      </c>
      <c r="C736">
        <f t="shared" si="44"/>
        <v>1.0146173796993427</v>
      </c>
      <c r="D736">
        <v>720</v>
      </c>
      <c r="E736">
        <f t="shared" si="45"/>
        <v>0</v>
      </c>
      <c r="F736">
        <f t="shared" si="46"/>
        <v>0</v>
      </c>
      <c r="G736" t="str">
        <f t="shared" si="47"/>
        <v>extra</v>
      </c>
      <c r="J736">
        <v>705</v>
      </c>
      <c r="K736">
        <v>0.35565999666279452</v>
      </c>
    </row>
    <row r="737" spans="1:11" x14ac:dyDescent="0.25">
      <c r="A737" s="3">
        <v>40506</v>
      </c>
      <c r="B737">
        <v>3177.04</v>
      </c>
      <c r="C737">
        <f t="shared" si="44"/>
        <v>1.0224834093937267</v>
      </c>
      <c r="D737">
        <v>721</v>
      </c>
      <c r="E737">
        <f t="shared" si="45"/>
        <v>0</v>
      </c>
      <c r="F737">
        <f t="shared" si="46"/>
        <v>0</v>
      </c>
      <c r="G737" t="str">
        <f t="shared" si="47"/>
        <v>extra</v>
      </c>
      <c r="J737">
        <v>706</v>
      </c>
      <c r="K737">
        <v>0.35569154475861514</v>
      </c>
    </row>
    <row r="738" spans="1:11" x14ac:dyDescent="0.25">
      <c r="A738" s="3">
        <v>40505</v>
      </c>
      <c r="B738">
        <v>3107.18</v>
      </c>
      <c r="C738">
        <f t="shared" si="44"/>
        <v>0.97958347257514322</v>
      </c>
      <c r="D738">
        <v>722</v>
      </c>
      <c r="E738">
        <f t="shared" si="45"/>
        <v>0</v>
      </c>
      <c r="F738">
        <f t="shared" si="46"/>
        <v>0</v>
      </c>
      <c r="G738" t="str">
        <f t="shared" si="47"/>
        <v>extra</v>
      </c>
      <c r="J738">
        <v>707</v>
      </c>
      <c r="K738">
        <v>0.35574565389569007</v>
      </c>
    </row>
    <row r="739" spans="1:11" x14ac:dyDescent="0.25">
      <c r="A739" s="3">
        <v>40504</v>
      </c>
      <c r="B739">
        <v>3171.94</v>
      </c>
      <c r="C739">
        <f t="shared" si="44"/>
        <v>0.99782625792346291</v>
      </c>
      <c r="D739">
        <v>723</v>
      </c>
      <c r="E739">
        <f t="shared" si="45"/>
        <v>0</v>
      </c>
      <c r="F739">
        <f t="shared" si="46"/>
        <v>0</v>
      </c>
      <c r="G739" t="str">
        <f t="shared" si="47"/>
        <v>extra</v>
      </c>
      <c r="J739">
        <v>708</v>
      </c>
      <c r="K739">
        <v>0.35575797304949952</v>
      </c>
    </row>
    <row r="740" spans="1:11" x14ac:dyDescent="0.25">
      <c r="A740" s="3">
        <v>40501</v>
      </c>
      <c r="B740">
        <v>3178.85</v>
      </c>
      <c r="C740">
        <f t="shared" si="44"/>
        <v>1.0098127041004332</v>
      </c>
      <c r="D740">
        <v>724</v>
      </c>
      <c r="E740">
        <f t="shared" si="45"/>
        <v>0</v>
      </c>
      <c r="F740">
        <f t="shared" si="46"/>
        <v>0</v>
      </c>
      <c r="G740" t="str">
        <f t="shared" si="47"/>
        <v>extra</v>
      </c>
      <c r="J740">
        <v>709</v>
      </c>
      <c r="K740">
        <v>0.35713493353080117</v>
      </c>
    </row>
    <row r="741" spans="1:11" x14ac:dyDescent="0.25">
      <c r="A741" s="3">
        <v>40500</v>
      </c>
      <c r="B741">
        <v>3147.96</v>
      </c>
      <c r="C741">
        <f t="shared" si="44"/>
        <v>1.0141917774677747</v>
      </c>
      <c r="D741">
        <v>725</v>
      </c>
      <c r="E741">
        <f t="shared" si="45"/>
        <v>0</v>
      </c>
      <c r="F741">
        <f t="shared" si="46"/>
        <v>0</v>
      </c>
      <c r="G741" t="str">
        <f t="shared" si="47"/>
        <v>extra</v>
      </c>
      <c r="J741">
        <v>710</v>
      </c>
      <c r="K741">
        <v>0.35736044467363504</v>
      </c>
    </row>
    <row r="742" spans="1:11" x14ac:dyDescent="0.25">
      <c r="A742" s="3">
        <v>40499</v>
      </c>
      <c r="B742">
        <v>3103.91</v>
      </c>
      <c r="C742">
        <f t="shared" si="44"/>
        <v>0.97929352524341073</v>
      </c>
      <c r="D742">
        <v>726</v>
      </c>
      <c r="E742">
        <f t="shared" si="45"/>
        <v>0</v>
      </c>
      <c r="F742">
        <f t="shared" si="46"/>
        <v>0</v>
      </c>
      <c r="G742" t="str">
        <f t="shared" si="47"/>
        <v>extra</v>
      </c>
      <c r="J742">
        <v>711</v>
      </c>
      <c r="K742">
        <v>0.35767531428775995</v>
      </c>
    </row>
    <row r="743" spans="1:11" x14ac:dyDescent="0.25">
      <c r="A743" s="3">
        <v>40498</v>
      </c>
      <c r="B743">
        <v>3169.54</v>
      </c>
      <c r="C743">
        <f t="shared" si="44"/>
        <v>0.95615239118040118</v>
      </c>
      <c r="D743">
        <v>727</v>
      </c>
      <c r="E743">
        <f t="shared" si="45"/>
        <v>0</v>
      </c>
      <c r="F743">
        <f t="shared" si="46"/>
        <v>0</v>
      </c>
      <c r="G743" t="str">
        <f t="shared" si="47"/>
        <v>extra</v>
      </c>
      <c r="J743">
        <v>712</v>
      </c>
      <c r="K743">
        <v>0.35777598577019104</v>
      </c>
    </row>
    <row r="744" spans="1:11" x14ac:dyDescent="0.25">
      <c r="A744" s="3">
        <v>40497</v>
      </c>
      <c r="B744">
        <v>3314.89</v>
      </c>
      <c r="C744">
        <f t="shared" si="44"/>
        <v>1.007005222019363</v>
      </c>
      <c r="D744">
        <v>728</v>
      </c>
      <c r="E744">
        <f t="shared" si="45"/>
        <v>0</v>
      </c>
      <c r="F744">
        <f t="shared" si="46"/>
        <v>0</v>
      </c>
      <c r="G744" t="str">
        <f t="shared" si="47"/>
        <v>extra</v>
      </c>
      <c r="J744">
        <v>713</v>
      </c>
      <c r="K744">
        <v>0.35795576883277408</v>
      </c>
    </row>
    <row r="745" spans="1:11" x14ac:dyDescent="0.25">
      <c r="A745" s="3">
        <v>40494</v>
      </c>
      <c r="B745">
        <v>3291.83</v>
      </c>
      <c r="C745">
        <f t="shared" si="44"/>
        <v>0.93784864871024909</v>
      </c>
      <c r="D745">
        <v>729</v>
      </c>
      <c r="E745">
        <f t="shared" si="45"/>
        <v>0</v>
      </c>
      <c r="F745">
        <f t="shared" si="46"/>
        <v>0</v>
      </c>
      <c r="G745" t="str">
        <f t="shared" si="47"/>
        <v>extra</v>
      </c>
      <c r="J745">
        <v>714</v>
      </c>
      <c r="K745">
        <v>0.35796575531107283</v>
      </c>
    </row>
    <row r="746" spans="1:11" x14ac:dyDescent="0.25">
      <c r="A746" s="3">
        <v>40493</v>
      </c>
      <c r="B746">
        <v>3509.98</v>
      </c>
      <c r="C746">
        <f t="shared" si="44"/>
        <v>1.0031065042253602</v>
      </c>
      <c r="D746">
        <v>730</v>
      </c>
      <c r="E746">
        <f t="shared" si="45"/>
        <v>0</v>
      </c>
      <c r="F746">
        <f t="shared" si="46"/>
        <v>0</v>
      </c>
      <c r="G746" t="str">
        <f t="shared" si="47"/>
        <v>extra</v>
      </c>
      <c r="J746">
        <v>715</v>
      </c>
      <c r="K746">
        <v>0.35796776636456445</v>
      </c>
    </row>
    <row r="747" spans="1:11" x14ac:dyDescent="0.25">
      <c r="A747" s="3">
        <v>40492</v>
      </c>
      <c r="B747">
        <v>3499.11</v>
      </c>
      <c r="C747">
        <f t="shared" si="44"/>
        <v>0.99295109181458319</v>
      </c>
      <c r="D747">
        <v>731</v>
      </c>
      <c r="E747">
        <f t="shared" si="45"/>
        <v>0</v>
      </c>
      <c r="F747">
        <f t="shared" si="46"/>
        <v>0</v>
      </c>
      <c r="G747" t="str">
        <f t="shared" si="47"/>
        <v>extra</v>
      </c>
      <c r="J747">
        <v>716</v>
      </c>
      <c r="K747">
        <v>0.3580255255091962</v>
      </c>
    </row>
    <row r="748" spans="1:11" x14ac:dyDescent="0.25">
      <c r="A748" s="3">
        <v>40491</v>
      </c>
      <c r="B748">
        <v>3523.95</v>
      </c>
      <c r="C748">
        <f t="shared" si="44"/>
        <v>0.9930619939863099</v>
      </c>
      <c r="D748">
        <v>732</v>
      </c>
      <c r="E748">
        <f t="shared" si="45"/>
        <v>0</v>
      </c>
      <c r="F748">
        <f t="shared" si="46"/>
        <v>0</v>
      </c>
      <c r="G748" t="str">
        <f t="shared" si="47"/>
        <v>extra</v>
      </c>
      <c r="J748">
        <v>717</v>
      </c>
      <c r="K748">
        <v>0.35802483847713706</v>
      </c>
    </row>
    <row r="749" spans="1:11" x14ac:dyDescent="0.25">
      <c r="A749" s="3">
        <v>40490</v>
      </c>
      <c r="B749">
        <v>3548.57</v>
      </c>
      <c r="C749">
        <f t="shared" si="44"/>
        <v>1.0078874119518291</v>
      </c>
      <c r="D749">
        <v>733</v>
      </c>
      <c r="E749">
        <f t="shared" si="45"/>
        <v>0</v>
      </c>
      <c r="F749">
        <f t="shared" si="46"/>
        <v>0</v>
      </c>
      <c r="G749" t="str">
        <f t="shared" si="47"/>
        <v>extra</v>
      </c>
      <c r="J749">
        <v>718</v>
      </c>
      <c r="K749">
        <v>0.35839870502604754</v>
      </c>
    </row>
    <row r="750" spans="1:11" x14ac:dyDescent="0.25">
      <c r="A750" s="3">
        <v>40487</v>
      </c>
      <c r="B750">
        <v>3520.8</v>
      </c>
      <c r="C750">
        <f t="shared" si="44"/>
        <v>1.0115758897402967</v>
      </c>
      <c r="D750">
        <v>734</v>
      </c>
      <c r="E750">
        <f t="shared" si="45"/>
        <v>0</v>
      </c>
      <c r="F750">
        <f t="shared" si="46"/>
        <v>0</v>
      </c>
      <c r="G750" t="str">
        <f t="shared" si="47"/>
        <v>extra</v>
      </c>
      <c r="J750">
        <v>719</v>
      </c>
      <c r="K750">
        <v>0.35839963150704324</v>
      </c>
    </row>
    <row r="751" spans="1:11" x14ac:dyDescent="0.25">
      <c r="A751" s="3">
        <v>40486</v>
      </c>
      <c r="B751">
        <v>3480.51</v>
      </c>
      <c r="C751">
        <f t="shared" si="44"/>
        <v>1.0175918183572394</v>
      </c>
      <c r="D751">
        <v>735</v>
      </c>
      <c r="E751">
        <f t="shared" si="45"/>
        <v>0</v>
      </c>
      <c r="F751">
        <f t="shared" si="46"/>
        <v>0</v>
      </c>
      <c r="G751" t="str">
        <f t="shared" si="47"/>
        <v>extra</v>
      </c>
      <c r="J751">
        <v>720</v>
      </c>
      <c r="K751">
        <v>0.35849971787523688</v>
      </c>
    </row>
    <row r="752" spans="1:11" x14ac:dyDescent="0.25">
      <c r="A752" s="3">
        <v>40485</v>
      </c>
      <c r="B752">
        <v>3420.34</v>
      </c>
      <c r="C752">
        <f t="shared" si="44"/>
        <v>0.9876441254010101</v>
      </c>
      <c r="D752">
        <v>736</v>
      </c>
      <c r="E752">
        <f t="shared" si="45"/>
        <v>0</v>
      </c>
      <c r="F752">
        <f t="shared" si="46"/>
        <v>0</v>
      </c>
      <c r="G752" t="str">
        <f t="shared" si="47"/>
        <v>extra</v>
      </c>
      <c r="J752">
        <v>721</v>
      </c>
      <c r="K752">
        <v>0.35881107184792438</v>
      </c>
    </row>
    <row r="753" spans="1:11" x14ac:dyDescent="0.25">
      <c r="A753" s="3">
        <v>40484</v>
      </c>
      <c r="B753">
        <v>3463.13</v>
      </c>
      <c r="C753">
        <f t="shared" si="44"/>
        <v>0.99715807659084366</v>
      </c>
      <c r="D753">
        <v>737</v>
      </c>
      <c r="E753">
        <f t="shared" si="45"/>
        <v>0</v>
      </c>
      <c r="F753">
        <f t="shared" si="46"/>
        <v>0</v>
      </c>
      <c r="G753" t="str">
        <f t="shared" si="47"/>
        <v>extra</v>
      </c>
      <c r="J753">
        <v>722</v>
      </c>
      <c r="K753">
        <v>0.35952572656759924</v>
      </c>
    </row>
    <row r="754" spans="1:11" x14ac:dyDescent="0.25">
      <c r="A754" s="3">
        <v>40483</v>
      </c>
      <c r="B754">
        <v>3473</v>
      </c>
      <c r="C754">
        <f t="shared" si="44"/>
        <v>1.0275208729045735</v>
      </c>
      <c r="D754">
        <v>738</v>
      </c>
      <c r="E754">
        <f t="shared" si="45"/>
        <v>0</v>
      </c>
      <c r="F754">
        <f t="shared" si="46"/>
        <v>0</v>
      </c>
      <c r="G754" t="str">
        <f t="shared" si="47"/>
        <v>extra</v>
      </c>
      <c r="J754">
        <v>723</v>
      </c>
      <c r="K754">
        <v>0.36009514300268658</v>
      </c>
    </row>
    <row r="755" spans="1:11" x14ac:dyDescent="0.25">
      <c r="A755" s="3">
        <v>40480</v>
      </c>
      <c r="B755">
        <v>3379.98</v>
      </c>
      <c r="C755">
        <f t="shared" si="44"/>
        <v>0.9947876351285726</v>
      </c>
      <c r="D755">
        <v>739</v>
      </c>
      <c r="E755">
        <f t="shared" si="45"/>
        <v>0</v>
      </c>
      <c r="F755">
        <f t="shared" si="46"/>
        <v>0</v>
      </c>
      <c r="G755" t="str">
        <f t="shared" si="47"/>
        <v>extra</v>
      </c>
      <c r="J755">
        <v>724</v>
      </c>
      <c r="K755">
        <v>0.36009876569945831</v>
      </c>
    </row>
    <row r="756" spans="1:11" x14ac:dyDescent="0.25">
      <c r="A756" s="3">
        <v>40479</v>
      </c>
      <c r="B756">
        <v>3397.69</v>
      </c>
      <c r="C756">
        <f t="shared" si="44"/>
        <v>0.99818441949898207</v>
      </c>
      <c r="D756">
        <v>740</v>
      </c>
      <c r="E756">
        <f t="shared" si="45"/>
        <v>0</v>
      </c>
      <c r="F756">
        <f t="shared" si="46"/>
        <v>0</v>
      </c>
      <c r="G756" t="str">
        <f t="shared" si="47"/>
        <v>extra</v>
      </c>
      <c r="J756">
        <v>725</v>
      </c>
      <c r="K756">
        <v>0.36024220721438216</v>
      </c>
    </row>
    <row r="757" spans="1:11" x14ac:dyDescent="0.25">
      <c r="A757" s="3">
        <v>40478</v>
      </c>
      <c r="B757">
        <v>3403.87</v>
      </c>
      <c r="C757">
        <f t="shared" si="44"/>
        <v>0.98205177029958912</v>
      </c>
      <c r="D757">
        <v>741</v>
      </c>
      <c r="E757">
        <f t="shared" si="45"/>
        <v>0</v>
      </c>
      <c r="F757">
        <f t="shared" si="46"/>
        <v>0</v>
      </c>
      <c r="G757" t="str">
        <f t="shared" si="47"/>
        <v>extra</v>
      </c>
      <c r="J757">
        <v>726</v>
      </c>
      <c r="K757">
        <v>0.36053343672343252</v>
      </c>
    </row>
    <row r="758" spans="1:11" x14ac:dyDescent="0.25">
      <c r="A758" s="3">
        <v>40477</v>
      </c>
      <c r="B758">
        <v>3466.08</v>
      </c>
      <c r="C758">
        <f t="shared" si="44"/>
        <v>0.99569099245061876</v>
      </c>
      <c r="D758">
        <v>742</v>
      </c>
      <c r="E758">
        <f t="shared" si="45"/>
        <v>0</v>
      </c>
      <c r="F758">
        <f t="shared" si="46"/>
        <v>0</v>
      </c>
      <c r="G758" t="str">
        <f t="shared" si="47"/>
        <v>extra</v>
      </c>
      <c r="J758">
        <v>727</v>
      </c>
      <c r="K758">
        <v>0.36111820548147966</v>
      </c>
    </row>
    <row r="759" spans="1:11" x14ac:dyDescent="0.25">
      <c r="A759" s="3">
        <v>40476</v>
      </c>
      <c r="B759">
        <v>3481.08</v>
      </c>
      <c r="C759">
        <f t="shared" si="44"/>
        <v>1.0303137930422119</v>
      </c>
      <c r="D759">
        <v>743</v>
      </c>
      <c r="E759">
        <f t="shared" si="45"/>
        <v>0</v>
      </c>
      <c r="F759">
        <f t="shared" si="46"/>
        <v>0</v>
      </c>
      <c r="G759" t="str">
        <f t="shared" si="47"/>
        <v>extra</v>
      </c>
      <c r="J759">
        <v>728</v>
      </c>
      <c r="K759">
        <v>0.36384375347328807</v>
      </c>
    </row>
    <row r="760" spans="1:11" x14ac:dyDescent="0.25">
      <c r="A760" s="3">
        <v>40473</v>
      </c>
      <c r="B760">
        <v>3378.66</v>
      </c>
      <c r="C760">
        <f t="shared" si="44"/>
        <v>1.0011764043512144</v>
      </c>
      <c r="D760">
        <v>744</v>
      </c>
      <c r="E760">
        <f t="shared" si="45"/>
        <v>0</v>
      </c>
      <c r="F760">
        <f t="shared" si="46"/>
        <v>0</v>
      </c>
      <c r="G760" t="str">
        <f t="shared" si="47"/>
        <v>extra</v>
      </c>
      <c r="J760">
        <v>729</v>
      </c>
      <c r="K760">
        <v>0.36391950838827136</v>
      </c>
    </row>
    <row r="761" spans="1:11" x14ac:dyDescent="0.25">
      <c r="A761" s="3">
        <v>40472</v>
      </c>
      <c r="B761">
        <v>3374.69</v>
      </c>
      <c r="C761">
        <f t="shared" si="44"/>
        <v>0.99346753491439199</v>
      </c>
      <c r="D761">
        <v>745</v>
      </c>
      <c r="E761">
        <f t="shared" si="45"/>
        <v>0</v>
      </c>
      <c r="F761">
        <f t="shared" si="46"/>
        <v>0</v>
      </c>
      <c r="G761" t="str">
        <f t="shared" si="47"/>
        <v>extra</v>
      </c>
      <c r="J761">
        <v>730</v>
      </c>
      <c r="K761">
        <v>0.3694600088062987</v>
      </c>
    </row>
    <row r="762" spans="1:11" x14ac:dyDescent="0.25">
      <c r="A762" s="3">
        <v>40471</v>
      </c>
      <c r="B762">
        <v>3396.88</v>
      </c>
      <c r="C762">
        <f t="shared" si="44"/>
        <v>1.006283197113462</v>
      </c>
      <c r="D762">
        <v>746</v>
      </c>
      <c r="E762">
        <f t="shared" si="45"/>
        <v>0</v>
      </c>
      <c r="F762">
        <f t="shared" si="46"/>
        <v>0</v>
      </c>
      <c r="G762" t="str">
        <f t="shared" si="47"/>
        <v>extra</v>
      </c>
      <c r="J762">
        <v>731</v>
      </c>
      <c r="K762">
        <v>0.36947738435823335</v>
      </c>
    </row>
    <row r="763" spans="1:11" x14ac:dyDescent="0.25">
      <c r="A763" s="3">
        <v>40470</v>
      </c>
      <c r="B763">
        <v>3375.67</v>
      </c>
      <c r="C763">
        <f t="shared" si="44"/>
        <v>1.0210243908340795</v>
      </c>
      <c r="D763">
        <v>747</v>
      </c>
      <c r="E763">
        <f t="shared" si="45"/>
        <v>0</v>
      </c>
      <c r="F763">
        <f t="shared" si="46"/>
        <v>0</v>
      </c>
      <c r="G763" t="str">
        <f t="shared" si="47"/>
        <v>extra</v>
      </c>
      <c r="J763">
        <v>732</v>
      </c>
      <c r="K763">
        <v>0.36953445246663547</v>
      </c>
    </row>
    <row r="764" spans="1:11" x14ac:dyDescent="0.25">
      <c r="A764" s="3">
        <v>40469</v>
      </c>
      <c r="B764">
        <v>3306.16</v>
      </c>
      <c r="C764">
        <f t="shared" si="44"/>
        <v>0.9935330320223098</v>
      </c>
      <c r="D764">
        <v>748</v>
      </c>
      <c r="E764">
        <f t="shared" si="45"/>
        <v>0</v>
      </c>
      <c r="F764">
        <f t="shared" si="46"/>
        <v>0</v>
      </c>
      <c r="G764" t="str">
        <f t="shared" si="47"/>
        <v>extra</v>
      </c>
      <c r="J764">
        <v>733</v>
      </c>
      <c r="K764">
        <v>0.36958939942307939</v>
      </c>
    </row>
    <row r="765" spans="1:11" x14ac:dyDescent="0.25">
      <c r="A765" s="3">
        <v>40466</v>
      </c>
      <c r="B765">
        <v>3327.68</v>
      </c>
      <c r="C765">
        <f t="shared" si="44"/>
        <v>1.0321139900872791</v>
      </c>
      <c r="D765">
        <v>749</v>
      </c>
      <c r="E765">
        <f t="shared" si="45"/>
        <v>0</v>
      </c>
      <c r="F765">
        <f t="shared" si="46"/>
        <v>0</v>
      </c>
      <c r="G765" t="str">
        <f t="shared" si="47"/>
        <v>extra</v>
      </c>
      <c r="J765">
        <v>734</v>
      </c>
      <c r="K765">
        <v>0.36968472016786014</v>
      </c>
    </row>
    <row r="766" spans="1:11" x14ac:dyDescent="0.25">
      <c r="A766" s="3">
        <v>40465</v>
      </c>
      <c r="B766">
        <v>3224.14</v>
      </c>
      <c r="C766">
        <f t="shared" si="44"/>
        <v>1.0020387993460924</v>
      </c>
      <c r="D766">
        <v>750</v>
      </c>
      <c r="E766">
        <f t="shared" si="45"/>
        <v>0</v>
      </c>
      <c r="F766">
        <f t="shared" si="46"/>
        <v>0</v>
      </c>
      <c r="G766" t="str">
        <f t="shared" si="47"/>
        <v>extra</v>
      </c>
      <c r="J766">
        <v>735</v>
      </c>
      <c r="K766">
        <v>0.36988097864108482</v>
      </c>
    </row>
    <row r="767" spans="1:11" x14ac:dyDescent="0.25">
      <c r="A767" s="3">
        <v>40464</v>
      </c>
      <c r="B767">
        <v>3217.58</v>
      </c>
      <c r="C767">
        <f t="shared" si="44"/>
        <v>1.0141360910004948</v>
      </c>
      <c r="D767">
        <v>751</v>
      </c>
      <c r="E767">
        <f t="shared" si="45"/>
        <v>0</v>
      </c>
      <c r="F767">
        <f t="shared" si="46"/>
        <v>0</v>
      </c>
      <c r="G767" t="str">
        <f t="shared" si="47"/>
        <v>extra</v>
      </c>
      <c r="J767">
        <v>736</v>
      </c>
      <c r="K767">
        <v>0.37031732231634901</v>
      </c>
    </row>
    <row r="768" spans="1:11" x14ac:dyDescent="0.25">
      <c r="A768" s="3">
        <v>40463</v>
      </c>
      <c r="B768">
        <v>3172.73</v>
      </c>
      <c r="C768">
        <f t="shared" si="44"/>
        <v>1.012713460372179</v>
      </c>
      <c r="D768">
        <v>752</v>
      </c>
      <c r="E768">
        <f t="shared" si="45"/>
        <v>0</v>
      </c>
      <c r="F768">
        <f t="shared" si="46"/>
        <v>0</v>
      </c>
      <c r="G768" t="str">
        <f t="shared" si="47"/>
        <v>extra</v>
      </c>
      <c r="J768">
        <v>737</v>
      </c>
      <c r="K768">
        <v>0.37050877749926692</v>
      </c>
    </row>
    <row r="769" spans="1:11" x14ac:dyDescent="0.25">
      <c r="A769" s="3">
        <v>40462</v>
      </c>
      <c r="B769">
        <v>3132.9</v>
      </c>
      <c r="C769">
        <f t="shared" si="44"/>
        <v>1.0291272341445949</v>
      </c>
      <c r="D769">
        <v>753</v>
      </c>
      <c r="E769">
        <f t="shared" si="45"/>
        <v>0</v>
      </c>
      <c r="F769">
        <f t="shared" si="46"/>
        <v>0</v>
      </c>
      <c r="G769" t="str">
        <f t="shared" si="47"/>
        <v>extra</v>
      </c>
      <c r="J769">
        <v>738</v>
      </c>
      <c r="K769">
        <v>0.37051536493028364</v>
      </c>
    </row>
    <row r="770" spans="1:11" x14ac:dyDescent="0.25">
      <c r="A770" s="3">
        <v>40459</v>
      </c>
      <c r="B770">
        <v>3044.23</v>
      </c>
      <c r="C770">
        <f t="shared" si="44"/>
        <v>1.0370149579127732</v>
      </c>
      <c r="D770">
        <v>754</v>
      </c>
      <c r="E770">
        <f t="shared" si="45"/>
        <v>0</v>
      </c>
      <c r="F770">
        <f t="shared" si="46"/>
        <v>0</v>
      </c>
      <c r="G770" t="str">
        <f t="shared" si="47"/>
        <v>extra</v>
      </c>
      <c r="J770">
        <v>739</v>
      </c>
      <c r="K770">
        <v>0.37154847748523234</v>
      </c>
    </row>
    <row r="771" spans="1:11" x14ac:dyDescent="0.25">
      <c r="A771" s="3">
        <v>40451</v>
      </c>
      <c r="B771">
        <v>2935.57</v>
      </c>
      <c r="C771">
        <f t="shared" si="44"/>
        <v>1.021135309811779</v>
      </c>
      <c r="D771">
        <v>755</v>
      </c>
      <c r="E771">
        <f t="shared" si="45"/>
        <v>0</v>
      </c>
      <c r="F771">
        <f t="shared" si="46"/>
        <v>0</v>
      </c>
      <c r="G771" t="str">
        <f t="shared" si="47"/>
        <v>extra</v>
      </c>
      <c r="J771">
        <v>740</v>
      </c>
      <c r="K771">
        <v>0.37157799357892085</v>
      </c>
    </row>
    <row r="772" spans="1:11" x14ac:dyDescent="0.25">
      <c r="A772" s="3">
        <v>40450</v>
      </c>
      <c r="B772">
        <v>2874.81</v>
      </c>
      <c r="C772">
        <f t="shared" si="44"/>
        <v>0.99788261347976859</v>
      </c>
      <c r="D772">
        <v>756</v>
      </c>
      <c r="E772">
        <f t="shared" si="45"/>
        <v>0</v>
      </c>
      <c r="F772">
        <f t="shared" si="46"/>
        <v>0</v>
      </c>
      <c r="G772" t="str">
        <f t="shared" si="47"/>
        <v>extra</v>
      </c>
      <c r="J772">
        <v>741</v>
      </c>
      <c r="K772">
        <v>0.37157965745416593</v>
      </c>
    </row>
    <row r="773" spans="1:11" x14ac:dyDescent="0.25">
      <c r="A773" s="3">
        <v>40449</v>
      </c>
      <c r="B773">
        <v>2880.91</v>
      </c>
      <c r="C773">
        <f t="shared" si="44"/>
        <v>0.9916971597539439</v>
      </c>
      <c r="D773">
        <v>757</v>
      </c>
      <c r="E773">
        <f t="shared" si="45"/>
        <v>0</v>
      </c>
      <c r="F773">
        <f t="shared" si="46"/>
        <v>0</v>
      </c>
      <c r="G773" t="str">
        <f t="shared" si="47"/>
        <v>extra</v>
      </c>
      <c r="J773">
        <v>742</v>
      </c>
      <c r="K773">
        <v>0.37199664528972587</v>
      </c>
    </row>
    <row r="774" spans="1:11" x14ac:dyDescent="0.25">
      <c r="A774" s="3">
        <v>40448</v>
      </c>
      <c r="B774">
        <v>2905.03</v>
      </c>
      <c r="C774">
        <f t="shared" si="44"/>
        <v>1.0166405364167028</v>
      </c>
      <c r="D774">
        <v>758</v>
      </c>
      <c r="E774">
        <f t="shared" si="45"/>
        <v>0</v>
      </c>
      <c r="F774">
        <f t="shared" si="46"/>
        <v>0</v>
      </c>
      <c r="G774" t="str">
        <f t="shared" si="47"/>
        <v>extra</v>
      </c>
      <c r="J774">
        <v>743</v>
      </c>
      <c r="K774">
        <v>0.37201534490350374</v>
      </c>
    </row>
    <row r="775" spans="1:11" x14ac:dyDescent="0.25">
      <c r="A775" s="3">
        <v>40442</v>
      </c>
      <c r="B775">
        <v>2857.48</v>
      </c>
      <c r="C775">
        <f t="shared" si="44"/>
        <v>1.0026843706466702</v>
      </c>
      <c r="D775">
        <v>759</v>
      </c>
      <c r="E775">
        <f t="shared" si="45"/>
        <v>0</v>
      </c>
      <c r="F775">
        <f t="shared" si="46"/>
        <v>0</v>
      </c>
      <c r="G775" t="str">
        <f t="shared" si="47"/>
        <v>extra</v>
      </c>
      <c r="J775">
        <v>744</v>
      </c>
      <c r="K775">
        <v>0.37325576300606383</v>
      </c>
    </row>
    <row r="776" spans="1:11" x14ac:dyDescent="0.25">
      <c r="A776" s="3">
        <v>40441</v>
      </c>
      <c r="B776">
        <v>2849.83</v>
      </c>
      <c r="C776">
        <f t="shared" si="44"/>
        <v>0.99596696687251218</v>
      </c>
      <c r="D776">
        <v>760</v>
      </c>
      <c r="E776">
        <f t="shared" si="45"/>
        <v>0</v>
      </c>
      <c r="F776">
        <f t="shared" si="46"/>
        <v>0</v>
      </c>
      <c r="G776" t="str">
        <f t="shared" si="47"/>
        <v>extra</v>
      </c>
      <c r="J776">
        <v>745</v>
      </c>
      <c r="K776">
        <v>0.37325880160887204</v>
      </c>
    </row>
    <row r="777" spans="1:11" x14ac:dyDescent="0.25">
      <c r="A777" s="3">
        <v>40438</v>
      </c>
      <c r="B777">
        <v>2861.37</v>
      </c>
      <c r="C777">
        <f t="shared" si="44"/>
        <v>1.0012527162597671</v>
      </c>
      <c r="D777">
        <v>761</v>
      </c>
      <c r="E777">
        <f t="shared" si="45"/>
        <v>0</v>
      </c>
      <c r="F777">
        <f t="shared" si="46"/>
        <v>0</v>
      </c>
      <c r="G777" t="str">
        <f t="shared" si="47"/>
        <v>extra</v>
      </c>
      <c r="J777">
        <v>746</v>
      </c>
      <c r="K777">
        <v>0.37330751283864122</v>
      </c>
    </row>
    <row r="778" spans="1:11" x14ac:dyDescent="0.25">
      <c r="A778" s="3">
        <v>40437</v>
      </c>
      <c r="B778">
        <v>2857.79</v>
      </c>
      <c r="C778">
        <f t="shared" si="44"/>
        <v>0.98098304607663755</v>
      </c>
      <c r="D778">
        <v>762</v>
      </c>
      <c r="E778">
        <f t="shared" si="45"/>
        <v>0</v>
      </c>
      <c r="F778">
        <f t="shared" si="46"/>
        <v>0</v>
      </c>
      <c r="G778" t="str">
        <f t="shared" si="47"/>
        <v>extra</v>
      </c>
      <c r="J778">
        <v>747</v>
      </c>
      <c r="K778">
        <v>0.37336808252498638</v>
      </c>
    </row>
    <row r="779" spans="1:11" x14ac:dyDescent="0.25">
      <c r="A779" s="3">
        <v>40436</v>
      </c>
      <c r="B779">
        <v>2913.19</v>
      </c>
      <c r="C779">
        <f t="shared" si="44"/>
        <v>0.98252282454359341</v>
      </c>
      <c r="D779">
        <v>763</v>
      </c>
      <c r="E779">
        <f t="shared" si="45"/>
        <v>0</v>
      </c>
      <c r="F779">
        <f t="shared" si="46"/>
        <v>0</v>
      </c>
      <c r="G779" t="str">
        <f t="shared" si="47"/>
        <v>extra</v>
      </c>
      <c r="J779">
        <v>748</v>
      </c>
      <c r="K779">
        <v>0.37397481173325442</v>
      </c>
    </row>
    <row r="780" spans="1:11" x14ac:dyDescent="0.25">
      <c r="A780" s="3">
        <v>40435</v>
      </c>
      <c r="B780">
        <v>2965.01</v>
      </c>
      <c r="C780">
        <f t="shared" si="44"/>
        <v>1.0009080720516352</v>
      </c>
      <c r="D780">
        <v>764</v>
      </c>
      <c r="E780">
        <f t="shared" si="45"/>
        <v>0</v>
      </c>
      <c r="F780">
        <f t="shared" si="46"/>
        <v>0</v>
      </c>
      <c r="G780" t="str">
        <f t="shared" si="47"/>
        <v>extra</v>
      </c>
      <c r="J780">
        <v>749</v>
      </c>
      <c r="K780">
        <v>0.37402284096243282</v>
      </c>
    </row>
    <row r="781" spans="1:11" x14ac:dyDescent="0.25">
      <c r="A781" s="3">
        <v>40434</v>
      </c>
      <c r="B781">
        <v>2962.32</v>
      </c>
      <c r="C781">
        <f t="shared" si="44"/>
        <v>1.0101515745682086</v>
      </c>
      <c r="D781">
        <v>765</v>
      </c>
      <c r="E781">
        <f t="shared" si="45"/>
        <v>0</v>
      </c>
      <c r="F781">
        <f t="shared" si="46"/>
        <v>0</v>
      </c>
      <c r="G781" t="str">
        <f t="shared" si="47"/>
        <v>extra</v>
      </c>
      <c r="J781">
        <v>750</v>
      </c>
      <c r="K781">
        <v>0.37539670400615671</v>
      </c>
    </row>
    <row r="782" spans="1:11" x14ac:dyDescent="0.25">
      <c r="A782" s="3">
        <v>40431</v>
      </c>
      <c r="B782">
        <v>2932.55</v>
      </c>
      <c r="C782">
        <f t="shared" si="44"/>
        <v>1.0020810125544173</v>
      </c>
      <c r="D782">
        <v>766</v>
      </c>
      <c r="E782">
        <f t="shared" si="45"/>
        <v>0</v>
      </c>
      <c r="F782">
        <f t="shared" si="46"/>
        <v>0</v>
      </c>
      <c r="G782" t="str">
        <f t="shared" si="47"/>
        <v>extra</v>
      </c>
      <c r="J782">
        <v>751</v>
      </c>
      <c r="K782">
        <v>0.3754040971133441</v>
      </c>
    </row>
    <row r="783" spans="1:11" x14ac:dyDescent="0.25">
      <c r="A783" s="3">
        <v>40430</v>
      </c>
      <c r="B783">
        <v>2926.46</v>
      </c>
      <c r="C783">
        <f t="shared" si="44"/>
        <v>0.98171400584373547</v>
      </c>
      <c r="D783">
        <v>767</v>
      </c>
      <c r="E783">
        <f t="shared" si="45"/>
        <v>0</v>
      </c>
      <c r="F783">
        <f t="shared" si="46"/>
        <v>0</v>
      </c>
      <c r="G783" t="str">
        <f t="shared" si="47"/>
        <v>extra</v>
      </c>
      <c r="J783">
        <v>752</v>
      </c>
      <c r="K783">
        <v>0.37568201937208467</v>
      </c>
    </row>
    <row r="784" spans="1:11" x14ac:dyDescent="0.25">
      <c r="A784" s="3">
        <v>40429</v>
      </c>
      <c r="B784">
        <v>2980.97</v>
      </c>
      <c r="C784">
        <f t="shared" si="44"/>
        <v>0.999282627861527</v>
      </c>
      <c r="D784">
        <v>768</v>
      </c>
      <c r="E784">
        <f t="shared" si="45"/>
        <v>0</v>
      </c>
      <c r="F784">
        <f t="shared" si="46"/>
        <v>0</v>
      </c>
      <c r="G784" t="str">
        <f t="shared" si="47"/>
        <v>extra</v>
      </c>
      <c r="J784">
        <v>753</v>
      </c>
      <c r="K784">
        <v>0.3759076411971462</v>
      </c>
    </row>
    <row r="785" spans="1:11" x14ac:dyDescent="0.25">
      <c r="A785" s="3">
        <v>40428</v>
      </c>
      <c r="B785">
        <v>2983.11</v>
      </c>
      <c r="C785">
        <f t="shared" si="44"/>
        <v>1.0026957167682322</v>
      </c>
      <c r="D785">
        <v>769</v>
      </c>
      <c r="E785">
        <f t="shared" si="45"/>
        <v>0</v>
      </c>
      <c r="F785">
        <f t="shared" si="46"/>
        <v>0</v>
      </c>
      <c r="G785" t="str">
        <f t="shared" si="47"/>
        <v>extra</v>
      </c>
      <c r="J785">
        <v>754</v>
      </c>
      <c r="K785">
        <v>0.37703260549290407</v>
      </c>
    </row>
    <row r="786" spans="1:11" x14ac:dyDescent="0.25">
      <c r="A786" s="3">
        <v>40427</v>
      </c>
      <c r="B786">
        <v>2975.09</v>
      </c>
      <c r="C786">
        <f t="shared" ref="C786:C849" si="48">B786/B787</f>
        <v>1.0187931689844223</v>
      </c>
      <c r="D786">
        <v>770</v>
      </c>
      <c r="E786">
        <f t="shared" ref="E786:E849" si="49">IF(D786&gt;$B$6,0,LN(C786))</f>
        <v>0</v>
      </c>
      <c r="F786">
        <f t="shared" ref="F786:F849" si="50">IF(D786&gt;$B$6,0,(E786-$B$7)^2)</f>
        <v>0</v>
      </c>
      <c r="G786" t="str">
        <f t="shared" ref="G786:G849" si="51">IF(D786&lt;=$B$6,E786,"extra")</f>
        <v>extra</v>
      </c>
      <c r="J786">
        <v>755</v>
      </c>
      <c r="K786">
        <v>0.37881526172154978</v>
      </c>
    </row>
    <row r="787" spans="1:11" x14ac:dyDescent="0.25">
      <c r="A787" s="3">
        <v>40424</v>
      </c>
      <c r="B787">
        <v>2920.21</v>
      </c>
      <c r="C787">
        <f t="shared" si="48"/>
        <v>0.99959608268666633</v>
      </c>
      <c r="D787">
        <v>771</v>
      </c>
      <c r="E787">
        <f t="shared" si="49"/>
        <v>0</v>
      </c>
      <c r="F787">
        <f t="shared" si="50"/>
        <v>0</v>
      </c>
      <c r="G787" t="str">
        <f t="shared" si="51"/>
        <v>extra</v>
      </c>
      <c r="J787">
        <v>756</v>
      </c>
      <c r="K787">
        <v>0.37940867992819366</v>
      </c>
    </row>
    <row r="788" spans="1:11" x14ac:dyDescent="0.25">
      <c r="A788" s="3">
        <v>40423</v>
      </c>
      <c r="B788">
        <v>2921.39</v>
      </c>
      <c r="C788">
        <f t="shared" si="48"/>
        <v>1.0129505832096641</v>
      </c>
      <c r="D788">
        <v>772</v>
      </c>
      <c r="E788">
        <f t="shared" si="49"/>
        <v>0</v>
      </c>
      <c r="F788">
        <f t="shared" si="50"/>
        <v>0</v>
      </c>
      <c r="G788" t="str">
        <f t="shared" si="51"/>
        <v>extra</v>
      </c>
      <c r="J788">
        <v>757</v>
      </c>
      <c r="K788">
        <v>0.37941254642009004</v>
      </c>
    </row>
    <row r="789" spans="1:11" x14ac:dyDescent="0.25">
      <c r="A789" s="3">
        <v>40422</v>
      </c>
      <c r="B789">
        <v>2884.04</v>
      </c>
      <c r="C789">
        <f t="shared" si="48"/>
        <v>0.99340380753584845</v>
      </c>
      <c r="D789">
        <v>773</v>
      </c>
      <c r="E789">
        <f t="shared" si="49"/>
        <v>0</v>
      </c>
      <c r="F789">
        <f t="shared" si="50"/>
        <v>0</v>
      </c>
      <c r="G789" t="str">
        <f t="shared" si="51"/>
        <v>extra</v>
      </c>
      <c r="J789">
        <v>758</v>
      </c>
      <c r="K789">
        <v>0.37949777819881098</v>
      </c>
    </row>
    <row r="790" spans="1:11" x14ac:dyDescent="0.25">
      <c r="A790" s="3">
        <v>40421</v>
      </c>
      <c r="B790">
        <v>2903.19</v>
      </c>
      <c r="C790">
        <f t="shared" si="48"/>
        <v>0.99594512540265723</v>
      </c>
      <c r="D790">
        <v>774</v>
      </c>
      <c r="E790">
        <f t="shared" si="49"/>
        <v>0</v>
      </c>
      <c r="F790">
        <f t="shared" si="50"/>
        <v>0</v>
      </c>
      <c r="G790" t="str">
        <f t="shared" si="51"/>
        <v>extra</v>
      </c>
      <c r="J790">
        <v>759</v>
      </c>
      <c r="K790">
        <v>0.3798685453801709</v>
      </c>
    </row>
    <row r="791" spans="1:11" x14ac:dyDescent="0.25">
      <c r="A791" s="3">
        <v>40420</v>
      </c>
      <c r="B791">
        <v>2915.01</v>
      </c>
      <c r="C791">
        <f t="shared" si="48"/>
        <v>1.0197441378031673</v>
      </c>
      <c r="D791">
        <v>775</v>
      </c>
      <c r="E791">
        <f t="shared" si="49"/>
        <v>0</v>
      </c>
      <c r="F791">
        <f t="shared" si="50"/>
        <v>0</v>
      </c>
      <c r="G791" t="str">
        <f t="shared" si="51"/>
        <v>extra</v>
      </c>
      <c r="J791">
        <v>760</v>
      </c>
      <c r="K791">
        <v>0.37987926396844723</v>
      </c>
    </row>
    <row r="792" spans="1:11" x14ac:dyDescent="0.25">
      <c r="A792" s="3">
        <v>40417</v>
      </c>
      <c r="B792">
        <v>2858.57</v>
      </c>
      <c r="C792">
        <f t="shared" si="48"/>
        <v>1.0029753446382395</v>
      </c>
      <c r="D792">
        <v>776</v>
      </c>
      <c r="E792">
        <f t="shared" si="49"/>
        <v>0</v>
      </c>
      <c r="F792">
        <f t="shared" si="50"/>
        <v>0</v>
      </c>
      <c r="G792" t="str">
        <f t="shared" si="51"/>
        <v>extra</v>
      </c>
      <c r="J792">
        <v>761</v>
      </c>
      <c r="K792">
        <v>0.37989751123109006</v>
      </c>
    </row>
    <row r="793" spans="1:11" x14ac:dyDescent="0.25">
      <c r="A793" s="3">
        <v>40416</v>
      </c>
      <c r="B793">
        <v>2850.09</v>
      </c>
      <c r="C793">
        <f t="shared" si="48"/>
        <v>1.0024867922139133</v>
      </c>
      <c r="D793">
        <v>777</v>
      </c>
      <c r="E793">
        <f t="shared" si="49"/>
        <v>0</v>
      </c>
      <c r="F793">
        <f t="shared" si="50"/>
        <v>0</v>
      </c>
      <c r="G793" t="str">
        <f t="shared" si="51"/>
        <v>extra</v>
      </c>
      <c r="J793">
        <v>762</v>
      </c>
      <c r="K793">
        <v>0.37989986157623634</v>
      </c>
    </row>
    <row r="794" spans="1:11" x14ac:dyDescent="0.25">
      <c r="A794" s="3">
        <v>40415</v>
      </c>
      <c r="B794">
        <v>2843.02</v>
      </c>
      <c r="C794">
        <f t="shared" si="48"/>
        <v>0.97636881273975473</v>
      </c>
      <c r="D794">
        <v>778</v>
      </c>
      <c r="E794">
        <f t="shared" si="49"/>
        <v>0</v>
      </c>
      <c r="F794">
        <f t="shared" si="50"/>
        <v>0</v>
      </c>
      <c r="G794" t="str">
        <f t="shared" si="51"/>
        <v>extra</v>
      </c>
      <c r="J794">
        <v>763</v>
      </c>
      <c r="K794">
        <v>0.38037183355447302</v>
      </c>
    </row>
    <row r="795" spans="1:11" x14ac:dyDescent="0.25">
      <c r="A795" s="3">
        <v>40414</v>
      </c>
      <c r="B795">
        <v>2911.83</v>
      </c>
      <c r="C795">
        <f t="shared" si="48"/>
        <v>1.0054001981914169</v>
      </c>
      <c r="D795">
        <v>779</v>
      </c>
      <c r="E795">
        <f t="shared" si="49"/>
        <v>0</v>
      </c>
      <c r="F795">
        <f t="shared" si="50"/>
        <v>0</v>
      </c>
      <c r="G795" t="str">
        <f t="shared" si="51"/>
        <v>extra</v>
      </c>
      <c r="J795">
        <v>764</v>
      </c>
      <c r="K795">
        <v>0.3807671956559705</v>
      </c>
    </row>
    <row r="796" spans="1:11" x14ac:dyDescent="0.25">
      <c r="A796" s="3">
        <v>40413</v>
      </c>
      <c r="B796">
        <v>2896.19</v>
      </c>
      <c r="C796">
        <f t="shared" si="48"/>
        <v>0.99926164377417348</v>
      </c>
      <c r="D796">
        <v>780</v>
      </c>
      <c r="E796">
        <f t="shared" si="49"/>
        <v>0</v>
      </c>
      <c r="F796">
        <f t="shared" si="50"/>
        <v>0</v>
      </c>
      <c r="G796" t="str">
        <f t="shared" si="51"/>
        <v>extra</v>
      </c>
      <c r="J796">
        <v>765</v>
      </c>
      <c r="K796">
        <v>0.38076847367430849</v>
      </c>
    </row>
    <row r="797" spans="1:11" x14ac:dyDescent="0.25">
      <c r="A797" s="3">
        <v>40410</v>
      </c>
      <c r="B797">
        <v>2898.33</v>
      </c>
      <c r="C797">
        <f t="shared" si="48"/>
        <v>0.98068958516613647</v>
      </c>
      <c r="D797">
        <v>781</v>
      </c>
      <c r="E797">
        <f t="shared" si="49"/>
        <v>0</v>
      </c>
      <c r="F797">
        <f t="shared" si="50"/>
        <v>0</v>
      </c>
      <c r="G797" t="str">
        <f t="shared" si="51"/>
        <v>extra</v>
      </c>
      <c r="J797">
        <v>766</v>
      </c>
      <c r="K797">
        <v>0.38091009411577614</v>
      </c>
    </row>
    <row r="798" spans="1:11" x14ac:dyDescent="0.25">
      <c r="A798" s="3">
        <v>40409</v>
      </c>
      <c r="B798">
        <v>2955.4</v>
      </c>
      <c r="C798">
        <f t="shared" si="48"/>
        <v>1.0061415693003242</v>
      </c>
      <c r="D798">
        <v>782</v>
      </c>
      <c r="E798">
        <f t="shared" si="49"/>
        <v>0</v>
      </c>
      <c r="F798">
        <f t="shared" si="50"/>
        <v>0</v>
      </c>
      <c r="G798" t="str">
        <f t="shared" si="51"/>
        <v>extra</v>
      </c>
      <c r="J798">
        <v>767</v>
      </c>
      <c r="K798">
        <v>0.38091681376602687</v>
      </c>
    </row>
    <row r="799" spans="1:11" x14ac:dyDescent="0.25">
      <c r="A799" s="3">
        <v>40408</v>
      </c>
      <c r="B799">
        <v>2937.36</v>
      </c>
      <c r="C799">
        <f t="shared" si="48"/>
        <v>0.99832443436914786</v>
      </c>
      <c r="D799">
        <v>783</v>
      </c>
      <c r="E799">
        <f t="shared" si="49"/>
        <v>0</v>
      </c>
      <c r="F799">
        <f t="shared" si="50"/>
        <v>0</v>
      </c>
      <c r="G799" t="str">
        <f t="shared" si="51"/>
        <v>extra</v>
      </c>
      <c r="J799">
        <v>768</v>
      </c>
      <c r="K799">
        <v>0.38134980989996825</v>
      </c>
    </row>
    <row r="800" spans="1:11" x14ac:dyDescent="0.25">
      <c r="A800" s="3">
        <v>40407</v>
      </c>
      <c r="B800">
        <v>2942.29</v>
      </c>
      <c r="C800">
        <f t="shared" si="48"/>
        <v>1.006916306192849</v>
      </c>
      <c r="D800">
        <v>784</v>
      </c>
      <c r="E800">
        <f t="shared" si="49"/>
        <v>0</v>
      </c>
      <c r="F800">
        <f t="shared" si="50"/>
        <v>0</v>
      </c>
      <c r="G800" t="str">
        <f t="shared" si="51"/>
        <v>extra</v>
      </c>
      <c r="J800">
        <v>769</v>
      </c>
      <c r="K800">
        <v>0.38134938099717686</v>
      </c>
    </row>
    <row r="801" spans="1:11" x14ac:dyDescent="0.25">
      <c r="A801" s="3">
        <v>40406</v>
      </c>
      <c r="B801">
        <v>2922.08</v>
      </c>
      <c r="C801">
        <f t="shared" si="48"/>
        <v>1.0232984889075658</v>
      </c>
      <c r="D801">
        <v>785</v>
      </c>
      <c r="E801">
        <f t="shared" si="49"/>
        <v>0</v>
      </c>
      <c r="F801">
        <f t="shared" si="50"/>
        <v>0</v>
      </c>
      <c r="G801" t="str">
        <f t="shared" si="51"/>
        <v>extra</v>
      </c>
      <c r="J801">
        <v>770</v>
      </c>
      <c r="K801">
        <v>0.38136056878812524</v>
      </c>
    </row>
    <row r="802" spans="1:11" x14ac:dyDescent="0.25">
      <c r="A802" s="3">
        <v>40403</v>
      </c>
      <c r="B802">
        <v>2855.55</v>
      </c>
      <c r="C802">
        <f t="shared" si="48"/>
        <v>1.0139043243300823</v>
      </c>
      <c r="D802">
        <v>786</v>
      </c>
      <c r="E802">
        <f t="shared" si="49"/>
        <v>0</v>
      </c>
      <c r="F802">
        <f t="shared" si="50"/>
        <v>0</v>
      </c>
      <c r="G802" t="str">
        <f t="shared" si="51"/>
        <v>extra</v>
      </c>
      <c r="J802">
        <v>771</v>
      </c>
      <c r="K802">
        <v>0.3818298251594488</v>
      </c>
    </row>
    <row r="803" spans="1:11" x14ac:dyDescent="0.25">
      <c r="A803" s="3">
        <v>40402</v>
      </c>
      <c r="B803">
        <v>2816.39</v>
      </c>
      <c r="C803">
        <f t="shared" si="48"/>
        <v>0.98813420765487447</v>
      </c>
      <c r="D803">
        <v>787</v>
      </c>
      <c r="E803">
        <f t="shared" si="49"/>
        <v>0</v>
      </c>
      <c r="F803">
        <f t="shared" si="50"/>
        <v>0</v>
      </c>
      <c r="G803" t="str">
        <f t="shared" si="51"/>
        <v>extra</v>
      </c>
      <c r="J803">
        <v>772</v>
      </c>
      <c r="K803">
        <v>0.38182920159326994</v>
      </c>
    </row>
    <row r="804" spans="1:11" x14ac:dyDescent="0.25">
      <c r="A804" s="3">
        <v>40401</v>
      </c>
      <c r="B804">
        <v>2850.21</v>
      </c>
      <c r="C804">
        <f t="shared" si="48"/>
        <v>1.0062026943063715</v>
      </c>
      <c r="D804">
        <v>788</v>
      </c>
      <c r="E804">
        <f t="shared" si="49"/>
        <v>0</v>
      </c>
      <c r="F804">
        <f t="shared" si="50"/>
        <v>0</v>
      </c>
      <c r="G804" t="str">
        <f t="shared" si="51"/>
        <v>extra</v>
      </c>
      <c r="J804">
        <v>773</v>
      </c>
      <c r="K804">
        <v>0.38205520290573636</v>
      </c>
    </row>
    <row r="805" spans="1:11" x14ac:dyDescent="0.25">
      <c r="A805" s="3">
        <v>40400</v>
      </c>
      <c r="B805">
        <v>2832.64</v>
      </c>
      <c r="C805">
        <f t="shared" si="48"/>
        <v>0.9706672514940512</v>
      </c>
      <c r="D805">
        <v>789</v>
      </c>
      <c r="E805">
        <f t="shared" si="49"/>
        <v>0</v>
      </c>
      <c r="F805">
        <f t="shared" si="50"/>
        <v>0</v>
      </c>
      <c r="G805" t="str">
        <f t="shared" si="51"/>
        <v>extra</v>
      </c>
      <c r="J805">
        <v>774</v>
      </c>
      <c r="K805">
        <v>0.382107451012896</v>
      </c>
    </row>
    <row r="806" spans="1:11" x14ac:dyDescent="0.25">
      <c r="A806" s="3">
        <v>40399</v>
      </c>
      <c r="B806">
        <v>2918.24</v>
      </c>
      <c r="C806">
        <f t="shared" si="48"/>
        <v>1.007102282531422</v>
      </c>
      <c r="D806">
        <v>790</v>
      </c>
      <c r="E806">
        <f t="shared" si="49"/>
        <v>0</v>
      </c>
      <c r="F806">
        <f t="shared" si="50"/>
        <v>0</v>
      </c>
      <c r="G806" t="str">
        <f t="shared" si="51"/>
        <v>extra</v>
      </c>
      <c r="J806">
        <v>775</v>
      </c>
      <c r="K806">
        <v>0.38212563256375454</v>
      </c>
    </row>
    <row r="807" spans="1:11" x14ac:dyDescent="0.25">
      <c r="A807" s="3">
        <v>40396</v>
      </c>
      <c r="B807">
        <v>2897.66</v>
      </c>
      <c r="C807">
        <f t="shared" si="48"/>
        <v>1.0164267950035604</v>
      </c>
      <c r="D807">
        <v>791</v>
      </c>
      <c r="E807">
        <f t="shared" si="49"/>
        <v>0</v>
      </c>
      <c r="F807">
        <f t="shared" si="50"/>
        <v>0</v>
      </c>
      <c r="G807" t="str">
        <f t="shared" si="51"/>
        <v>extra</v>
      </c>
      <c r="J807">
        <v>776</v>
      </c>
      <c r="K807">
        <v>0.38263982715782829</v>
      </c>
    </row>
    <row r="808" spans="1:11" x14ac:dyDescent="0.25">
      <c r="A808" s="3">
        <v>40395</v>
      </c>
      <c r="B808">
        <v>2850.83</v>
      </c>
      <c r="C808">
        <f t="shared" si="48"/>
        <v>0.99110007891726903</v>
      </c>
      <c r="D808">
        <v>792</v>
      </c>
      <c r="E808">
        <f t="shared" si="49"/>
        <v>0</v>
      </c>
      <c r="F808">
        <f t="shared" si="50"/>
        <v>0</v>
      </c>
      <c r="G808" t="str">
        <f t="shared" si="51"/>
        <v>extra</v>
      </c>
      <c r="J808">
        <v>777</v>
      </c>
      <c r="K808">
        <v>0.38265278455223967</v>
      </c>
    </row>
    <row r="809" spans="1:11" x14ac:dyDescent="0.25">
      <c r="A809" s="3">
        <v>40394</v>
      </c>
      <c r="B809">
        <v>2876.43</v>
      </c>
      <c r="C809">
        <f t="shared" si="48"/>
        <v>1.0036497241771547</v>
      </c>
      <c r="D809">
        <v>793</v>
      </c>
      <c r="E809">
        <f t="shared" si="49"/>
        <v>0</v>
      </c>
      <c r="F809">
        <f t="shared" si="50"/>
        <v>0</v>
      </c>
      <c r="G809" t="str">
        <f t="shared" si="51"/>
        <v>extra</v>
      </c>
      <c r="J809">
        <v>778</v>
      </c>
      <c r="K809">
        <v>0.38266191462032589</v>
      </c>
    </row>
    <row r="810" spans="1:11" x14ac:dyDescent="0.25">
      <c r="A810" s="3">
        <v>40393</v>
      </c>
      <c r="B810">
        <v>2865.97</v>
      </c>
      <c r="C810">
        <f t="shared" si="48"/>
        <v>0.9824116985685295</v>
      </c>
      <c r="D810">
        <v>794</v>
      </c>
      <c r="E810">
        <f t="shared" si="49"/>
        <v>0</v>
      </c>
      <c r="F810">
        <f t="shared" si="50"/>
        <v>0</v>
      </c>
      <c r="G810" t="str">
        <f t="shared" si="51"/>
        <v>extra</v>
      </c>
      <c r="J810">
        <v>779</v>
      </c>
      <c r="K810">
        <v>0.38339360134942124</v>
      </c>
    </row>
    <row r="811" spans="1:11" x14ac:dyDescent="0.25">
      <c r="A811" s="3">
        <v>40392</v>
      </c>
      <c r="B811">
        <v>2917.28</v>
      </c>
      <c r="C811">
        <f t="shared" si="48"/>
        <v>1.0168813287554248</v>
      </c>
      <c r="D811">
        <v>795</v>
      </c>
      <c r="E811">
        <f t="shared" si="49"/>
        <v>0</v>
      </c>
      <c r="F811">
        <f t="shared" si="50"/>
        <v>0</v>
      </c>
      <c r="G811" t="str">
        <f t="shared" si="51"/>
        <v>extra</v>
      </c>
      <c r="J811">
        <v>780</v>
      </c>
      <c r="K811">
        <v>0.38343481107158278</v>
      </c>
    </row>
    <row r="812" spans="1:11" x14ac:dyDescent="0.25">
      <c r="A812" s="3">
        <v>40389</v>
      </c>
      <c r="B812">
        <v>2868.85</v>
      </c>
      <c r="C812">
        <f t="shared" si="48"/>
        <v>0.99682763605028524</v>
      </c>
      <c r="D812">
        <v>796</v>
      </c>
      <c r="E812">
        <f t="shared" si="49"/>
        <v>0</v>
      </c>
      <c r="F812">
        <f t="shared" si="50"/>
        <v>0</v>
      </c>
      <c r="G812" t="str">
        <f t="shared" si="51"/>
        <v>extra</v>
      </c>
      <c r="J812">
        <v>781</v>
      </c>
      <c r="K812">
        <v>0.3834344693842755</v>
      </c>
    </row>
    <row r="813" spans="1:11" x14ac:dyDescent="0.25">
      <c r="A813" s="3">
        <v>40388</v>
      </c>
      <c r="B813">
        <v>2877.98</v>
      </c>
      <c r="C813">
        <f t="shared" si="48"/>
        <v>1.004979537105583</v>
      </c>
      <c r="D813">
        <v>797</v>
      </c>
      <c r="E813">
        <f t="shared" si="49"/>
        <v>0</v>
      </c>
      <c r="F813">
        <f t="shared" si="50"/>
        <v>0</v>
      </c>
      <c r="G813" t="str">
        <f t="shared" si="51"/>
        <v>extra</v>
      </c>
      <c r="J813">
        <v>782</v>
      </c>
      <c r="K813">
        <v>0.38391640721412101</v>
      </c>
    </row>
    <row r="814" spans="1:11" x14ac:dyDescent="0.25">
      <c r="A814" s="3">
        <v>40387</v>
      </c>
      <c r="B814">
        <v>2863.72</v>
      </c>
      <c r="C814">
        <f t="shared" si="48"/>
        <v>1.0243228935658792</v>
      </c>
      <c r="D814">
        <v>798</v>
      </c>
      <c r="E814">
        <f t="shared" si="49"/>
        <v>0</v>
      </c>
      <c r="F814">
        <f t="shared" si="50"/>
        <v>0</v>
      </c>
      <c r="G814" t="str">
        <f t="shared" si="51"/>
        <v>extra</v>
      </c>
      <c r="J814">
        <v>783</v>
      </c>
      <c r="K814">
        <v>0.38396945354454182</v>
      </c>
    </row>
    <row r="815" spans="1:11" x14ac:dyDescent="0.25">
      <c r="A815" s="3">
        <v>40386</v>
      </c>
      <c r="B815">
        <v>2795.72</v>
      </c>
      <c r="C815">
        <f t="shared" si="48"/>
        <v>0.9945429837854759</v>
      </c>
      <c r="D815">
        <v>799</v>
      </c>
      <c r="E815">
        <f t="shared" si="49"/>
        <v>0</v>
      </c>
      <c r="F815">
        <f t="shared" si="50"/>
        <v>0</v>
      </c>
      <c r="G815" t="str">
        <f t="shared" si="51"/>
        <v>extra</v>
      </c>
      <c r="J815">
        <v>784</v>
      </c>
      <c r="K815">
        <v>0.38397135316327324</v>
      </c>
    </row>
    <row r="816" spans="1:11" x14ac:dyDescent="0.25">
      <c r="A816" s="3">
        <v>40385</v>
      </c>
      <c r="B816">
        <v>2811.06</v>
      </c>
      <c r="C816">
        <f t="shared" si="48"/>
        <v>1.0064373379924672</v>
      </c>
      <c r="D816">
        <v>800</v>
      </c>
      <c r="E816">
        <f t="shared" si="49"/>
        <v>0</v>
      </c>
      <c r="F816">
        <f t="shared" si="50"/>
        <v>0</v>
      </c>
      <c r="G816" t="str">
        <f t="shared" si="51"/>
        <v>extra</v>
      </c>
      <c r="J816">
        <v>785</v>
      </c>
      <c r="K816">
        <v>0.38403792247630603</v>
      </c>
    </row>
    <row r="817" spans="1:11" x14ac:dyDescent="0.25">
      <c r="A817" s="3">
        <v>40382</v>
      </c>
      <c r="B817">
        <v>2793.08</v>
      </c>
      <c r="C817">
        <f t="shared" si="48"/>
        <v>1.0042390401576247</v>
      </c>
      <c r="D817">
        <v>801</v>
      </c>
      <c r="E817">
        <f t="shared" si="49"/>
        <v>0</v>
      </c>
      <c r="F817">
        <f t="shared" si="50"/>
        <v>0</v>
      </c>
      <c r="G817" t="str">
        <f t="shared" si="51"/>
        <v>extra</v>
      </c>
      <c r="J817">
        <v>786</v>
      </c>
      <c r="K817">
        <v>0.38474489709000254</v>
      </c>
    </row>
    <row r="818" spans="1:11" x14ac:dyDescent="0.25">
      <c r="A818" s="3">
        <v>40381</v>
      </c>
      <c r="B818">
        <v>2781.29</v>
      </c>
      <c r="C818">
        <f t="shared" si="48"/>
        <v>1.0123574075287369</v>
      </c>
      <c r="D818">
        <v>802</v>
      </c>
      <c r="E818">
        <f t="shared" si="49"/>
        <v>0</v>
      </c>
      <c r="F818">
        <f t="shared" si="50"/>
        <v>0</v>
      </c>
      <c r="G818" t="str">
        <f t="shared" si="51"/>
        <v>extra</v>
      </c>
      <c r="J818">
        <v>787</v>
      </c>
      <c r="K818">
        <v>0.3850012841628952</v>
      </c>
    </row>
    <row r="819" spans="1:11" x14ac:dyDescent="0.25">
      <c r="A819" s="3">
        <v>40380</v>
      </c>
      <c r="B819">
        <v>2747.34</v>
      </c>
      <c r="C819">
        <f t="shared" si="48"/>
        <v>1.0021302206821083</v>
      </c>
      <c r="D819">
        <v>803</v>
      </c>
      <c r="E819">
        <f t="shared" si="49"/>
        <v>0</v>
      </c>
      <c r="F819">
        <f t="shared" si="50"/>
        <v>0</v>
      </c>
      <c r="G819" t="str">
        <f t="shared" si="51"/>
        <v>extra</v>
      </c>
      <c r="J819">
        <v>788</v>
      </c>
      <c r="K819">
        <v>0.38517883282139886</v>
      </c>
    </row>
    <row r="820" spans="1:11" x14ac:dyDescent="0.25">
      <c r="A820" s="3">
        <v>40379</v>
      </c>
      <c r="B820">
        <v>2741.5</v>
      </c>
      <c r="C820">
        <f t="shared" si="48"/>
        <v>1.0220058379031267</v>
      </c>
      <c r="D820">
        <v>804</v>
      </c>
      <c r="E820">
        <f t="shared" si="49"/>
        <v>0</v>
      </c>
      <c r="F820">
        <f t="shared" si="50"/>
        <v>0</v>
      </c>
      <c r="G820" t="str">
        <f t="shared" si="51"/>
        <v>extra</v>
      </c>
      <c r="J820">
        <v>789</v>
      </c>
      <c r="K820">
        <v>0.38523191831556081</v>
      </c>
    </row>
    <row r="821" spans="1:11" x14ac:dyDescent="0.25">
      <c r="A821" s="3">
        <v>40378</v>
      </c>
      <c r="B821">
        <v>2682.47</v>
      </c>
      <c r="C821">
        <f t="shared" si="48"/>
        <v>1.0253580670685325</v>
      </c>
      <c r="D821">
        <v>805</v>
      </c>
      <c r="E821">
        <f t="shared" si="49"/>
        <v>0</v>
      </c>
      <c r="F821">
        <f t="shared" si="50"/>
        <v>0</v>
      </c>
      <c r="G821" t="str">
        <f t="shared" si="51"/>
        <v>extra</v>
      </c>
      <c r="J821">
        <v>790</v>
      </c>
      <c r="K821">
        <v>0.38636326109936608</v>
      </c>
    </row>
    <row r="822" spans="1:11" x14ac:dyDescent="0.25">
      <c r="A822" s="3">
        <v>40375</v>
      </c>
      <c r="B822">
        <v>2616.13</v>
      </c>
      <c r="C822">
        <f t="shared" si="48"/>
        <v>1.0029173631024491</v>
      </c>
      <c r="D822">
        <v>806</v>
      </c>
      <c r="E822">
        <f t="shared" si="49"/>
        <v>0</v>
      </c>
      <c r="F822">
        <f t="shared" si="50"/>
        <v>0</v>
      </c>
      <c r="G822" t="str">
        <f t="shared" si="51"/>
        <v>extra</v>
      </c>
      <c r="J822">
        <v>791</v>
      </c>
      <c r="K822">
        <v>0.38643265918429509</v>
      </c>
    </row>
    <row r="823" spans="1:11" x14ac:dyDescent="0.25">
      <c r="A823" s="3">
        <v>40374</v>
      </c>
      <c r="B823">
        <v>2608.52</v>
      </c>
      <c r="C823">
        <f t="shared" si="48"/>
        <v>0.98300805318038442</v>
      </c>
      <c r="D823">
        <v>807</v>
      </c>
      <c r="E823">
        <f t="shared" si="49"/>
        <v>0</v>
      </c>
      <c r="F823">
        <f t="shared" si="50"/>
        <v>0</v>
      </c>
      <c r="G823" t="str">
        <f t="shared" si="51"/>
        <v>extra</v>
      </c>
      <c r="J823">
        <v>792</v>
      </c>
      <c r="K823">
        <v>0.38678707318145222</v>
      </c>
    </row>
    <row r="824" spans="1:11" x14ac:dyDescent="0.25">
      <c r="A824" s="3">
        <v>40373</v>
      </c>
      <c r="B824">
        <v>2653.61</v>
      </c>
      <c r="C824">
        <f t="shared" si="48"/>
        <v>1.0072193396315936</v>
      </c>
      <c r="D824">
        <v>808</v>
      </c>
      <c r="E824">
        <f t="shared" si="49"/>
        <v>0</v>
      </c>
      <c r="F824">
        <f t="shared" si="50"/>
        <v>0</v>
      </c>
      <c r="G824" t="str">
        <f t="shared" si="51"/>
        <v>extra</v>
      </c>
      <c r="J824">
        <v>793</v>
      </c>
      <c r="K824">
        <v>0.38688431960787395</v>
      </c>
    </row>
    <row r="825" spans="1:11" x14ac:dyDescent="0.25">
      <c r="A825" s="3">
        <v>40372</v>
      </c>
      <c r="B825">
        <v>2634.59</v>
      </c>
      <c r="C825">
        <f t="shared" si="48"/>
        <v>0.98444447765878751</v>
      </c>
      <c r="D825">
        <v>809</v>
      </c>
      <c r="E825">
        <f t="shared" si="49"/>
        <v>0</v>
      </c>
      <c r="F825">
        <f t="shared" si="50"/>
        <v>0</v>
      </c>
      <c r="G825" t="str">
        <f t="shared" si="51"/>
        <v>extra</v>
      </c>
      <c r="J825">
        <v>794</v>
      </c>
      <c r="K825">
        <v>0.38690336385773977</v>
      </c>
    </row>
    <row r="826" spans="1:11" x14ac:dyDescent="0.25">
      <c r="A826" s="3">
        <v>40371</v>
      </c>
      <c r="B826">
        <v>2676.22</v>
      </c>
      <c r="C826">
        <f t="shared" si="48"/>
        <v>1.0110007177666125</v>
      </c>
      <c r="D826">
        <v>810</v>
      </c>
      <c r="E826">
        <f t="shared" si="49"/>
        <v>0</v>
      </c>
      <c r="F826">
        <f t="shared" si="50"/>
        <v>0</v>
      </c>
      <c r="G826" t="str">
        <f t="shared" si="51"/>
        <v>extra</v>
      </c>
      <c r="J826">
        <v>795</v>
      </c>
      <c r="K826">
        <v>0.38729858572130854</v>
      </c>
    </row>
    <row r="827" spans="1:11" x14ac:dyDescent="0.25">
      <c r="A827" s="3">
        <v>40368</v>
      </c>
      <c r="B827">
        <v>2647.1</v>
      </c>
      <c r="C827">
        <f t="shared" si="48"/>
        <v>1.0276328457405508</v>
      </c>
      <c r="D827">
        <v>811</v>
      </c>
      <c r="E827">
        <f t="shared" si="49"/>
        <v>0</v>
      </c>
      <c r="F827">
        <f t="shared" si="50"/>
        <v>0</v>
      </c>
      <c r="G827" t="str">
        <f t="shared" si="51"/>
        <v>extra</v>
      </c>
      <c r="J827">
        <v>796</v>
      </c>
      <c r="K827">
        <v>0.38767190252288958</v>
      </c>
    </row>
    <row r="828" spans="1:11" x14ac:dyDescent="0.25">
      <c r="A828" s="3">
        <v>40367</v>
      </c>
      <c r="B828">
        <v>2575.92</v>
      </c>
      <c r="C828">
        <f t="shared" si="48"/>
        <v>0.99823288690476197</v>
      </c>
      <c r="D828">
        <v>812</v>
      </c>
      <c r="E828">
        <f t="shared" si="49"/>
        <v>0</v>
      </c>
      <c r="F828">
        <f t="shared" si="50"/>
        <v>0</v>
      </c>
      <c r="G828" t="str">
        <f t="shared" si="51"/>
        <v>extra</v>
      </c>
      <c r="J828">
        <v>797</v>
      </c>
      <c r="K828">
        <v>0.38768235230364184</v>
      </c>
    </row>
    <row r="829" spans="1:11" x14ac:dyDescent="0.25">
      <c r="A829" s="3">
        <v>40366</v>
      </c>
      <c r="B829">
        <v>2580.48</v>
      </c>
      <c r="C829">
        <f t="shared" si="48"/>
        <v>1.0068594170666043</v>
      </c>
      <c r="D829">
        <v>813</v>
      </c>
      <c r="E829">
        <f t="shared" si="49"/>
        <v>0</v>
      </c>
      <c r="F829">
        <f t="shared" si="50"/>
        <v>0</v>
      </c>
      <c r="G829" t="str">
        <f t="shared" si="51"/>
        <v>extra</v>
      </c>
      <c r="J829">
        <v>798</v>
      </c>
      <c r="K829">
        <v>0.38771694539376056</v>
      </c>
    </row>
    <row r="830" spans="1:11" x14ac:dyDescent="0.25">
      <c r="A830" s="3">
        <v>40365</v>
      </c>
      <c r="B830">
        <v>2562.9</v>
      </c>
      <c r="C830">
        <f t="shared" si="48"/>
        <v>1.0199988060414305</v>
      </c>
      <c r="D830">
        <v>814</v>
      </c>
      <c r="E830">
        <f t="shared" si="49"/>
        <v>0</v>
      </c>
      <c r="F830">
        <f t="shared" si="50"/>
        <v>0</v>
      </c>
      <c r="G830" t="str">
        <f t="shared" si="51"/>
        <v>extra</v>
      </c>
      <c r="J830">
        <v>799</v>
      </c>
      <c r="K830">
        <v>0.3884767543803177</v>
      </c>
    </row>
    <row r="831" spans="1:11" x14ac:dyDescent="0.25">
      <c r="A831" s="3">
        <v>40364</v>
      </c>
      <c r="B831">
        <v>2512.65</v>
      </c>
      <c r="C831">
        <f t="shared" si="48"/>
        <v>0.9915315436188642</v>
      </c>
      <c r="D831">
        <v>815</v>
      </c>
      <c r="E831">
        <f t="shared" si="49"/>
        <v>0</v>
      </c>
      <c r="F831">
        <f t="shared" si="50"/>
        <v>0</v>
      </c>
      <c r="G831" t="str">
        <f t="shared" si="51"/>
        <v>extra</v>
      </c>
      <c r="J831">
        <v>800</v>
      </c>
      <c r="K831">
        <v>0.38851172681515878</v>
      </c>
    </row>
    <row r="832" spans="1:11" x14ac:dyDescent="0.25">
      <c r="A832" s="3">
        <v>40361</v>
      </c>
      <c r="B832">
        <v>2534.11</v>
      </c>
      <c r="C832">
        <f t="shared" si="48"/>
        <v>1.0031828096608566</v>
      </c>
      <c r="D832">
        <v>816</v>
      </c>
      <c r="E832">
        <f t="shared" si="49"/>
        <v>0</v>
      </c>
      <c r="F832">
        <f t="shared" si="50"/>
        <v>0</v>
      </c>
      <c r="G832" t="str">
        <f t="shared" si="51"/>
        <v>extra</v>
      </c>
      <c r="J832">
        <v>801</v>
      </c>
      <c r="K832">
        <v>0.38856793661717665</v>
      </c>
    </row>
    <row r="833" spans="1:11" x14ac:dyDescent="0.25">
      <c r="A833" s="3">
        <v>40360</v>
      </c>
      <c r="B833">
        <v>2526.0700000000002</v>
      </c>
      <c r="C833">
        <f t="shared" si="48"/>
        <v>0.98556418669798329</v>
      </c>
      <c r="D833">
        <v>817</v>
      </c>
      <c r="E833">
        <f t="shared" si="49"/>
        <v>0</v>
      </c>
      <c r="F833">
        <f t="shared" si="50"/>
        <v>0</v>
      </c>
      <c r="G833" t="str">
        <f t="shared" si="51"/>
        <v>extra</v>
      </c>
      <c r="J833">
        <v>802</v>
      </c>
      <c r="K833">
        <v>0.38859279226526883</v>
      </c>
    </row>
    <row r="834" spans="1:11" x14ac:dyDescent="0.25">
      <c r="A834" s="3">
        <v>40359</v>
      </c>
      <c r="B834">
        <v>2563.0700000000002</v>
      </c>
      <c r="C834">
        <f t="shared" si="48"/>
        <v>0.98883110469826629</v>
      </c>
      <c r="D834">
        <v>818</v>
      </c>
      <c r="E834">
        <f t="shared" si="49"/>
        <v>0</v>
      </c>
      <c r="F834">
        <f t="shared" si="50"/>
        <v>0</v>
      </c>
      <c r="G834" t="str">
        <f t="shared" si="51"/>
        <v>extra</v>
      </c>
      <c r="J834">
        <v>803</v>
      </c>
      <c r="K834">
        <v>0.38879316352526322</v>
      </c>
    </row>
    <row r="835" spans="1:11" x14ac:dyDescent="0.25">
      <c r="A835" s="3">
        <v>40358</v>
      </c>
      <c r="B835">
        <v>2592.02</v>
      </c>
      <c r="C835">
        <f t="shared" si="48"/>
        <v>0.95407798938449184</v>
      </c>
      <c r="D835">
        <v>819</v>
      </c>
      <c r="E835">
        <f t="shared" si="49"/>
        <v>0</v>
      </c>
      <c r="F835">
        <f t="shared" si="50"/>
        <v>0</v>
      </c>
      <c r="G835" t="str">
        <f t="shared" si="51"/>
        <v>extra</v>
      </c>
      <c r="J835">
        <v>804</v>
      </c>
      <c r="K835">
        <v>0.38879950438128413</v>
      </c>
    </row>
    <row r="836" spans="1:11" x14ac:dyDescent="0.25">
      <c r="A836" s="3">
        <v>40357</v>
      </c>
      <c r="B836">
        <v>2716.78</v>
      </c>
      <c r="C836">
        <f t="shared" si="48"/>
        <v>0.99286990779486106</v>
      </c>
      <c r="D836">
        <v>820</v>
      </c>
      <c r="E836">
        <f t="shared" si="49"/>
        <v>0</v>
      </c>
      <c r="F836">
        <f t="shared" si="50"/>
        <v>0</v>
      </c>
      <c r="G836" t="str">
        <f t="shared" si="51"/>
        <v>extra</v>
      </c>
      <c r="J836">
        <v>805</v>
      </c>
      <c r="K836">
        <v>0.3894192740464168</v>
      </c>
    </row>
    <row r="837" spans="1:11" x14ac:dyDescent="0.25">
      <c r="A837" s="3">
        <v>40354</v>
      </c>
      <c r="B837">
        <v>2736.29</v>
      </c>
      <c r="C837">
        <f t="shared" si="48"/>
        <v>0.99230825022665459</v>
      </c>
      <c r="D837">
        <v>821</v>
      </c>
      <c r="E837">
        <f t="shared" si="49"/>
        <v>0</v>
      </c>
      <c r="F837">
        <f t="shared" si="50"/>
        <v>0</v>
      </c>
      <c r="G837" t="str">
        <f t="shared" si="51"/>
        <v>extra</v>
      </c>
      <c r="J837">
        <v>806</v>
      </c>
      <c r="K837">
        <v>0.39023459364755581</v>
      </c>
    </row>
    <row r="838" spans="1:11" x14ac:dyDescent="0.25">
      <c r="A838" s="3">
        <v>40353</v>
      </c>
      <c r="B838">
        <v>2757.5</v>
      </c>
      <c r="C838">
        <f t="shared" si="48"/>
        <v>0.99963748413993114</v>
      </c>
      <c r="D838">
        <v>822</v>
      </c>
      <c r="E838">
        <f t="shared" si="49"/>
        <v>0</v>
      </c>
      <c r="F838">
        <f t="shared" si="50"/>
        <v>0</v>
      </c>
      <c r="G838" t="str">
        <f t="shared" si="51"/>
        <v>extra</v>
      </c>
      <c r="J838">
        <v>807</v>
      </c>
      <c r="K838">
        <v>0.39024589464450132</v>
      </c>
    </row>
    <row r="839" spans="1:11" x14ac:dyDescent="0.25">
      <c r="A839" s="3">
        <v>40352</v>
      </c>
      <c r="B839">
        <v>2758.5</v>
      </c>
      <c r="C839">
        <f t="shared" si="48"/>
        <v>0.99094018076530688</v>
      </c>
      <c r="D839">
        <v>823</v>
      </c>
      <c r="E839">
        <f t="shared" si="49"/>
        <v>0</v>
      </c>
      <c r="F839">
        <f t="shared" si="50"/>
        <v>0</v>
      </c>
      <c r="G839" t="str">
        <f t="shared" si="51"/>
        <v>extra</v>
      </c>
      <c r="J839">
        <v>808</v>
      </c>
      <c r="K839">
        <v>0.39061624382065485</v>
      </c>
    </row>
    <row r="840" spans="1:11" x14ac:dyDescent="0.25">
      <c r="A840" s="3">
        <v>40351</v>
      </c>
      <c r="B840">
        <v>2783.72</v>
      </c>
      <c r="C840">
        <f t="shared" si="48"/>
        <v>1.0011004581646084</v>
      </c>
      <c r="D840">
        <v>824</v>
      </c>
      <c r="E840">
        <f t="shared" si="49"/>
        <v>0</v>
      </c>
      <c r="F840">
        <f t="shared" si="50"/>
        <v>0</v>
      </c>
      <c r="G840" t="str">
        <f t="shared" si="51"/>
        <v>extra</v>
      </c>
      <c r="J840">
        <v>809</v>
      </c>
      <c r="K840">
        <v>0.39068475388192264</v>
      </c>
    </row>
    <row r="841" spans="1:11" x14ac:dyDescent="0.25">
      <c r="A841" s="3">
        <v>40350</v>
      </c>
      <c r="B841">
        <v>2780.66</v>
      </c>
      <c r="C841">
        <f t="shared" si="48"/>
        <v>1.0313370447709156</v>
      </c>
      <c r="D841">
        <v>825</v>
      </c>
      <c r="E841">
        <f t="shared" si="49"/>
        <v>0</v>
      </c>
      <c r="F841">
        <f t="shared" si="50"/>
        <v>0</v>
      </c>
      <c r="G841" t="str">
        <f t="shared" si="51"/>
        <v>extra</v>
      </c>
      <c r="J841">
        <v>810</v>
      </c>
      <c r="K841">
        <v>0.39099334643542438</v>
      </c>
    </row>
    <row r="842" spans="1:11" x14ac:dyDescent="0.25">
      <c r="A842" s="3">
        <v>40347</v>
      </c>
      <c r="B842">
        <v>2696.17</v>
      </c>
      <c r="C842">
        <f t="shared" si="48"/>
        <v>0.98302421310154486</v>
      </c>
      <c r="D842">
        <v>826</v>
      </c>
      <c r="E842">
        <f t="shared" si="49"/>
        <v>0</v>
      </c>
      <c r="F842">
        <f t="shared" si="50"/>
        <v>0</v>
      </c>
      <c r="G842" t="str">
        <f t="shared" si="51"/>
        <v>extra</v>
      </c>
      <c r="J842">
        <v>811</v>
      </c>
      <c r="K842">
        <v>0.39115049981458566</v>
      </c>
    </row>
    <row r="843" spans="1:11" x14ac:dyDescent="0.25">
      <c r="A843" s="3">
        <v>40346</v>
      </c>
      <c r="B843">
        <v>2742.73</v>
      </c>
      <c r="C843">
        <f t="shared" si="48"/>
        <v>0.99414977871374877</v>
      </c>
      <c r="D843">
        <v>827</v>
      </c>
      <c r="E843">
        <f t="shared" si="49"/>
        <v>0</v>
      </c>
      <c r="F843">
        <f t="shared" si="50"/>
        <v>0</v>
      </c>
      <c r="G843" t="str">
        <f t="shared" si="51"/>
        <v>extra</v>
      </c>
      <c r="J843">
        <v>812</v>
      </c>
      <c r="K843">
        <v>0.3921099113175367</v>
      </c>
    </row>
    <row r="844" spans="1:11" x14ac:dyDescent="0.25">
      <c r="A844" s="3">
        <v>40340</v>
      </c>
      <c r="B844">
        <v>2758.87</v>
      </c>
      <c r="C844">
        <f t="shared" si="48"/>
        <v>1.0032181584133932</v>
      </c>
      <c r="D844">
        <v>828</v>
      </c>
      <c r="E844">
        <f t="shared" si="49"/>
        <v>0</v>
      </c>
      <c r="F844">
        <f t="shared" si="50"/>
        <v>0</v>
      </c>
      <c r="G844" t="str">
        <f t="shared" si="51"/>
        <v>extra</v>
      </c>
      <c r="J844">
        <v>813</v>
      </c>
      <c r="K844">
        <v>0.392112816556759</v>
      </c>
    </row>
    <row r="845" spans="1:11" x14ac:dyDescent="0.25">
      <c r="A845" s="3">
        <v>40339</v>
      </c>
      <c r="B845">
        <v>2750.02</v>
      </c>
      <c r="C845">
        <f t="shared" si="48"/>
        <v>0.98845848324844632</v>
      </c>
      <c r="D845">
        <v>829</v>
      </c>
      <c r="E845">
        <f t="shared" si="49"/>
        <v>0</v>
      </c>
      <c r="F845">
        <f t="shared" si="50"/>
        <v>0</v>
      </c>
      <c r="G845" t="str">
        <f t="shared" si="51"/>
        <v>extra</v>
      </c>
      <c r="J845">
        <v>814</v>
      </c>
      <c r="K845">
        <v>0.39217390105906991</v>
      </c>
    </row>
    <row r="846" spans="1:11" x14ac:dyDescent="0.25">
      <c r="A846" s="3">
        <v>40338</v>
      </c>
      <c r="B846">
        <v>2782.13</v>
      </c>
      <c r="C846">
        <f t="shared" si="48"/>
        <v>1.0306704601865642</v>
      </c>
      <c r="D846">
        <v>830</v>
      </c>
      <c r="E846">
        <f t="shared" si="49"/>
        <v>0</v>
      </c>
      <c r="F846">
        <f t="shared" si="50"/>
        <v>0</v>
      </c>
      <c r="G846" t="str">
        <f t="shared" si="51"/>
        <v>extra</v>
      </c>
      <c r="J846">
        <v>815</v>
      </c>
      <c r="K846">
        <v>0.39267888803788548</v>
      </c>
    </row>
    <row r="847" spans="1:11" x14ac:dyDescent="0.25">
      <c r="A847" s="3">
        <v>40337</v>
      </c>
      <c r="B847">
        <v>2699.34</v>
      </c>
      <c r="C847">
        <f t="shared" si="48"/>
        <v>1.0013428694374789</v>
      </c>
      <c r="D847">
        <v>831</v>
      </c>
      <c r="E847">
        <f t="shared" si="49"/>
        <v>0</v>
      </c>
      <c r="F847">
        <f t="shared" si="50"/>
        <v>0</v>
      </c>
      <c r="G847" t="str">
        <f t="shared" si="51"/>
        <v>extra</v>
      </c>
      <c r="J847">
        <v>816</v>
      </c>
      <c r="K847">
        <v>0.3927687269994779</v>
      </c>
    </row>
    <row r="848" spans="1:11" x14ac:dyDescent="0.25">
      <c r="A848" s="3">
        <v>40336</v>
      </c>
      <c r="B848">
        <v>2695.72</v>
      </c>
      <c r="C848">
        <f t="shared" si="48"/>
        <v>0.98226564008759687</v>
      </c>
      <c r="D848">
        <v>832</v>
      </c>
      <c r="E848">
        <f t="shared" si="49"/>
        <v>0</v>
      </c>
      <c r="F848">
        <f t="shared" si="50"/>
        <v>0</v>
      </c>
      <c r="G848" t="str">
        <f t="shared" si="51"/>
        <v>extra</v>
      </c>
      <c r="J848">
        <v>817</v>
      </c>
      <c r="K848">
        <v>0.39278176443622226</v>
      </c>
    </row>
    <row r="849" spans="1:11" x14ac:dyDescent="0.25">
      <c r="A849" s="3">
        <v>40333</v>
      </c>
      <c r="B849">
        <v>2744.39</v>
      </c>
      <c r="C849">
        <f t="shared" si="48"/>
        <v>1.0030371918949739</v>
      </c>
      <c r="D849">
        <v>833</v>
      </c>
      <c r="E849">
        <f t="shared" si="49"/>
        <v>0</v>
      </c>
      <c r="F849">
        <f t="shared" si="50"/>
        <v>0</v>
      </c>
      <c r="G849" t="str">
        <f t="shared" si="51"/>
        <v>extra</v>
      </c>
      <c r="J849">
        <v>818</v>
      </c>
      <c r="K849">
        <v>0.39304731594297088</v>
      </c>
    </row>
    <row r="850" spans="1:11" x14ac:dyDescent="0.25">
      <c r="A850" s="3">
        <v>40332</v>
      </c>
      <c r="B850">
        <v>2736.08</v>
      </c>
      <c r="C850">
        <f t="shared" ref="C850:C913" si="52">B850/B851</f>
        <v>0.99222129949628823</v>
      </c>
      <c r="D850">
        <v>834</v>
      </c>
      <c r="E850">
        <f t="shared" ref="E850:E913" si="53">IF(D850&gt;$B$6,0,LN(C850))</f>
        <v>0</v>
      </c>
      <c r="F850">
        <f t="shared" ref="F850:F913" si="54">IF(D850&gt;$B$6,0,(E850-$B$7)^2)</f>
        <v>0</v>
      </c>
      <c r="G850" t="str">
        <f t="shared" ref="G850:G913" si="55">IF(D850&lt;=$B$6,E850,"extra")</f>
        <v>extra</v>
      </c>
      <c r="J850">
        <v>819</v>
      </c>
      <c r="K850">
        <v>0.39320435767966594</v>
      </c>
    </row>
    <row r="851" spans="1:11" x14ac:dyDescent="0.25">
      <c r="A851" s="3">
        <v>40331</v>
      </c>
      <c r="B851">
        <v>2757.53</v>
      </c>
      <c r="C851">
        <f t="shared" si="52"/>
        <v>1.0048721648883447</v>
      </c>
      <c r="D851">
        <v>835</v>
      </c>
      <c r="E851">
        <f t="shared" si="53"/>
        <v>0</v>
      </c>
      <c r="F851">
        <f t="shared" si="54"/>
        <v>0</v>
      </c>
      <c r="G851" t="str">
        <f t="shared" si="55"/>
        <v>extra</v>
      </c>
      <c r="J851">
        <v>820</v>
      </c>
      <c r="K851">
        <v>0.3959931823141018</v>
      </c>
    </row>
    <row r="852" spans="1:11" x14ac:dyDescent="0.25">
      <c r="A852" s="3">
        <v>40330</v>
      </c>
      <c r="B852">
        <v>2744.16</v>
      </c>
      <c r="C852">
        <f t="shared" si="52"/>
        <v>0.98950693407758361</v>
      </c>
      <c r="D852">
        <v>836</v>
      </c>
      <c r="E852">
        <f t="shared" si="53"/>
        <v>0</v>
      </c>
      <c r="F852">
        <f t="shared" si="54"/>
        <v>0</v>
      </c>
      <c r="G852" t="str">
        <f t="shared" si="55"/>
        <v>extra</v>
      </c>
      <c r="J852">
        <v>821</v>
      </c>
      <c r="K852">
        <v>0.39605416078915717</v>
      </c>
    </row>
    <row r="853" spans="1:11" x14ac:dyDescent="0.25">
      <c r="A853" s="3">
        <v>40329</v>
      </c>
      <c r="B853">
        <v>2773.26</v>
      </c>
      <c r="C853">
        <f t="shared" si="52"/>
        <v>0.97297126618250707</v>
      </c>
      <c r="D853">
        <v>837</v>
      </c>
      <c r="E853">
        <f t="shared" si="53"/>
        <v>0</v>
      </c>
      <c r="F853">
        <f t="shared" si="54"/>
        <v>0</v>
      </c>
      <c r="G853" t="str">
        <f t="shared" si="55"/>
        <v>extra</v>
      </c>
      <c r="J853">
        <v>822</v>
      </c>
      <c r="K853">
        <v>0.39612535490008027</v>
      </c>
    </row>
    <row r="854" spans="1:11" x14ac:dyDescent="0.25">
      <c r="A854" s="3">
        <v>40326</v>
      </c>
      <c r="B854">
        <v>2850.3</v>
      </c>
      <c r="C854">
        <f t="shared" si="52"/>
        <v>0.9966153609465801</v>
      </c>
      <c r="D854">
        <v>838</v>
      </c>
      <c r="E854">
        <f t="shared" si="53"/>
        <v>0</v>
      </c>
      <c r="F854">
        <f t="shared" si="54"/>
        <v>0</v>
      </c>
      <c r="G854" t="str">
        <f t="shared" si="55"/>
        <v>extra</v>
      </c>
      <c r="J854">
        <v>823</v>
      </c>
      <c r="K854">
        <v>0.39612480367488012</v>
      </c>
    </row>
    <row r="855" spans="1:11" x14ac:dyDescent="0.25">
      <c r="A855" s="3">
        <v>40325</v>
      </c>
      <c r="B855">
        <v>2859.98</v>
      </c>
      <c r="C855">
        <f t="shared" si="52"/>
        <v>1.0163614007405986</v>
      </c>
      <c r="D855">
        <v>839</v>
      </c>
      <c r="E855">
        <f t="shared" si="53"/>
        <v>0</v>
      </c>
      <c r="F855">
        <f t="shared" si="54"/>
        <v>0</v>
      </c>
      <c r="G855" t="str">
        <f t="shared" si="55"/>
        <v>extra</v>
      </c>
      <c r="J855">
        <v>824</v>
      </c>
      <c r="K855">
        <v>0.39622445466966932</v>
      </c>
    </row>
    <row r="856" spans="1:11" x14ac:dyDescent="0.25">
      <c r="A856" s="3">
        <v>40324</v>
      </c>
      <c r="B856">
        <v>2813.94</v>
      </c>
      <c r="C856">
        <f t="shared" si="52"/>
        <v>1</v>
      </c>
      <c r="D856">
        <v>840</v>
      </c>
      <c r="E856">
        <f t="shared" si="53"/>
        <v>0</v>
      </c>
      <c r="F856">
        <f t="shared" si="54"/>
        <v>0</v>
      </c>
      <c r="G856" t="str">
        <f t="shared" si="55"/>
        <v>extra</v>
      </c>
      <c r="J856">
        <v>825</v>
      </c>
      <c r="K856">
        <v>0.39622602297681109</v>
      </c>
    </row>
    <row r="857" spans="1:11" x14ac:dyDescent="0.25">
      <c r="A857" s="3">
        <v>40323</v>
      </c>
      <c r="B857">
        <v>2813.94</v>
      </c>
      <c r="C857">
        <f t="shared" si="52"/>
        <v>0.97928288793688478</v>
      </c>
      <c r="D857">
        <v>841</v>
      </c>
      <c r="E857">
        <f t="shared" si="53"/>
        <v>0</v>
      </c>
      <c r="F857">
        <f t="shared" si="54"/>
        <v>0</v>
      </c>
      <c r="G857" t="str">
        <f t="shared" si="55"/>
        <v>extra</v>
      </c>
      <c r="J857">
        <v>826</v>
      </c>
      <c r="K857">
        <v>0.39744243122867928</v>
      </c>
    </row>
    <row r="858" spans="1:11" x14ac:dyDescent="0.25">
      <c r="A858" s="3">
        <v>40322</v>
      </c>
      <c r="B858">
        <v>2873.47</v>
      </c>
      <c r="C858">
        <f t="shared" si="52"/>
        <v>1.0378071287457697</v>
      </c>
      <c r="D858">
        <v>842</v>
      </c>
      <c r="E858">
        <f t="shared" si="53"/>
        <v>0</v>
      </c>
      <c r="F858">
        <f t="shared" si="54"/>
        <v>0</v>
      </c>
      <c r="G858" t="str">
        <f t="shared" si="55"/>
        <v>extra</v>
      </c>
      <c r="J858">
        <v>827</v>
      </c>
      <c r="K858">
        <v>0.39780378839688263</v>
      </c>
    </row>
    <row r="859" spans="1:11" x14ac:dyDescent="0.25">
      <c r="A859" s="3">
        <v>40319</v>
      </c>
      <c r="B859">
        <v>2768.79</v>
      </c>
      <c r="C859">
        <f t="shared" si="52"/>
        <v>1.0156895400620685</v>
      </c>
      <c r="D859">
        <v>843</v>
      </c>
      <c r="E859">
        <f t="shared" si="53"/>
        <v>0</v>
      </c>
      <c r="F859">
        <f t="shared" si="54"/>
        <v>0</v>
      </c>
      <c r="G859" t="str">
        <f t="shared" si="55"/>
        <v>extra</v>
      </c>
      <c r="J859">
        <v>828</v>
      </c>
      <c r="K859">
        <v>0.3978438134957859</v>
      </c>
    </row>
    <row r="860" spans="1:11" x14ac:dyDescent="0.25">
      <c r="A860" s="3">
        <v>40318</v>
      </c>
      <c r="B860">
        <v>2726.02</v>
      </c>
      <c r="C860">
        <f t="shared" si="52"/>
        <v>0.98691246375132591</v>
      </c>
      <c r="D860">
        <v>844</v>
      </c>
      <c r="E860">
        <f t="shared" si="53"/>
        <v>0</v>
      </c>
      <c r="F860">
        <f t="shared" si="54"/>
        <v>0</v>
      </c>
      <c r="G860" t="str">
        <f t="shared" si="55"/>
        <v>extra</v>
      </c>
      <c r="J860">
        <v>829</v>
      </c>
      <c r="K860">
        <v>0.39785783443648226</v>
      </c>
    </row>
    <row r="861" spans="1:11" x14ac:dyDescent="0.25">
      <c r="A861" s="3">
        <v>40317</v>
      </c>
      <c r="B861">
        <v>2762.17</v>
      </c>
      <c r="C861">
        <f t="shared" si="52"/>
        <v>0.99668753495588802</v>
      </c>
      <c r="D861">
        <v>845</v>
      </c>
      <c r="E861">
        <f t="shared" si="53"/>
        <v>0</v>
      </c>
      <c r="F861">
        <f t="shared" si="54"/>
        <v>0</v>
      </c>
      <c r="G861" t="str">
        <f t="shared" si="55"/>
        <v>extra</v>
      </c>
      <c r="J861">
        <v>830</v>
      </c>
      <c r="K861">
        <v>0.3980212932110096</v>
      </c>
    </row>
    <row r="862" spans="1:11" x14ac:dyDescent="0.25">
      <c r="A862" s="3">
        <v>40316</v>
      </c>
      <c r="B862">
        <v>2771.35</v>
      </c>
      <c r="C862">
        <f t="shared" si="52"/>
        <v>1.0208641070316902</v>
      </c>
      <c r="D862">
        <v>846</v>
      </c>
      <c r="E862">
        <f t="shared" si="53"/>
        <v>0</v>
      </c>
      <c r="F862">
        <f t="shared" si="54"/>
        <v>0</v>
      </c>
      <c r="G862" t="str">
        <f t="shared" si="55"/>
        <v>extra</v>
      </c>
      <c r="J862">
        <v>831</v>
      </c>
      <c r="K862">
        <v>0.39918233960068572</v>
      </c>
    </row>
    <row r="863" spans="1:11" x14ac:dyDescent="0.25">
      <c r="A863" s="3">
        <v>40315</v>
      </c>
      <c r="B863">
        <v>2714.71</v>
      </c>
      <c r="C863">
        <f t="shared" si="52"/>
        <v>0.94654500317292067</v>
      </c>
      <c r="D863">
        <v>847</v>
      </c>
      <c r="E863">
        <f t="shared" si="53"/>
        <v>0</v>
      </c>
      <c r="F863">
        <f t="shared" si="54"/>
        <v>0</v>
      </c>
      <c r="G863" t="str">
        <f t="shared" si="55"/>
        <v>extra</v>
      </c>
      <c r="J863">
        <v>832</v>
      </c>
      <c r="K863">
        <v>0.39918461483924284</v>
      </c>
    </row>
    <row r="864" spans="1:11" x14ac:dyDescent="0.25">
      <c r="A864" s="3">
        <v>40312</v>
      </c>
      <c r="B864">
        <v>2868.02</v>
      </c>
      <c r="C864">
        <f t="shared" si="52"/>
        <v>0.99345667166624529</v>
      </c>
      <c r="D864">
        <v>848</v>
      </c>
      <c r="E864">
        <f t="shared" si="53"/>
        <v>0</v>
      </c>
      <c r="F864">
        <f t="shared" si="54"/>
        <v>0</v>
      </c>
      <c r="G864" t="str">
        <f t="shared" si="55"/>
        <v>extra</v>
      </c>
      <c r="J864">
        <v>833</v>
      </c>
      <c r="K864">
        <v>0.3995780032480627</v>
      </c>
    </row>
    <row r="865" spans="1:11" x14ac:dyDescent="0.25">
      <c r="A865" s="3">
        <v>40311</v>
      </c>
      <c r="B865">
        <v>2886.91</v>
      </c>
      <c r="C865">
        <f t="shared" si="52"/>
        <v>1.0243953501575496</v>
      </c>
      <c r="D865">
        <v>849</v>
      </c>
      <c r="E865">
        <f t="shared" si="53"/>
        <v>0</v>
      </c>
      <c r="F865">
        <f t="shared" si="54"/>
        <v>0</v>
      </c>
      <c r="G865" t="str">
        <f t="shared" si="55"/>
        <v>extra</v>
      </c>
      <c r="J865">
        <v>834</v>
      </c>
      <c r="K865">
        <v>0.39959040567559112</v>
      </c>
    </row>
    <row r="866" spans="1:11" x14ac:dyDescent="0.25">
      <c r="A866" s="3">
        <v>40310</v>
      </c>
      <c r="B866">
        <v>2818.16</v>
      </c>
      <c r="C866">
        <f t="shared" si="52"/>
        <v>1.0061910440513848</v>
      </c>
      <c r="D866">
        <v>850</v>
      </c>
      <c r="E866">
        <f t="shared" si="53"/>
        <v>0</v>
      </c>
      <c r="F866">
        <f t="shared" si="54"/>
        <v>0</v>
      </c>
      <c r="G866" t="str">
        <f t="shared" si="55"/>
        <v>extra</v>
      </c>
      <c r="J866">
        <v>835</v>
      </c>
      <c r="K866">
        <v>0.39966269736806548</v>
      </c>
    </row>
    <row r="867" spans="1:11" x14ac:dyDescent="0.25">
      <c r="A867" s="3">
        <v>40309</v>
      </c>
      <c r="B867">
        <v>2800.82</v>
      </c>
      <c r="C867">
        <f t="shared" si="52"/>
        <v>0.97991414266871457</v>
      </c>
      <c r="D867">
        <v>851</v>
      </c>
      <c r="E867">
        <f t="shared" si="53"/>
        <v>0</v>
      </c>
      <c r="F867">
        <f t="shared" si="54"/>
        <v>0</v>
      </c>
      <c r="G867" t="str">
        <f t="shared" si="55"/>
        <v>extra</v>
      </c>
      <c r="J867">
        <v>836</v>
      </c>
      <c r="K867">
        <v>0.39969408713611609</v>
      </c>
    </row>
    <row r="868" spans="1:11" x14ac:dyDescent="0.25">
      <c r="A868" s="3">
        <v>40308</v>
      </c>
      <c r="B868">
        <v>2858.23</v>
      </c>
      <c r="C868">
        <f t="shared" si="52"/>
        <v>1.0075578382608512</v>
      </c>
      <c r="D868">
        <v>852</v>
      </c>
      <c r="E868">
        <f t="shared" si="53"/>
        <v>0</v>
      </c>
      <c r="F868">
        <f t="shared" si="54"/>
        <v>0</v>
      </c>
      <c r="G868" t="str">
        <f t="shared" si="55"/>
        <v>extra</v>
      </c>
      <c r="J868">
        <v>837</v>
      </c>
      <c r="K868">
        <v>0.39982799989720152</v>
      </c>
    </row>
    <row r="869" spans="1:11" x14ac:dyDescent="0.25">
      <c r="A869" s="3">
        <v>40305</v>
      </c>
      <c r="B869">
        <v>2836.79</v>
      </c>
      <c r="C869">
        <f t="shared" si="52"/>
        <v>0.97926375454802783</v>
      </c>
      <c r="D869">
        <v>853</v>
      </c>
      <c r="E869">
        <f t="shared" si="53"/>
        <v>0</v>
      </c>
      <c r="F869">
        <f t="shared" si="54"/>
        <v>0</v>
      </c>
      <c r="G869" t="str">
        <f t="shared" si="55"/>
        <v>extra</v>
      </c>
      <c r="J869">
        <v>838</v>
      </c>
      <c r="K869">
        <v>0.40075286663572879</v>
      </c>
    </row>
    <row r="870" spans="1:11" x14ac:dyDescent="0.25">
      <c r="A870" s="3">
        <v>40304</v>
      </c>
      <c r="B870">
        <v>2896.86</v>
      </c>
      <c r="C870">
        <f t="shared" si="52"/>
        <v>0.95404740497762153</v>
      </c>
      <c r="D870">
        <v>854</v>
      </c>
      <c r="E870">
        <f t="shared" si="53"/>
        <v>0</v>
      </c>
      <c r="F870">
        <f t="shared" si="54"/>
        <v>0</v>
      </c>
      <c r="G870" t="str">
        <f t="shared" si="55"/>
        <v>extra</v>
      </c>
      <c r="J870">
        <v>839</v>
      </c>
      <c r="K870">
        <v>0.40076476974323882</v>
      </c>
    </row>
    <row r="871" spans="1:11" x14ac:dyDescent="0.25">
      <c r="A871" s="3">
        <v>40303</v>
      </c>
      <c r="B871">
        <v>3036.39</v>
      </c>
      <c r="C871">
        <f t="shared" si="52"/>
        <v>1.0056102932653297</v>
      </c>
      <c r="D871">
        <v>855</v>
      </c>
      <c r="E871">
        <f t="shared" si="53"/>
        <v>0</v>
      </c>
      <c r="F871">
        <f t="shared" si="54"/>
        <v>0</v>
      </c>
      <c r="G871" t="str">
        <f t="shared" si="55"/>
        <v>extra</v>
      </c>
      <c r="J871">
        <v>840</v>
      </c>
      <c r="K871">
        <v>0.40110260147600313</v>
      </c>
    </row>
    <row r="872" spans="1:11" x14ac:dyDescent="0.25">
      <c r="A872" s="3">
        <v>40302</v>
      </c>
      <c r="B872">
        <v>3019.45</v>
      </c>
      <c r="C872">
        <f t="shared" si="52"/>
        <v>0.9843774960308016</v>
      </c>
      <c r="D872">
        <v>856</v>
      </c>
      <c r="E872">
        <f t="shared" si="53"/>
        <v>0</v>
      </c>
      <c r="F872">
        <f t="shared" si="54"/>
        <v>0</v>
      </c>
      <c r="G872" t="str">
        <f t="shared" si="55"/>
        <v>extra</v>
      </c>
      <c r="J872">
        <v>841</v>
      </c>
      <c r="K872">
        <v>0.40110208969757694</v>
      </c>
    </row>
    <row r="873" spans="1:11" x14ac:dyDescent="0.25">
      <c r="A873" s="3">
        <v>40298</v>
      </c>
      <c r="B873">
        <v>3067.37</v>
      </c>
      <c r="C873">
        <f t="shared" si="52"/>
        <v>1.0023888420488487</v>
      </c>
      <c r="D873">
        <v>857</v>
      </c>
      <c r="E873">
        <f t="shared" si="53"/>
        <v>0</v>
      </c>
      <c r="F873">
        <f t="shared" si="54"/>
        <v>0</v>
      </c>
      <c r="G873" t="str">
        <f t="shared" si="55"/>
        <v>extra</v>
      </c>
      <c r="J873">
        <v>842</v>
      </c>
      <c r="K873">
        <v>0.40163700627318422</v>
      </c>
    </row>
    <row r="874" spans="1:11" x14ac:dyDescent="0.25">
      <c r="A874" s="3">
        <v>40297</v>
      </c>
      <c r="B874">
        <v>3060.06</v>
      </c>
      <c r="C874">
        <f t="shared" si="52"/>
        <v>0.98796067606179472</v>
      </c>
      <c r="D874">
        <v>858</v>
      </c>
      <c r="E874">
        <f t="shared" si="53"/>
        <v>0</v>
      </c>
      <c r="F874">
        <f t="shared" si="54"/>
        <v>0</v>
      </c>
      <c r="G874" t="str">
        <f t="shared" si="55"/>
        <v>extra</v>
      </c>
      <c r="J874">
        <v>843</v>
      </c>
      <c r="K874">
        <v>0.40337130823351858</v>
      </c>
    </row>
    <row r="875" spans="1:11" x14ac:dyDescent="0.25">
      <c r="A875" s="3">
        <v>40296</v>
      </c>
      <c r="B875">
        <v>3097.35</v>
      </c>
      <c r="C875">
        <f t="shared" si="52"/>
        <v>0.99644191081614075</v>
      </c>
      <c r="D875">
        <v>859</v>
      </c>
      <c r="E875">
        <f t="shared" si="53"/>
        <v>0</v>
      </c>
      <c r="F875">
        <f t="shared" si="54"/>
        <v>0</v>
      </c>
      <c r="G875" t="str">
        <f t="shared" si="55"/>
        <v>extra</v>
      </c>
      <c r="J875">
        <v>844</v>
      </c>
      <c r="K875">
        <v>0.40367894835462576</v>
      </c>
    </row>
    <row r="876" spans="1:11" x14ac:dyDescent="0.25">
      <c r="A876" s="3">
        <v>40295</v>
      </c>
      <c r="B876">
        <v>3108.41</v>
      </c>
      <c r="C876">
        <f t="shared" si="52"/>
        <v>0.97995271122320293</v>
      </c>
      <c r="D876">
        <v>860</v>
      </c>
      <c r="E876">
        <f t="shared" si="53"/>
        <v>0</v>
      </c>
      <c r="F876">
        <f t="shared" si="54"/>
        <v>0</v>
      </c>
      <c r="G876" t="str">
        <f t="shared" si="55"/>
        <v>extra</v>
      </c>
      <c r="J876">
        <v>845</v>
      </c>
      <c r="K876">
        <v>0.40388784267287264</v>
      </c>
    </row>
    <row r="877" spans="1:11" x14ac:dyDescent="0.25">
      <c r="A877" s="3">
        <v>40294</v>
      </c>
      <c r="B877">
        <v>3172</v>
      </c>
      <c r="C877">
        <f t="shared" si="52"/>
        <v>0.99435736677115982</v>
      </c>
      <c r="D877">
        <v>861</v>
      </c>
      <c r="E877">
        <f t="shared" si="53"/>
        <v>0</v>
      </c>
      <c r="F877">
        <f t="shared" si="54"/>
        <v>0</v>
      </c>
      <c r="G877" t="str">
        <f t="shared" si="55"/>
        <v>extra</v>
      </c>
      <c r="J877">
        <v>846</v>
      </c>
      <c r="K877">
        <v>0.4038993944390557</v>
      </c>
    </row>
    <row r="878" spans="1:11" x14ac:dyDescent="0.25">
      <c r="A878" s="3">
        <v>40291</v>
      </c>
      <c r="B878">
        <v>3190</v>
      </c>
      <c r="C878">
        <f t="shared" si="52"/>
        <v>0.9963954846730011</v>
      </c>
      <c r="D878">
        <v>862</v>
      </c>
      <c r="E878">
        <f t="shared" si="53"/>
        <v>0</v>
      </c>
      <c r="F878">
        <f t="shared" si="54"/>
        <v>0</v>
      </c>
      <c r="G878" t="str">
        <f t="shared" si="55"/>
        <v>extra</v>
      </c>
      <c r="J878">
        <v>847</v>
      </c>
      <c r="K878">
        <v>0.40443696684665981</v>
      </c>
    </row>
    <row r="879" spans="1:11" x14ac:dyDescent="0.25">
      <c r="A879" s="3">
        <v>40290</v>
      </c>
      <c r="B879">
        <v>3201.54</v>
      </c>
      <c r="C879">
        <f t="shared" si="52"/>
        <v>0.98914319611453716</v>
      </c>
      <c r="D879">
        <v>863</v>
      </c>
      <c r="E879">
        <f t="shared" si="53"/>
        <v>0</v>
      </c>
      <c r="F879">
        <f t="shared" si="54"/>
        <v>0</v>
      </c>
      <c r="G879" t="str">
        <f t="shared" si="55"/>
        <v>extra</v>
      </c>
      <c r="J879">
        <v>848</v>
      </c>
      <c r="K879">
        <v>0.40813199463831462</v>
      </c>
    </row>
    <row r="880" spans="1:11" x14ac:dyDescent="0.25">
      <c r="A880" s="3">
        <v>40289</v>
      </c>
      <c r="B880">
        <v>3236.68</v>
      </c>
      <c r="C880">
        <f t="shared" si="52"/>
        <v>1.0199503997327761</v>
      </c>
      <c r="D880">
        <v>864</v>
      </c>
      <c r="E880">
        <f t="shared" si="53"/>
        <v>0</v>
      </c>
      <c r="F880">
        <f t="shared" si="54"/>
        <v>0</v>
      </c>
      <c r="G880" t="str">
        <f t="shared" si="55"/>
        <v>extra</v>
      </c>
      <c r="J880">
        <v>849</v>
      </c>
      <c r="K880">
        <v>0.40818056965998306</v>
      </c>
    </row>
    <row r="881" spans="1:11" x14ac:dyDescent="0.25">
      <c r="A881" s="3">
        <v>40288</v>
      </c>
      <c r="B881">
        <v>3173.37</v>
      </c>
      <c r="C881">
        <f t="shared" si="52"/>
        <v>0.99903979952273303</v>
      </c>
      <c r="D881">
        <v>865</v>
      </c>
      <c r="E881">
        <f t="shared" si="53"/>
        <v>0</v>
      </c>
      <c r="F881">
        <f t="shared" si="54"/>
        <v>0</v>
      </c>
      <c r="G881" t="str">
        <f t="shared" si="55"/>
        <v>extra</v>
      </c>
      <c r="J881">
        <v>850</v>
      </c>
      <c r="K881">
        <v>0.40890620341270822</v>
      </c>
    </row>
    <row r="882" spans="1:11" x14ac:dyDescent="0.25">
      <c r="A882" s="3">
        <v>40287</v>
      </c>
      <c r="B882">
        <v>3176.42</v>
      </c>
      <c r="C882">
        <f t="shared" si="52"/>
        <v>0.94639680841871932</v>
      </c>
      <c r="D882">
        <v>866</v>
      </c>
      <c r="E882">
        <f t="shared" si="53"/>
        <v>0</v>
      </c>
      <c r="F882">
        <f t="shared" si="54"/>
        <v>0</v>
      </c>
      <c r="G882" t="str">
        <f t="shared" si="55"/>
        <v>extra</v>
      </c>
      <c r="J882">
        <v>851</v>
      </c>
      <c r="K882">
        <v>0.40895555174032233</v>
      </c>
    </row>
    <row r="883" spans="1:11" x14ac:dyDescent="0.25">
      <c r="A883" s="3">
        <v>40284</v>
      </c>
      <c r="B883">
        <v>3356.33</v>
      </c>
      <c r="C883">
        <f t="shared" si="52"/>
        <v>0.98873495022933677</v>
      </c>
      <c r="D883">
        <v>867</v>
      </c>
      <c r="E883">
        <f t="shared" si="53"/>
        <v>0</v>
      </c>
      <c r="F883">
        <f t="shared" si="54"/>
        <v>0</v>
      </c>
      <c r="G883" t="str">
        <f t="shared" si="55"/>
        <v>extra</v>
      </c>
      <c r="J883">
        <v>852</v>
      </c>
      <c r="K883">
        <v>0.40944844699013644</v>
      </c>
    </row>
    <row r="884" spans="1:11" x14ac:dyDescent="0.25">
      <c r="A884" s="3">
        <v>40283</v>
      </c>
      <c r="B884">
        <v>3394.57</v>
      </c>
      <c r="C884">
        <f t="shared" si="52"/>
        <v>0.99731469484768098</v>
      </c>
      <c r="D884">
        <v>868</v>
      </c>
      <c r="E884">
        <f t="shared" si="53"/>
        <v>0</v>
      </c>
      <c r="F884">
        <f t="shared" si="54"/>
        <v>0</v>
      </c>
      <c r="G884" t="str">
        <f t="shared" si="55"/>
        <v>extra</v>
      </c>
      <c r="J884">
        <v>853</v>
      </c>
      <c r="K884">
        <v>0.40952148045341058</v>
      </c>
    </row>
    <row r="885" spans="1:11" x14ac:dyDescent="0.25">
      <c r="A885" s="3">
        <v>40282</v>
      </c>
      <c r="B885">
        <v>3403.71</v>
      </c>
      <c r="C885">
        <f t="shared" si="52"/>
        <v>1.0035350795466607</v>
      </c>
      <c r="D885">
        <v>869</v>
      </c>
      <c r="E885">
        <f t="shared" si="53"/>
        <v>0</v>
      </c>
      <c r="F885">
        <f t="shared" si="54"/>
        <v>0</v>
      </c>
      <c r="G885" t="str">
        <f t="shared" si="55"/>
        <v>extra</v>
      </c>
      <c r="J885">
        <v>854</v>
      </c>
      <c r="K885">
        <v>0.41004605871729316</v>
      </c>
    </row>
    <row r="886" spans="1:11" x14ac:dyDescent="0.25">
      <c r="A886" s="3">
        <v>40281</v>
      </c>
      <c r="B886">
        <v>3391.72</v>
      </c>
      <c r="C886">
        <f t="shared" si="52"/>
        <v>1.0120066358743003</v>
      </c>
      <c r="D886">
        <v>870</v>
      </c>
      <c r="E886">
        <f t="shared" si="53"/>
        <v>0</v>
      </c>
      <c r="F886">
        <f t="shared" si="54"/>
        <v>0</v>
      </c>
      <c r="G886" t="str">
        <f t="shared" si="55"/>
        <v>extra</v>
      </c>
      <c r="J886">
        <v>855</v>
      </c>
      <c r="K886">
        <v>0.41271035085515673</v>
      </c>
    </row>
    <row r="887" spans="1:11" x14ac:dyDescent="0.25">
      <c r="A887" s="3">
        <v>40280</v>
      </c>
      <c r="B887">
        <v>3351.48</v>
      </c>
      <c r="C887">
        <f t="shared" si="52"/>
        <v>0.9918056800930406</v>
      </c>
      <c r="D887">
        <v>871</v>
      </c>
      <c r="E887">
        <f t="shared" si="53"/>
        <v>0</v>
      </c>
      <c r="F887">
        <f t="shared" si="54"/>
        <v>0</v>
      </c>
      <c r="G887" t="str">
        <f t="shared" si="55"/>
        <v>extra</v>
      </c>
      <c r="J887">
        <v>856</v>
      </c>
      <c r="K887">
        <v>0.41275192394905535</v>
      </c>
    </row>
    <row r="888" spans="1:11" x14ac:dyDescent="0.25">
      <c r="A888" s="3">
        <v>40277</v>
      </c>
      <c r="B888">
        <v>3379.17</v>
      </c>
      <c r="C888">
        <f t="shared" si="52"/>
        <v>1.0096900267125621</v>
      </c>
      <c r="D888">
        <v>872</v>
      </c>
      <c r="E888">
        <f t="shared" si="53"/>
        <v>0</v>
      </c>
      <c r="F888">
        <f t="shared" si="54"/>
        <v>0</v>
      </c>
      <c r="G888" t="str">
        <f t="shared" si="55"/>
        <v>extra</v>
      </c>
      <c r="J888">
        <v>857</v>
      </c>
      <c r="K888">
        <v>0.41304086944719737</v>
      </c>
    </row>
    <row r="889" spans="1:11" x14ac:dyDescent="0.25">
      <c r="A889" s="3">
        <v>40276</v>
      </c>
      <c r="B889">
        <v>3346.74</v>
      </c>
      <c r="C889">
        <f t="shared" si="52"/>
        <v>0.98812796173548467</v>
      </c>
      <c r="D889">
        <v>873</v>
      </c>
      <c r="E889">
        <f t="shared" si="53"/>
        <v>0</v>
      </c>
      <c r="F889">
        <f t="shared" si="54"/>
        <v>0</v>
      </c>
      <c r="G889" t="str">
        <f t="shared" si="55"/>
        <v>extra</v>
      </c>
      <c r="J889">
        <v>858</v>
      </c>
      <c r="K889">
        <v>0.41304912082219053</v>
      </c>
    </row>
    <row r="890" spans="1:11" x14ac:dyDescent="0.25">
      <c r="A890" s="3">
        <v>40275</v>
      </c>
      <c r="B890">
        <v>3386.95</v>
      </c>
      <c r="C890">
        <f t="shared" si="52"/>
        <v>0.99465807573256904</v>
      </c>
      <c r="D890">
        <v>874</v>
      </c>
      <c r="E890">
        <f t="shared" si="53"/>
        <v>0</v>
      </c>
      <c r="F890">
        <f t="shared" si="54"/>
        <v>0</v>
      </c>
      <c r="G890" t="str">
        <f t="shared" si="55"/>
        <v>extra</v>
      </c>
      <c r="J890">
        <v>859</v>
      </c>
      <c r="K890">
        <v>0.41321740629054671</v>
      </c>
    </row>
    <row r="891" spans="1:11" x14ac:dyDescent="0.25">
      <c r="A891" s="3">
        <v>40274</v>
      </c>
      <c r="B891">
        <v>3405.14</v>
      </c>
      <c r="C891">
        <f t="shared" si="52"/>
        <v>0.99935140211601392</v>
      </c>
      <c r="D891">
        <v>875</v>
      </c>
      <c r="E891">
        <f t="shared" si="53"/>
        <v>0</v>
      </c>
      <c r="F891">
        <f t="shared" si="54"/>
        <v>0</v>
      </c>
      <c r="G891" t="str">
        <f t="shared" si="55"/>
        <v>extra</v>
      </c>
      <c r="J891">
        <v>860</v>
      </c>
      <c r="K891">
        <v>0.4132295857949343</v>
      </c>
    </row>
    <row r="892" spans="1:11" x14ac:dyDescent="0.25">
      <c r="A892" s="3">
        <v>40270</v>
      </c>
      <c r="B892">
        <v>3407.35</v>
      </c>
      <c r="C892">
        <f t="shared" si="52"/>
        <v>1.0045460843826377</v>
      </c>
      <c r="D892">
        <v>876</v>
      </c>
      <c r="E892">
        <f t="shared" si="53"/>
        <v>0</v>
      </c>
      <c r="F892">
        <f t="shared" si="54"/>
        <v>0</v>
      </c>
      <c r="G892" t="str">
        <f t="shared" si="55"/>
        <v>extra</v>
      </c>
      <c r="J892">
        <v>861</v>
      </c>
      <c r="K892">
        <v>0.4137097100137096</v>
      </c>
    </row>
    <row r="893" spans="1:11" x14ac:dyDescent="0.25">
      <c r="A893" s="3">
        <v>40269</v>
      </c>
      <c r="B893">
        <v>3391.93</v>
      </c>
      <c r="C893">
        <f t="shared" si="52"/>
        <v>1.01384500883247</v>
      </c>
      <c r="D893">
        <v>877</v>
      </c>
      <c r="E893">
        <f t="shared" si="53"/>
        <v>0</v>
      </c>
      <c r="F893">
        <f t="shared" si="54"/>
        <v>0</v>
      </c>
      <c r="G893" t="str">
        <f t="shared" si="55"/>
        <v>extra</v>
      </c>
      <c r="J893">
        <v>862</v>
      </c>
      <c r="K893">
        <v>0.41374326921885352</v>
      </c>
    </row>
    <row r="894" spans="1:11" x14ac:dyDescent="0.25">
      <c r="A894" s="3">
        <v>40268</v>
      </c>
      <c r="B894">
        <v>3345.61</v>
      </c>
      <c r="C894">
        <f t="shared" si="52"/>
        <v>0.99373275393485039</v>
      </c>
      <c r="D894">
        <v>878</v>
      </c>
      <c r="E894">
        <f t="shared" si="53"/>
        <v>0</v>
      </c>
      <c r="F894">
        <f t="shared" si="54"/>
        <v>0</v>
      </c>
      <c r="G894" t="str">
        <f t="shared" si="55"/>
        <v>extra</v>
      </c>
      <c r="J894">
        <v>863</v>
      </c>
      <c r="K894">
        <v>0.41375554167233769</v>
      </c>
    </row>
    <row r="895" spans="1:11" x14ac:dyDescent="0.25">
      <c r="A895" s="3">
        <v>40267</v>
      </c>
      <c r="B895">
        <v>3366.71</v>
      </c>
      <c r="C895">
        <f t="shared" si="52"/>
        <v>1.0024326046436844</v>
      </c>
      <c r="D895">
        <v>879</v>
      </c>
      <c r="E895">
        <f t="shared" si="53"/>
        <v>0</v>
      </c>
      <c r="F895">
        <f t="shared" si="54"/>
        <v>0</v>
      </c>
      <c r="G895" t="str">
        <f t="shared" si="55"/>
        <v>extra</v>
      </c>
      <c r="J895">
        <v>864</v>
      </c>
      <c r="K895">
        <v>0.41388982170401367</v>
      </c>
    </row>
    <row r="896" spans="1:11" x14ac:dyDescent="0.25">
      <c r="A896" s="3">
        <v>40266</v>
      </c>
      <c r="B896">
        <v>3358.54</v>
      </c>
      <c r="C896">
        <f t="shared" si="52"/>
        <v>1.0255083969465648</v>
      </c>
      <c r="D896">
        <v>880</v>
      </c>
      <c r="E896">
        <f t="shared" si="53"/>
        <v>0</v>
      </c>
      <c r="F896">
        <f t="shared" si="54"/>
        <v>0</v>
      </c>
      <c r="G896" t="str">
        <f t="shared" si="55"/>
        <v>extra</v>
      </c>
      <c r="J896">
        <v>865</v>
      </c>
      <c r="K896">
        <v>0.41437880371685498</v>
      </c>
    </row>
    <row r="897" spans="1:11" x14ac:dyDescent="0.25">
      <c r="A897" s="3">
        <v>40263</v>
      </c>
      <c r="B897">
        <v>3275</v>
      </c>
      <c r="C897">
        <f t="shared" si="52"/>
        <v>1.0142050645220229</v>
      </c>
      <c r="D897">
        <v>881</v>
      </c>
      <c r="E897">
        <f t="shared" si="53"/>
        <v>0</v>
      </c>
      <c r="F897">
        <f t="shared" si="54"/>
        <v>0</v>
      </c>
      <c r="G897" t="str">
        <f t="shared" si="55"/>
        <v>extra</v>
      </c>
      <c r="J897">
        <v>866</v>
      </c>
      <c r="K897">
        <v>0.41437870373092389</v>
      </c>
    </row>
    <row r="898" spans="1:11" x14ac:dyDescent="0.25">
      <c r="A898" s="3">
        <v>40262</v>
      </c>
      <c r="B898">
        <v>3229.13</v>
      </c>
      <c r="C898">
        <f t="shared" si="52"/>
        <v>0.98549136776056179</v>
      </c>
      <c r="D898">
        <v>882</v>
      </c>
      <c r="E898">
        <f t="shared" si="53"/>
        <v>0</v>
      </c>
      <c r="F898">
        <f t="shared" si="54"/>
        <v>0</v>
      </c>
      <c r="G898" t="str">
        <f t="shared" si="55"/>
        <v>extra</v>
      </c>
      <c r="J898">
        <v>867</v>
      </c>
      <c r="K898">
        <v>0.4179829702736636</v>
      </c>
    </row>
    <row r="899" spans="1:11" x14ac:dyDescent="0.25">
      <c r="A899" s="3">
        <v>40261</v>
      </c>
      <c r="B899">
        <v>3276.67</v>
      </c>
      <c r="C899">
        <f t="shared" si="52"/>
        <v>1.0003358194146361</v>
      </c>
      <c r="D899">
        <v>883</v>
      </c>
      <c r="E899">
        <f t="shared" si="53"/>
        <v>0</v>
      </c>
      <c r="F899">
        <f t="shared" si="54"/>
        <v>0</v>
      </c>
      <c r="G899" t="str">
        <f t="shared" si="55"/>
        <v>extra</v>
      </c>
      <c r="J899">
        <v>868</v>
      </c>
      <c r="K899">
        <v>0.41812514024070674</v>
      </c>
    </row>
    <row r="900" spans="1:11" x14ac:dyDescent="0.25">
      <c r="A900" s="3">
        <v>40260</v>
      </c>
      <c r="B900">
        <v>3275.57</v>
      </c>
      <c r="C900">
        <f t="shared" si="52"/>
        <v>0.99180652994734497</v>
      </c>
      <c r="D900">
        <v>884</v>
      </c>
      <c r="E900">
        <f t="shared" si="53"/>
        <v>0</v>
      </c>
      <c r="F900">
        <f t="shared" si="54"/>
        <v>0</v>
      </c>
      <c r="G900" t="str">
        <f t="shared" si="55"/>
        <v>extra</v>
      </c>
      <c r="J900">
        <v>869</v>
      </c>
      <c r="K900">
        <v>0.41813072699170689</v>
      </c>
    </row>
    <row r="901" spans="1:11" x14ac:dyDescent="0.25">
      <c r="A901" s="3">
        <v>40259</v>
      </c>
      <c r="B901">
        <v>3302.63</v>
      </c>
      <c r="C901">
        <f t="shared" si="52"/>
        <v>1.0026594856506177</v>
      </c>
      <c r="D901">
        <v>885</v>
      </c>
      <c r="E901">
        <f t="shared" si="53"/>
        <v>0</v>
      </c>
      <c r="F901">
        <f t="shared" si="54"/>
        <v>0</v>
      </c>
      <c r="G901" t="str">
        <f t="shared" si="55"/>
        <v>extra</v>
      </c>
      <c r="J901">
        <v>870</v>
      </c>
      <c r="K901">
        <v>0.41814890109192016</v>
      </c>
    </row>
    <row r="902" spans="1:11" x14ac:dyDescent="0.25">
      <c r="A902" s="3">
        <v>40256</v>
      </c>
      <c r="B902">
        <v>3293.87</v>
      </c>
      <c r="C902">
        <f t="shared" si="52"/>
        <v>1.0080549647289252</v>
      </c>
      <c r="D902">
        <v>886</v>
      </c>
      <c r="E902">
        <f t="shared" si="53"/>
        <v>0</v>
      </c>
      <c r="F902">
        <f t="shared" si="54"/>
        <v>0</v>
      </c>
      <c r="G902" t="str">
        <f t="shared" si="55"/>
        <v>extra</v>
      </c>
      <c r="J902">
        <v>871</v>
      </c>
      <c r="K902">
        <v>0.41833110334989754</v>
      </c>
    </row>
    <row r="903" spans="1:11" x14ac:dyDescent="0.25">
      <c r="A903" s="3">
        <v>40255</v>
      </c>
      <c r="B903">
        <v>3267.55</v>
      </c>
      <c r="C903">
        <f t="shared" si="52"/>
        <v>0.99805432020330376</v>
      </c>
      <c r="D903">
        <v>887</v>
      </c>
      <c r="E903">
        <f t="shared" si="53"/>
        <v>0</v>
      </c>
      <c r="F903">
        <f t="shared" si="54"/>
        <v>0</v>
      </c>
      <c r="G903" t="str">
        <f t="shared" si="55"/>
        <v>extra</v>
      </c>
      <c r="J903">
        <v>872</v>
      </c>
      <c r="K903">
        <v>0.41840372737855686</v>
      </c>
    </row>
    <row r="904" spans="1:11" x14ac:dyDescent="0.25">
      <c r="A904" s="3">
        <v>40254</v>
      </c>
      <c r="B904">
        <v>3273.92</v>
      </c>
      <c r="C904">
        <f t="shared" si="52"/>
        <v>1.0218322893160674</v>
      </c>
      <c r="D904">
        <v>888</v>
      </c>
      <c r="E904">
        <f t="shared" si="53"/>
        <v>0</v>
      </c>
      <c r="F904">
        <f t="shared" si="54"/>
        <v>0</v>
      </c>
      <c r="G904" t="str">
        <f t="shared" si="55"/>
        <v>extra</v>
      </c>
      <c r="J904">
        <v>873</v>
      </c>
      <c r="K904">
        <v>0.4185242387251793</v>
      </c>
    </row>
    <row r="905" spans="1:11" x14ac:dyDescent="0.25">
      <c r="A905" s="3">
        <v>40253</v>
      </c>
      <c r="B905">
        <v>3203.97</v>
      </c>
      <c r="C905">
        <f t="shared" si="52"/>
        <v>1.0065312046444121</v>
      </c>
      <c r="D905">
        <v>889</v>
      </c>
      <c r="E905">
        <f t="shared" si="53"/>
        <v>0</v>
      </c>
      <c r="F905">
        <f t="shared" si="54"/>
        <v>0</v>
      </c>
      <c r="G905" t="str">
        <f t="shared" si="55"/>
        <v>extra</v>
      </c>
      <c r="J905">
        <v>874</v>
      </c>
      <c r="K905">
        <v>0.41868288139632948</v>
      </c>
    </row>
    <row r="906" spans="1:11" x14ac:dyDescent="0.25">
      <c r="A906" s="3">
        <v>40252</v>
      </c>
      <c r="B906">
        <v>3183.18</v>
      </c>
      <c r="C906">
        <f t="shared" si="52"/>
        <v>0.98455057482996344</v>
      </c>
      <c r="D906">
        <v>890</v>
      </c>
      <c r="E906">
        <f t="shared" si="53"/>
        <v>0</v>
      </c>
      <c r="F906">
        <f t="shared" si="54"/>
        <v>0</v>
      </c>
      <c r="G906" t="str">
        <f t="shared" si="55"/>
        <v>extra</v>
      </c>
      <c r="J906">
        <v>875</v>
      </c>
      <c r="K906">
        <v>0.41871148366369315</v>
      </c>
    </row>
    <row r="907" spans="1:11" x14ac:dyDescent="0.25">
      <c r="A907" s="3">
        <v>40249</v>
      </c>
      <c r="B907">
        <v>3233.13</v>
      </c>
      <c r="C907">
        <f t="shared" si="52"/>
        <v>0.98670007415975169</v>
      </c>
      <c r="D907">
        <v>891</v>
      </c>
      <c r="E907">
        <f t="shared" si="53"/>
        <v>0</v>
      </c>
      <c r="F907">
        <f t="shared" si="54"/>
        <v>0</v>
      </c>
      <c r="G907" t="str">
        <f t="shared" si="55"/>
        <v>extra</v>
      </c>
      <c r="J907">
        <v>876</v>
      </c>
      <c r="K907">
        <v>0.41871099657830013</v>
      </c>
    </row>
    <row r="908" spans="1:11" x14ac:dyDescent="0.25">
      <c r="A908" s="3">
        <v>40248</v>
      </c>
      <c r="B908">
        <v>3276.71</v>
      </c>
      <c r="C908">
        <f t="shared" si="52"/>
        <v>0.99909137753873078</v>
      </c>
      <c r="D908">
        <v>892</v>
      </c>
      <c r="E908">
        <f t="shared" si="53"/>
        <v>0</v>
      </c>
      <c r="F908">
        <f t="shared" si="54"/>
        <v>0</v>
      </c>
      <c r="G908" t="str">
        <f t="shared" si="55"/>
        <v>extra</v>
      </c>
      <c r="J908">
        <v>877</v>
      </c>
      <c r="K908">
        <v>0.41873986088566262</v>
      </c>
    </row>
    <row r="909" spans="1:11" x14ac:dyDescent="0.25">
      <c r="A909" s="3">
        <v>40247</v>
      </c>
      <c r="B909">
        <v>3279.69</v>
      </c>
      <c r="C909">
        <f t="shared" si="52"/>
        <v>0.99208375430296503</v>
      </c>
      <c r="D909">
        <v>893</v>
      </c>
      <c r="E909">
        <f t="shared" si="53"/>
        <v>0</v>
      </c>
      <c r="F909">
        <f t="shared" si="54"/>
        <v>0</v>
      </c>
      <c r="G909" t="str">
        <f t="shared" si="55"/>
        <v>extra</v>
      </c>
      <c r="J909">
        <v>878</v>
      </c>
      <c r="K909">
        <v>0.41897922775303298</v>
      </c>
    </row>
    <row r="910" spans="1:11" x14ac:dyDescent="0.25">
      <c r="A910" s="3">
        <v>40246</v>
      </c>
      <c r="B910">
        <v>3305.86</v>
      </c>
      <c r="C910">
        <f t="shared" si="52"/>
        <v>1.005988716381939</v>
      </c>
      <c r="D910">
        <v>894</v>
      </c>
      <c r="E910">
        <f t="shared" si="53"/>
        <v>0</v>
      </c>
      <c r="F910">
        <f t="shared" si="54"/>
        <v>0</v>
      </c>
      <c r="G910" t="str">
        <f t="shared" si="55"/>
        <v>extra</v>
      </c>
      <c r="J910">
        <v>879</v>
      </c>
      <c r="K910">
        <v>0.41902005282004101</v>
      </c>
    </row>
    <row r="911" spans="1:11" x14ac:dyDescent="0.25">
      <c r="A911" s="3">
        <v>40245</v>
      </c>
      <c r="B911">
        <v>3286.18</v>
      </c>
      <c r="C911">
        <f t="shared" si="52"/>
        <v>1.0081048911576311</v>
      </c>
      <c r="D911">
        <v>895</v>
      </c>
      <c r="E911">
        <f t="shared" si="53"/>
        <v>0</v>
      </c>
      <c r="F911">
        <f t="shared" si="54"/>
        <v>0</v>
      </c>
      <c r="G911" t="str">
        <f t="shared" si="55"/>
        <v>extra</v>
      </c>
      <c r="J911">
        <v>880</v>
      </c>
      <c r="K911">
        <v>0.4190291367729283</v>
      </c>
    </row>
    <row r="912" spans="1:11" x14ac:dyDescent="0.25">
      <c r="A912" s="3">
        <v>40242</v>
      </c>
      <c r="B912">
        <v>3259.76</v>
      </c>
      <c r="C912">
        <f t="shared" si="52"/>
        <v>1.0028271964609283</v>
      </c>
      <c r="D912">
        <v>896</v>
      </c>
      <c r="E912">
        <f t="shared" si="53"/>
        <v>0</v>
      </c>
      <c r="F912">
        <f t="shared" si="54"/>
        <v>0</v>
      </c>
      <c r="G912" t="str">
        <f t="shared" si="55"/>
        <v>extra</v>
      </c>
      <c r="J912">
        <v>881</v>
      </c>
      <c r="K912">
        <v>0.41981040979515521</v>
      </c>
    </row>
    <row r="913" spans="1:11" x14ac:dyDescent="0.25">
      <c r="A913" s="3">
        <v>40241</v>
      </c>
      <c r="B913">
        <v>3250.57</v>
      </c>
      <c r="C913">
        <f t="shared" si="52"/>
        <v>0.97466027801432054</v>
      </c>
      <c r="D913">
        <v>897</v>
      </c>
      <c r="E913">
        <f t="shared" si="53"/>
        <v>0</v>
      </c>
      <c r="F913">
        <f t="shared" si="54"/>
        <v>0</v>
      </c>
      <c r="G913" t="str">
        <f t="shared" si="55"/>
        <v>extra</v>
      </c>
      <c r="J913">
        <v>882</v>
      </c>
      <c r="K913">
        <v>0.42005986452705124</v>
      </c>
    </row>
    <row r="914" spans="1:11" x14ac:dyDescent="0.25">
      <c r="A914" s="3">
        <v>40240</v>
      </c>
      <c r="B914">
        <v>3335.08</v>
      </c>
      <c r="C914">
        <f t="shared" ref="C914:C977" si="56">B914/B915</f>
        <v>1.0071997197424529</v>
      </c>
      <c r="D914">
        <v>898</v>
      </c>
      <c r="E914">
        <f t="shared" ref="E914:E977" si="57">IF(D914&gt;$B$6,0,LN(C914))</f>
        <v>0</v>
      </c>
      <c r="F914">
        <f t="shared" ref="F914:F977" si="58">IF(D914&gt;$B$6,0,(E914-$B$7)^2)</f>
        <v>0</v>
      </c>
      <c r="G914" t="str">
        <f t="shared" ref="G914:G977" si="59">IF(D914&lt;=$B$6,E914,"extra")</f>
        <v>extra</v>
      </c>
      <c r="J914">
        <v>883</v>
      </c>
      <c r="K914">
        <v>0.42030138940330597</v>
      </c>
    </row>
    <row r="915" spans="1:11" x14ac:dyDescent="0.25">
      <c r="A915" s="3">
        <v>40239</v>
      </c>
      <c r="B915">
        <v>3311.24</v>
      </c>
      <c r="C915">
        <f t="shared" si="56"/>
        <v>0.9960353986560061</v>
      </c>
      <c r="D915">
        <v>899</v>
      </c>
      <c r="E915">
        <f t="shared" si="57"/>
        <v>0</v>
      </c>
      <c r="F915">
        <f t="shared" si="58"/>
        <v>0</v>
      </c>
      <c r="G915" t="str">
        <f t="shared" si="59"/>
        <v>extra</v>
      </c>
      <c r="J915">
        <v>884</v>
      </c>
      <c r="K915">
        <v>0.42030145398570673</v>
      </c>
    </row>
    <row r="916" spans="1:11" x14ac:dyDescent="0.25">
      <c r="A916" s="3">
        <v>40238</v>
      </c>
      <c r="B916">
        <v>3324.42</v>
      </c>
      <c r="C916">
        <f t="shared" si="56"/>
        <v>1.0130269039848614</v>
      </c>
      <c r="D916">
        <v>900</v>
      </c>
      <c r="E916">
        <f t="shared" si="57"/>
        <v>0</v>
      </c>
      <c r="F916">
        <f t="shared" si="58"/>
        <v>0</v>
      </c>
      <c r="G916" t="str">
        <f t="shared" si="59"/>
        <v>extra</v>
      </c>
      <c r="J916">
        <v>885</v>
      </c>
      <c r="K916">
        <v>0.42037432760312715</v>
      </c>
    </row>
    <row r="917" spans="1:11" x14ac:dyDescent="0.25">
      <c r="A917" s="3">
        <v>40235</v>
      </c>
      <c r="B917">
        <v>3281.67</v>
      </c>
      <c r="C917">
        <f t="shared" si="56"/>
        <v>0.99682272571253261</v>
      </c>
      <c r="D917">
        <v>901</v>
      </c>
      <c r="E917">
        <f t="shared" si="57"/>
        <v>0</v>
      </c>
      <c r="F917">
        <f t="shared" si="58"/>
        <v>0</v>
      </c>
      <c r="G917" t="str">
        <f t="shared" si="59"/>
        <v>extra</v>
      </c>
      <c r="J917">
        <v>886</v>
      </c>
      <c r="K917">
        <v>0.42038479874933316</v>
      </c>
    </row>
    <row r="918" spans="1:11" x14ac:dyDescent="0.25">
      <c r="A918" s="3">
        <v>40234</v>
      </c>
      <c r="B918">
        <v>3292.13</v>
      </c>
      <c r="C918">
        <f t="shared" si="56"/>
        <v>1.0146864828878588</v>
      </c>
      <c r="D918">
        <v>902</v>
      </c>
      <c r="E918">
        <f t="shared" si="57"/>
        <v>0</v>
      </c>
      <c r="F918">
        <f t="shared" si="58"/>
        <v>0</v>
      </c>
      <c r="G918" t="str">
        <f t="shared" si="59"/>
        <v>extra</v>
      </c>
      <c r="J918">
        <v>887</v>
      </c>
      <c r="K918">
        <v>0.42046834955682716</v>
      </c>
    </row>
    <row r="919" spans="1:11" x14ac:dyDescent="0.25">
      <c r="A919" s="3">
        <v>40233</v>
      </c>
      <c r="B919">
        <v>3244.48</v>
      </c>
      <c r="C919">
        <f t="shared" si="56"/>
        <v>1.0143342618558571</v>
      </c>
      <c r="D919">
        <v>903</v>
      </c>
      <c r="E919">
        <f t="shared" si="57"/>
        <v>0</v>
      </c>
      <c r="F919">
        <f t="shared" si="58"/>
        <v>0</v>
      </c>
      <c r="G919" t="str">
        <f t="shared" si="59"/>
        <v>extra</v>
      </c>
      <c r="J919">
        <v>888</v>
      </c>
      <c r="K919">
        <v>0.42047077101561636</v>
      </c>
    </row>
    <row r="920" spans="1:11" x14ac:dyDescent="0.25">
      <c r="A920" s="3">
        <v>40232</v>
      </c>
      <c r="B920">
        <v>3198.63</v>
      </c>
      <c r="C920">
        <f t="shared" si="56"/>
        <v>0.9892619110210773</v>
      </c>
      <c r="D920">
        <v>904</v>
      </c>
      <c r="E920">
        <f t="shared" si="57"/>
        <v>0</v>
      </c>
      <c r="F920">
        <f t="shared" si="58"/>
        <v>0</v>
      </c>
      <c r="G920" t="str">
        <f t="shared" si="59"/>
        <v>extra</v>
      </c>
      <c r="J920">
        <v>889</v>
      </c>
      <c r="K920">
        <v>0.42104451288795008</v>
      </c>
    </row>
    <row r="921" spans="1:11" x14ac:dyDescent="0.25">
      <c r="A921" s="3">
        <v>40231</v>
      </c>
      <c r="B921">
        <v>3233.35</v>
      </c>
      <c r="C921">
        <f t="shared" si="56"/>
        <v>0.99448524888659229</v>
      </c>
      <c r="D921">
        <v>905</v>
      </c>
      <c r="E921">
        <f t="shared" si="57"/>
        <v>0</v>
      </c>
      <c r="F921">
        <f t="shared" si="58"/>
        <v>0</v>
      </c>
      <c r="G921" t="str">
        <f t="shared" si="59"/>
        <v>extra</v>
      </c>
      <c r="J921">
        <v>890</v>
      </c>
      <c r="K921">
        <v>0.42109990174750339</v>
      </c>
    </row>
    <row r="922" spans="1:11" x14ac:dyDescent="0.25">
      <c r="A922" s="3">
        <v>40221</v>
      </c>
      <c r="B922">
        <v>3251.28</v>
      </c>
      <c r="C922">
        <f t="shared" si="56"/>
        <v>1.0095888709477083</v>
      </c>
      <c r="D922">
        <v>906</v>
      </c>
      <c r="E922">
        <f t="shared" si="57"/>
        <v>0</v>
      </c>
      <c r="F922">
        <f t="shared" si="58"/>
        <v>0</v>
      </c>
      <c r="G922" t="str">
        <f t="shared" si="59"/>
        <v>extra</v>
      </c>
      <c r="J922">
        <v>891</v>
      </c>
      <c r="K922">
        <v>0.42137496625147125</v>
      </c>
    </row>
    <row r="923" spans="1:11" x14ac:dyDescent="0.25">
      <c r="A923" s="3">
        <v>40220</v>
      </c>
      <c r="B923">
        <v>3220.4</v>
      </c>
      <c r="C923">
        <f t="shared" si="56"/>
        <v>1.0019507611702079</v>
      </c>
      <c r="D923">
        <v>907</v>
      </c>
      <c r="E923">
        <f t="shared" si="57"/>
        <v>0</v>
      </c>
      <c r="F923">
        <f t="shared" si="58"/>
        <v>0</v>
      </c>
      <c r="G923" t="str">
        <f t="shared" si="59"/>
        <v>extra</v>
      </c>
      <c r="J923">
        <v>892</v>
      </c>
      <c r="K923">
        <v>0.42157610589571204</v>
      </c>
    </row>
    <row r="924" spans="1:11" x14ac:dyDescent="0.25">
      <c r="A924" s="3">
        <v>40219</v>
      </c>
      <c r="B924">
        <v>3214.13</v>
      </c>
      <c r="C924">
        <f t="shared" si="56"/>
        <v>1.0141802795035957</v>
      </c>
      <c r="D924">
        <v>908</v>
      </c>
      <c r="E924">
        <f t="shared" si="57"/>
        <v>0</v>
      </c>
      <c r="F924">
        <f t="shared" si="58"/>
        <v>0</v>
      </c>
      <c r="G924" t="str">
        <f t="shared" si="59"/>
        <v>extra</v>
      </c>
      <c r="J924">
        <v>893</v>
      </c>
      <c r="K924">
        <v>0.42157591695401159</v>
      </c>
    </row>
    <row r="925" spans="1:11" x14ac:dyDescent="0.25">
      <c r="A925" s="3">
        <v>40218</v>
      </c>
      <c r="B925">
        <v>3169.19</v>
      </c>
      <c r="C925">
        <f t="shared" si="56"/>
        <v>1.0057759624752856</v>
      </c>
      <c r="D925">
        <v>909</v>
      </c>
      <c r="E925">
        <f t="shared" si="57"/>
        <v>0</v>
      </c>
      <c r="F925">
        <f t="shared" si="58"/>
        <v>0</v>
      </c>
      <c r="G925" t="str">
        <f t="shared" si="59"/>
        <v>extra</v>
      </c>
      <c r="J925">
        <v>894</v>
      </c>
      <c r="K925">
        <v>0.42164350264271605</v>
      </c>
    </row>
    <row r="926" spans="1:11" x14ac:dyDescent="0.25">
      <c r="A926" s="3">
        <v>40217</v>
      </c>
      <c r="B926">
        <v>3150.99</v>
      </c>
      <c r="C926">
        <f t="shared" si="56"/>
        <v>0.99933398666070417</v>
      </c>
      <c r="D926">
        <v>910</v>
      </c>
      <c r="E926">
        <f t="shared" si="57"/>
        <v>0</v>
      </c>
      <c r="F926">
        <f t="shared" si="58"/>
        <v>0</v>
      </c>
      <c r="G926" t="str">
        <f t="shared" si="59"/>
        <v>extra</v>
      </c>
      <c r="J926">
        <v>895</v>
      </c>
      <c r="K926">
        <v>0.42169088162123092</v>
      </c>
    </row>
    <row r="927" spans="1:11" x14ac:dyDescent="0.25">
      <c r="A927" s="3">
        <v>40214</v>
      </c>
      <c r="B927">
        <v>3153.09</v>
      </c>
      <c r="C927">
        <f t="shared" si="56"/>
        <v>0.97958555983596374</v>
      </c>
      <c r="D927">
        <v>911</v>
      </c>
      <c r="E927">
        <f t="shared" si="57"/>
        <v>0</v>
      </c>
      <c r="F927">
        <f t="shared" si="58"/>
        <v>0</v>
      </c>
      <c r="G927" t="str">
        <f t="shared" si="59"/>
        <v>extra</v>
      </c>
      <c r="J927">
        <v>896</v>
      </c>
      <c r="K927">
        <v>0.42177504161203055</v>
      </c>
    </row>
    <row r="928" spans="1:11" x14ac:dyDescent="0.25">
      <c r="A928" s="3">
        <v>40213</v>
      </c>
      <c r="B928">
        <v>3218.8</v>
      </c>
      <c r="C928">
        <f t="shared" si="56"/>
        <v>0.99631041996830438</v>
      </c>
      <c r="D928">
        <v>912</v>
      </c>
      <c r="E928">
        <f t="shared" si="57"/>
        <v>0</v>
      </c>
      <c r="F928">
        <f t="shared" si="58"/>
        <v>0</v>
      </c>
      <c r="G928" t="str">
        <f t="shared" si="59"/>
        <v>extra</v>
      </c>
      <c r="J928">
        <v>897</v>
      </c>
      <c r="K928">
        <v>0.4217865809501144</v>
      </c>
    </row>
    <row r="929" spans="1:11" x14ac:dyDescent="0.25">
      <c r="A929" s="3">
        <v>40212</v>
      </c>
      <c r="B929">
        <v>3230.72</v>
      </c>
      <c r="C929">
        <f t="shared" si="56"/>
        <v>1.0268674174159855</v>
      </c>
      <c r="D929">
        <v>913</v>
      </c>
      <c r="E929">
        <f t="shared" si="57"/>
        <v>0</v>
      </c>
      <c r="F929">
        <f t="shared" si="58"/>
        <v>0</v>
      </c>
      <c r="G929" t="str">
        <f t="shared" si="59"/>
        <v>extra</v>
      </c>
      <c r="J929">
        <v>898</v>
      </c>
      <c r="K929">
        <v>0.42254527883913617</v>
      </c>
    </row>
    <row r="930" spans="1:11" x14ac:dyDescent="0.25">
      <c r="A930" s="3">
        <v>40211</v>
      </c>
      <c r="B930">
        <v>3146.19</v>
      </c>
      <c r="C930">
        <f t="shared" si="56"/>
        <v>0.99793193792007506</v>
      </c>
      <c r="D930">
        <v>914</v>
      </c>
      <c r="E930">
        <f t="shared" si="57"/>
        <v>0</v>
      </c>
      <c r="F930">
        <f t="shared" si="58"/>
        <v>0</v>
      </c>
      <c r="G930" t="str">
        <f t="shared" si="59"/>
        <v>extra</v>
      </c>
      <c r="J930">
        <v>899</v>
      </c>
      <c r="K930">
        <v>0.42261252352372619</v>
      </c>
    </row>
    <row r="931" spans="1:11" x14ac:dyDescent="0.25">
      <c r="A931" s="3">
        <v>40210</v>
      </c>
      <c r="B931">
        <v>3152.71</v>
      </c>
      <c r="C931">
        <f t="shared" si="56"/>
        <v>0.98394274942574655</v>
      </c>
      <c r="D931">
        <v>915</v>
      </c>
      <c r="E931">
        <f t="shared" si="57"/>
        <v>0</v>
      </c>
      <c r="F931">
        <f t="shared" si="58"/>
        <v>0</v>
      </c>
      <c r="G931" t="str">
        <f t="shared" si="59"/>
        <v>extra</v>
      </c>
      <c r="J931">
        <v>900</v>
      </c>
      <c r="K931">
        <v>0.42262727312089254</v>
      </c>
    </row>
    <row r="932" spans="1:11" x14ac:dyDescent="0.25">
      <c r="A932" s="3">
        <v>40207</v>
      </c>
      <c r="B932">
        <v>3204.16</v>
      </c>
      <c r="C932">
        <f t="shared" si="56"/>
        <v>0.99924841809160558</v>
      </c>
      <c r="D932">
        <v>916</v>
      </c>
      <c r="E932">
        <f t="shared" si="57"/>
        <v>0</v>
      </c>
      <c r="F932">
        <f t="shared" si="58"/>
        <v>0</v>
      </c>
      <c r="G932" t="str">
        <f t="shared" si="59"/>
        <v>extra</v>
      </c>
      <c r="J932">
        <v>901</v>
      </c>
      <c r="K932">
        <v>0.42283709764143368</v>
      </c>
    </row>
    <row r="933" spans="1:11" x14ac:dyDescent="0.25">
      <c r="A933" s="3">
        <v>40206</v>
      </c>
      <c r="B933">
        <v>3206.57</v>
      </c>
      <c r="C933">
        <f t="shared" si="56"/>
        <v>1.0025011176869663</v>
      </c>
      <c r="D933">
        <v>917</v>
      </c>
      <c r="E933">
        <f t="shared" si="57"/>
        <v>0</v>
      </c>
      <c r="F933">
        <f t="shared" si="58"/>
        <v>0</v>
      </c>
      <c r="G933" t="str">
        <f t="shared" si="59"/>
        <v>extra</v>
      </c>
      <c r="J933">
        <v>902</v>
      </c>
      <c r="K933">
        <v>0.42284593440781099</v>
      </c>
    </row>
    <row r="934" spans="1:11" x14ac:dyDescent="0.25">
      <c r="A934" s="3">
        <v>40205</v>
      </c>
      <c r="B934">
        <v>3198.57</v>
      </c>
      <c r="C934">
        <f t="shared" si="56"/>
        <v>0.98636055260885658</v>
      </c>
      <c r="D934">
        <v>918</v>
      </c>
      <c r="E934">
        <f t="shared" si="57"/>
        <v>0</v>
      </c>
      <c r="F934">
        <f t="shared" si="58"/>
        <v>0</v>
      </c>
      <c r="G934" t="str">
        <f t="shared" si="59"/>
        <v>extra</v>
      </c>
      <c r="J934">
        <v>903</v>
      </c>
      <c r="K934">
        <v>0.42311003205743952</v>
      </c>
    </row>
    <row r="935" spans="1:11" x14ac:dyDescent="0.25">
      <c r="A935" s="3">
        <v>40204</v>
      </c>
      <c r="B935">
        <v>3242.8</v>
      </c>
      <c r="C935">
        <f t="shared" si="56"/>
        <v>0.97439611058860998</v>
      </c>
      <c r="D935">
        <v>919</v>
      </c>
      <c r="E935">
        <f t="shared" si="57"/>
        <v>0</v>
      </c>
      <c r="F935">
        <f t="shared" si="58"/>
        <v>0</v>
      </c>
      <c r="G935" t="str">
        <f t="shared" si="59"/>
        <v>extra</v>
      </c>
      <c r="J935">
        <v>904</v>
      </c>
      <c r="K935">
        <v>0.4233612591762676</v>
      </c>
    </row>
    <row r="936" spans="1:11" x14ac:dyDescent="0.25">
      <c r="A936" s="3">
        <v>40203</v>
      </c>
      <c r="B936">
        <v>3328.01</v>
      </c>
      <c r="C936">
        <f t="shared" si="56"/>
        <v>0.98865486305032391</v>
      </c>
      <c r="D936">
        <v>920</v>
      </c>
      <c r="E936">
        <f t="shared" si="57"/>
        <v>0</v>
      </c>
      <c r="F936">
        <f t="shared" si="58"/>
        <v>0</v>
      </c>
      <c r="G936" t="str">
        <f t="shared" si="59"/>
        <v>extra</v>
      </c>
      <c r="J936">
        <v>905</v>
      </c>
      <c r="K936">
        <v>0.42348995995737199</v>
      </c>
    </row>
    <row r="937" spans="1:11" x14ac:dyDescent="0.25">
      <c r="A937" s="3">
        <v>40200</v>
      </c>
      <c r="B937">
        <v>3366.2</v>
      </c>
      <c r="C937">
        <f t="shared" si="56"/>
        <v>0.98756956729654943</v>
      </c>
      <c r="D937">
        <v>921</v>
      </c>
      <c r="E937">
        <f t="shared" si="57"/>
        <v>0</v>
      </c>
      <c r="F937">
        <f t="shared" si="58"/>
        <v>0</v>
      </c>
      <c r="G937" t="str">
        <f t="shared" si="59"/>
        <v>extra</v>
      </c>
      <c r="J937">
        <v>906</v>
      </c>
      <c r="K937">
        <v>0.42352112402934694</v>
      </c>
    </row>
    <row r="938" spans="1:11" x14ac:dyDescent="0.25">
      <c r="A938" s="3">
        <v>40199</v>
      </c>
      <c r="B938">
        <v>3408.57</v>
      </c>
      <c r="C938">
        <f t="shared" si="56"/>
        <v>1.0041656478407275</v>
      </c>
      <c r="D938">
        <v>922</v>
      </c>
      <c r="E938">
        <f t="shared" si="57"/>
        <v>0</v>
      </c>
      <c r="F938">
        <f t="shared" si="58"/>
        <v>0</v>
      </c>
      <c r="G938" t="str">
        <f t="shared" si="59"/>
        <v>extra</v>
      </c>
      <c r="J938">
        <v>907</v>
      </c>
      <c r="K938">
        <v>0.42363646446382902</v>
      </c>
    </row>
    <row r="939" spans="1:11" x14ac:dyDescent="0.25">
      <c r="A939" s="3">
        <v>40198</v>
      </c>
      <c r="B939">
        <v>3394.43</v>
      </c>
      <c r="C939">
        <f t="shared" si="56"/>
        <v>0.96776888250253734</v>
      </c>
      <c r="D939">
        <v>923</v>
      </c>
      <c r="E939">
        <f t="shared" si="57"/>
        <v>0</v>
      </c>
      <c r="F939">
        <f t="shared" si="58"/>
        <v>0</v>
      </c>
      <c r="G939" t="str">
        <f t="shared" si="59"/>
        <v>extra</v>
      </c>
      <c r="J939">
        <v>908</v>
      </c>
      <c r="K939">
        <v>0.4236421792402234</v>
      </c>
    </row>
    <row r="940" spans="1:11" x14ac:dyDescent="0.25">
      <c r="A940" s="3">
        <v>40197</v>
      </c>
      <c r="B940">
        <v>3507.48</v>
      </c>
      <c r="C940">
        <f t="shared" si="56"/>
        <v>1.0019424797467922</v>
      </c>
      <c r="D940">
        <v>924</v>
      </c>
      <c r="E940">
        <f t="shared" si="57"/>
        <v>0</v>
      </c>
      <c r="F940">
        <f t="shared" si="58"/>
        <v>0</v>
      </c>
      <c r="G940" t="str">
        <f t="shared" si="59"/>
        <v>extra</v>
      </c>
      <c r="J940">
        <v>909</v>
      </c>
      <c r="K940">
        <v>0.42388746964833052</v>
      </c>
    </row>
    <row r="941" spans="1:11" x14ac:dyDescent="0.25">
      <c r="A941" s="3">
        <v>40196</v>
      </c>
      <c r="B941">
        <v>3500.68</v>
      </c>
      <c r="C941">
        <f t="shared" si="56"/>
        <v>1.0051511166495346</v>
      </c>
      <c r="D941">
        <v>925</v>
      </c>
      <c r="E941">
        <f t="shared" si="57"/>
        <v>0</v>
      </c>
      <c r="F941">
        <f t="shared" si="58"/>
        <v>0</v>
      </c>
      <c r="G941" t="str">
        <f t="shared" si="59"/>
        <v>extra</v>
      </c>
      <c r="J941">
        <v>910</v>
      </c>
      <c r="K941">
        <v>0.4239307260692195</v>
      </c>
    </row>
    <row r="942" spans="1:11" x14ac:dyDescent="0.25">
      <c r="A942" s="3">
        <v>40193</v>
      </c>
      <c r="B942">
        <v>3482.74</v>
      </c>
      <c r="C942">
        <f t="shared" si="56"/>
        <v>1.0039463253628513</v>
      </c>
      <c r="D942">
        <v>926</v>
      </c>
      <c r="E942">
        <f t="shared" si="57"/>
        <v>0</v>
      </c>
      <c r="F942">
        <f t="shared" si="58"/>
        <v>0</v>
      </c>
      <c r="G942" t="str">
        <f t="shared" si="59"/>
        <v>extra</v>
      </c>
      <c r="J942">
        <v>911</v>
      </c>
      <c r="K942">
        <v>0.42393035322687012</v>
      </c>
    </row>
    <row r="943" spans="1:11" x14ac:dyDescent="0.25">
      <c r="A943" s="3">
        <v>40192</v>
      </c>
      <c r="B943">
        <v>3469.05</v>
      </c>
      <c r="C943">
        <f t="shared" si="56"/>
        <v>1.014004103895193</v>
      </c>
      <c r="D943">
        <v>927</v>
      </c>
      <c r="E943">
        <f t="shared" si="57"/>
        <v>0</v>
      </c>
      <c r="F943">
        <f t="shared" si="58"/>
        <v>0</v>
      </c>
      <c r="G943" t="str">
        <f t="shared" si="59"/>
        <v>extra</v>
      </c>
      <c r="J943">
        <v>912</v>
      </c>
      <c r="K943">
        <v>0.4244162754900378</v>
      </c>
    </row>
    <row r="944" spans="1:11" x14ac:dyDescent="0.25">
      <c r="A944" s="3">
        <v>40191</v>
      </c>
      <c r="B944">
        <v>3421.14</v>
      </c>
      <c r="C944">
        <f t="shared" si="56"/>
        <v>0.96781256718681041</v>
      </c>
      <c r="D944">
        <v>928</v>
      </c>
      <c r="E944">
        <f t="shared" si="57"/>
        <v>0</v>
      </c>
      <c r="F944">
        <f t="shared" si="58"/>
        <v>0</v>
      </c>
      <c r="G944" t="str">
        <f t="shared" si="59"/>
        <v>extra</v>
      </c>
      <c r="J944">
        <v>913</v>
      </c>
      <c r="K944">
        <v>0.4244290112607525</v>
      </c>
    </row>
    <row r="945" spans="1:11" x14ac:dyDescent="0.25">
      <c r="A945" s="3">
        <v>40190</v>
      </c>
      <c r="B945">
        <v>3534.92</v>
      </c>
      <c r="C945">
        <f t="shared" si="56"/>
        <v>1.015183584382763</v>
      </c>
      <c r="D945">
        <v>929</v>
      </c>
      <c r="E945">
        <f t="shared" si="57"/>
        <v>0</v>
      </c>
      <c r="F945">
        <f t="shared" si="58"/>
        <v>0</v>
      </c>
      <c r="G945" t="str">
        <f t="shared" si="59"/>
        <v>extra</v>
      </c>
      <c r="J945">
        <v>914</v>
      </c>
      <c r="K945">
        <v>0.42527859420408831</v>
      </c>
    </row>
    <row r="946" spans="1:11" x14ac:dyDescent="0.25">
      <c r="A946" s="3">
        <v>40189</v>
      </c>
      <c r="B946">
        <v>3482.05</v>
      </c>
      <c r="C946">
        <f t="shared" si="56"/>
        <v>1.0005517035283165</v>
      </c>
      <c r="D946">
        <v>930</v>
      </c>
      <c r="E946">
        <f t="shared" si="57"/>
        <v>0</v>
      </c>
      <c r="F946">
        <f t="shared" si="58"/>
        <v>0</v>
      </c>
      <c r="G946" t="str">
        <f t="shared" si="59"/>
        <v>extra</v>
      </c>
      <c r="J946">
        <v>915</v>
      </c>
      <c r="K946">
        <v>0.42528169305062424</v>
      </c>
    </row>
    <row r="947" spans="1:11" x14ac:dyDescent="0.25">
      <c r="A947" s="3">
        <v>40186</v>
      </c>
      <c r="B947">
        <v>3480.13</v>
      </c>
      <c r="C947">
        <f t="shared" si="56"/>
        <v>1.0024975082530116</v>
      </c>
      <c r="D947">
        <v>931</v>
      </c>
      <c r="E947">
        <f t="shared" si="57"/>
        <v>0</v>
      </c>
      <c r="F947">
        <f t="shared" si="58"/>
        <v>0</v>
      </c>
      <c r="G947" t="str">
        <f t="shared" si="59"/>
        <v>extra</v>
      </c>
      <c r="J947">
        <v>916</v>
      </c>
      <c r="K947">
        <v>0.42557737719988109</v>
      </c>
    </row>
    <row r="948" spans="1:11" x14ac:dyDescent="0.25">
      <c r="A948" s="3">
        <v>40185</v>
      </c>
      <c r="B948">
        <v>3471.46</v>
      </c>
      <c r="C948">
        <f t="shared" si="56"/>
        <v>0.98015941361989767</v>
      </c>
      <c r="D948">
        <v>932</v>
      </c>
      <c r="E948">
        <f t="shared" si="57"/>
        <v>0</v>
      </c>
      <c r="F948">
        <f t="shared" si="58"/>
        <v>0</v>
      </c>
      <c r="G948" t="str">
        <f t="shared" si="59"/>
        <v>extra</v>
      </c>
      <c r="J948">
        <v>917</v>
      </c>
      <c r="K948">
        <v>0.42557707040956783</v>
      </c>
    </row>
    <row r="949" spans="1:11" x14ac:dyDescent="0.25">
      <c r="A949" s="3">
        <v>40184</v>
      </c>
      <c r="B949">
        <v>3541.73</v>
      </c>
      <c r="C949">
        <f t="shared" si="56"/>
        <v>0.9937402498288459</v>
      </c>
      <c r="D949">
        <v>933</v>
      </c>
      <c r="E949">
        <f t="shared" si="57"/>
        <v>0</v>
      </c>
      <c r="F949">
        <f t="shared" si="58"/>
        <v>0</v>
      </c>
      <c r="G949" t="str">
        <f t="shared" si="59"/>
        <v>extra</v>
      </c>
      <c r="J949">
        <v>918</v>
      </c>
      <c r="K949">
        <v>0.42558602965304465</v>
      </c>
    </row>
    <row r="950" spans="1:11" x14ac:dyDescent="0.25">
      <c r="A950" s="3">
        <v>40183</v>
      </c>
      <c r="B950">
        <v>3564.04</v>
      </c>
      <c r="C950">
        <f t="shared" si="56"/>
        <v>1.0081493990490011</v>
      </c>
      <c r="D950">
        <v>934</v>
      </c>
      <c r="E950">
        <f t="shared" si="57"/>
        <v>0</v>
      </c>
      <c r="F950">
        <f t="shared" si="58"/>
        <v>0</v>
      </c>
      <c r="G950" t="str">
        <f t="shared" si="59"/>
        <v>extra</v>
      </c>
      <c r="J950">
        <v>919</v>
      </c>
      <c r="K950">
        <v>0.4257965780975671</v>
      </c>
    </row>
    <row r="951" spans="1:11" x14ac:dyDescent="0.25">
      <c r="A951" s="3">
        <v>40182</v>
      </c>
      <c r="B951">
        <v>3535.23</v>
      </c>
      <c r="C951">
        <f t="shared" si="56"/>
        <v>0.98868746643994998</v>
      </c>
      <c r="D951">
        <v>935</v>
      </c>
      <c r="E951">
        <f t="shared" si="57"/>
        <v>0</v>
      </c>
      <c r="F951">
        <f t="shared" si="58"/>
        <v>0</v>
      </c>
      <c r="G951" t="str">
        <f t="shared" si="59"/>
        <v>extra</v>
      </c>
      <c r="J951">
        <v>920</v>
      </c>
      <c r="K951">
        <v>0.42656500005217118</v>
      </c>
    </row>
    <row r="952" spans="1:11" x14ac:dyDescent="0.25">
      <c r="A952" s="3">
        <v>40178</v>
      </c>
      <c r="B952">
        <v>3575.68</v>
      </c>
      <c r="C952">
        <f t="shared" si="56"/>
        <v>1.0047262325576167</v>
      </c>
      <c r="D952">
        <v>936</v>
      </c>
      <c r="E952">
        <f t="shared" si="57"/>
        <v>0</v>
      </c>
      <c r="F952">
        <f t="shared" si="58"/>
        <v>0</v>
      </c>
      <c r="G952" t="str">
        <f t="shared" si="59"/>
        <v>extra</v>
      </c>
      <c r="J952">
        <v>921</v>
      </c>
      <c r="K952">
        <v>0.42670727600381342</v>
      </c>
    </row>
    <row r="953" spans="1:11" x14ac:dyDescent="0.25">
      <c r="A953" s="3">
        <v>40177</v>
      </c>
      <c r="B953">
        <v>3558.86</v>
      </c>
      <c r="C953">
        <f t="shared" si="56"/>
        <v>1.0166022041054179</v>
      </c>
      <c r="D953">
        <v>937</v>
      </c>
      <c r="E953">
        <f t="shared" si="57"/>
        <v>0</v>
      </c>
      <c r="F953">
        <f t="shared" si="58"/>
        <v>0</v>
      </c>
      <c r="G953" t="str">
        <f t="shared" si="59"/>
        <v>extra</v>
      </c>
      <c r="J953">
        <v>922</v>
      </c>
      <c r="K953">
        <v>0.42687899495721726</v>
      </c>
    </row>
    <row r="954" spans="1:11" x14ac:dyDescent="0.25">
      <c r="A954" s="3">
        <v>40176</v>
      </c>
      <c r="B954">
        <v>3500.74</v>
      </c>
      <c r="C954">
        <f t="shared" si="56"/>
        <v>1.0064138131283367</v>
      </c>
      <c r="D954">
        <v>938</v>
      </c>
      <c r="E954">
        <f t="shared" si="57"/>
        <v>0</v>
      </c>
      <c r="F954">
        <f t="shared" si="58"/>
        <v>0</v>
      </c>
      <c r="G954" t="str">
        <f t="shared" si="59"/>
        <v>extra</v>
      </c>
      <c r="J954">
        <v>923</v>
      </c>
      <c r="K954">
        <v>0.42690287802109622</v>
      </c>
    </row>
    <row r="955" spans="1:11" x14ac:dyDescent="0.25">
      <c r="A955" s="3">
        <v>40175</v>
      </c>
      <c r="B955">
        <v>3478.43</v>
      </c>
      <c r="C955">
        <f t="shared" si="56"/>
        <v>1.0156652398110242</v>
      </c>
      <c r="D955">
        <v>939</v>
      </c>
      <c r="E955">
        <f t="shared" si="57"/>
        <v>0</v>
      </c>
      <c r="F955">
        <f t="shared" si="58"/>
        <v>0</v>
      </c>
      <c r="G955" t="str">
        <f t="shared" si="59"/>
        <v>extra</v>
      </c>
      <c r="J955">
        <v>924</v>
      </c>
      <c r="K955">
        <v>0.42812868267563486</v>
      </c>
    </row>
    <row r="956" spans="1:11" x14ac:dyDescent="0.25">
      <c r="A956" s="3">
        <v>40172</v>
      </c>
      <c r="B956">
        <v>3424.78</v>
      </c>
      <c r="C956">
        <f t="shared" si="56"/>
        <v>0.99591720415723994</v>
      </c>
      <c r="D956">
        <v>940</v>
      </c>
      <c r="E956">
        <f t="shared" si="57"/>
        <v>0</v>
      </c>
      <c r="F956">
        <f t="shared" si="58"/>
        <v>0</v>
      </c>
      <c r="G956" t="str">
        <f t="shared" si="59"/>
        <v>extra</v>
      </c>
      <c r="J956">
        <v>925</v>
      </c>
      <c r="K956">
        <v>0.42813477058736316</v>
      </c>
    </row>
    <row r="957" spans="1:11" x14ac:dyDescent="0.25">
      <c r="A957" s="3">
        <v>40171</v>
      </c>
      <c r="B957">
        <v>3438.82</v>
      </c>
      <c r="C957">
        <f t="shared" si="56"/>
        <v>1.0306730446458543</v>
      </c>
      <c r="D957">
        <v>941</v>
      </c>
      <c r="E957">
        <f t="shared" si="57"/>
        <v>0</v>
      </c>
      <c r="F957">
        <f t="shared" si="58"/>
        <v>0</v>
      </c>
      <c r="G957" t="str">
        <f t="shared" si="59"/>
        <v>extra</v>
      </c>
      <c r="J957">
        <v>926</v>
      </c>
      <c r="K957">
        <v>0.42817052541117456</v>
      </c>
    </row>
    <row r="958" spans="1:11" x14ac:dyDescent="0.25">
      <c r="A958" s="3">
        <v>40170</v>
      </c>
      <c r="B958">
        <v>3336.48</v>
      </c>
      <c r="C958">
        <f t="shared" si="56"/>
        <v>1.0093600440472661</v>
      </c>
      <c r="D958">
        <v>942</v>
      </c>
      <c r="E958">
        <f t="shared" si="57"/>
        <v>0</v>
      </c>
      <c r="F958">
        <f t="shared" si="58"/>
        <v>0</v>
      </c>
      <c r="G958" t="str">
        <f t="shared" si="59"/>
        <v>extra</v>
      </c>
      <c r="J958">
        <v>927</v>
      </c>
      <c r="K958">
        <v>0.42819228353201577</v>
      </c>
    </row>
    <row r="959" spans="1:11" x14ac:dyDescent="0.25">
      <c r="A959" s="3">
        <v>40169</v>
      </c>
      <c r="B959">
        <v>3305.54</v>
      </c>
      <c r="C959">
        <f t="shared" si="56"/>
        <v>0.97318510754809195</v>
      </c>
      <c r="D959">
        <v>943</v>
      </c>
      <c r="E959">
        <f t="shared" si="57"/>
        <v>0</v>
      </c>
      <c r="F959">
        <f t="shared" si="58"/>
        <v>0</v>
      </c>
      <c r="G959" t="str">
        <f t="shared" si="59"/>
        <v>extra</v>
      </c>
      <c r="J959">
        <v>928</v>
      </c>
      <c r="K959">
        <v>0.42843166871325811</v>
      </c>
    </row>
    <row r="960" spans="1:11" x14ac:dyDescent="0.25">
      <c r="A960" s="3">
        <v>40168</v>
      </c>
      <c r="B960">
        <v>3396.62</v>
      </c>
      <c r="C960">
        <f t="shared" si="56"/>
        <v>1.0014387895298578</v>
      </c>
      <c r="D960">
        <v>944</v>
      </c>
      <c r="E960">
        <f t="shared" si="57"/>
        <v>0</v>
      </c>
      <c r="F960">
        <f t="shared" si="58"/>
        <v>0</v>
      </c>
      <c r="G960" t="str">
        <f t="shared" si="59"/>
        <v>extra</v>
      </c>
      <c r="J960">
        <v>929</v>
      </c>
      <c r="K960">
        <v>0.42964923029746976</v>
      </c>
    </row>
    <row r="961" spans="1:11" x14ac:dyDescent="0.25">
      <c r="A961" s="3">
        <v>40165</v>
      </c>
      <c r="B961">
        <v>3391.74</v>
      </c>
      <c r="C961">
        <f t="shared" si="56"/>
        <v>0.97459592258954342</v>
      </c>
      <c r="D961">
        <v>945</v>
      </c>
      <c r="E961">
        <f t="shared" si="57"/>
        <v>0</v>
      </c>
      <c r="F961">
        <f t="shared" si="58"/>
        <v>0</v>
      </c>
      <c r="G961" t="str">
        <f t="shared" si="59"/>
        <v>extra</v>
      </c>
      <c r="J961">
        <v>930</v>
      </c>
      <c r="K961">
        <v>0.42992885861401087</v>
      </c>
    </row>
    <row r="962" spans="1:11" x14ac:dyDescent="0.25">
      <c r="A962" s="3">
        <v>40164</v>
      </c>
      <c r="B962">
        <v>3480.15</v>
      </c>
      <c r="C962">
        <f t="shared" si="56"/>
        <v>0.97737255386551047</v>
      </c>
      <c r="D962">
        <v>946</v>
      </c>
      <c r="E962">
        <f t="shared" si="57"/>
        <v>0</v>
      </c>
      <c r="F962">
        <f t="shared" si="58"/>
        <v>0</v>
      </c>
      <c r="G962" t="str">
        <f t="shared" si="59"/>
        <v>extra</v>
      </c>
      <c r="J962">
        <v>931</v>
      </c>
      <c r="K962">
        <v>0.42992946654966419</v>
      </c>
    </row>
    <row r="963" spans="1:11" x14ac:dyDescent="0.25">
      <c r="A963" s="3">
        <v>40163</v>
      </c>
      <c r="B963">
        <v>3560.72</v>
      </c>
      <c r="C963">
        <f t="shared" si="56"/>
        <v>0.99368745360473743</v>
      </c>
      <c r="D963">
        <v>947</v>
      </c>
      <c r="E963">
        <f t="shared" si="57"/>
        <v>0</v>
      </c>
      <c r="F963">
        <f t="shared" si="58"/>
        <v>0</v>
      </c>
      <c r="G963" t="str">
        <f t="shared" si="59"/>
        <v>extra</v>
      </c>
      <c r="J963">
        <v>932</v>
      </c>
      <c r="K963">
        <v>0.42993887124418212</v>
      </c>
    </row>
    <row r="964" spans="1:11" x14ac:dyDescent="0.25">
      <c r="A964" s="3">
        <v>40162</v>
      </c>
      <c r="B964">
        <v>3583.34</v>
      </c>
      <c r="C964">
        <f t="shared" si="56"/>
        <v>0.99185938689364062</v>
      </c>
      <c r="D964">
        <v>948</v>
      </c>
      <c r="E964">
        <f t="shared" si="57"/>
        <v>0</v>
      </c>
      <c r="F964">
        <f t="shared" si="58"/>
        <v>0</v>
      </c>
      <c r="G964" t="str">
        <f t="shared" si="59"/>
        <v>extra</v>
      </c>
      <c r="J964">
        <v>933</v>
      </c>
      <c r="K964">
        <v>0.43038635651160867</v>
      </c>
    </row>
    <row r="965" spans="1:11" x14ac:dyDescent="0.25">
      <c r="A965" s="3">
        <v>40161</v>
      </c>
      <c r="B965">
        <v>3612.75</v>
      </c>
      <c r="C965">
        <f t="shared" si="56"/>
        <v>1.0105537871116805</v>
      </c>
      <c r="D965">
        <v>949</v>
      </c>
      <c r="E965">
        <f t="shared" si="57"/>
        <v>0</v>
      </c>
      <c r="F965">
        <f t="shared" si="58"/>
        <v>0</v>
      </c>
      <c r="G965" t="str">
        <f t="shared" si="59"/>
        <v>extra</v>
      </c>
      <c r="J965">
        <v>934</v>
      </c>
      <c r="K965">
        <v>0.43042551928305411</v>
      </c>
    </row>
    <row r="966" spans="1:11" x14ac:dyDescent="0.25">
      <c r="A966" s="3">
        <v>40158</v>
      </c>
      <c r="B966">
        <v>3575.02</v>
      </c>
      <c r="C966">
        <f t="shared" si="56"/>
        <v>0.99937940982433393</v>
      </c>
      <c r="D966">
        <v>950</v>
      </c>
      <c r="E966">
        <f t="shared" si="57"/>
        <v>0</v>
      </c>
      <c r="F966">
        <f t="shared" si="58"/>
        <v>0</v>
      </c>
      <c r="G966" t="str">
        <f t="shared" si="59"/>
        <v>extra</v>
      </c>
      <c r="J966">
        <v>935</v>
      </c>
      <c r="K966">
        <v>0.43051027408054549</v>
      </c>
    </row>
    <row r="967" spans="1:11" x14ac:dyDescent="0.25">
      <c r="A967" s="3">
        <v>40157</v>
      </c>
      <c r="B967">
        <v>3577.24</v>
      </c>
      <c r="C967">
        <f t="shared" si="56"/>
        <v>1.0064031869640566</v>
      </c>
      <c r="D967">
        <v>951</v>
      </c>
      <c r="E967">
        <f t="shared" si="57"/>
        <v>0</v>
      </c>
      <c r="F967">
        <f t="shared" si="58"/>
        <v>0</v>
      </c>
      <c r="G967" t="str">
        <f t="shared" si="59"/>
        <v>extra</v>
      </c>
      <c r="J967">
        <v>936</v>
      </c>
      <c r="K967">
        <v>0.43064891252513948</v>
      </c>
    </row>
    <row r="968" spans="1:11" x14ac:dyDescent="0.25">
      <c r="A968" s="3">
        <v>40156</v>
      </c>
      <c r="B968">
        <v>3554.48</v>
      </c>
      <c r="C968">
        <f t="shared" si="56"/>
        <v>0.98081136417569437</v>
      </c>
      <c r="D968">
        <v>952</v>
      </c>
      <c r="E968">
        <f t="shared" si="57"/>
        <v>0</v>
      </c>
      <c r="F968">
        <f t="shared" si="58"/>
        <v>0</v>
      </c>
      <c r="G968" t="str">
        <f t="shared" si="59"/>
        <v>extra</v>
      </c>
      <c r="J968">
        <v>937</v>
      </c>
      <c r="K968">
        <v>0.43067940997676846</v>
      </c>
    </row>
    <row r="969" spans="1:11" x14ac:dyDescent="0.25">
      <c r="A969" s="3">
        <v>40155</v>
      </c>
      <c r="B969">
        <v>3624.02</v>
      </c>
      <c r="C969">
        <f t="shared" si="56"/>
        <v>0.98778629699386455</v>
      </c>
      <c r="D969">
        <v>953</v>
      </c>
      <c r="E969">
        <f t="shared" si="57"/>
        <v>0</v>
      </c>
      <c r="F969">
        <f t="shared" si="58"/>
        <v>0</v>
      </c>
      <c r="G969" t="str">
        <f t="shared" si="59"/>
        <v>extra</v>
      </c>
      <c r="J969">
        <v>938</v>
      </c>
      <c r="K969">
        <v>0.43101107808290151</v>
      </c>
    </row>
    <row r="970" spans="1:11" x14ac:dyDescent="0.25">
      <c r="A970" s="3">
        <v>40154</v>
      </c>
      <c r="B970">
        <v>3668.83</v>
      </c>
      <c r="C970">
        <f t="shared" si="56"/>
        <v>1.006954870193139</v>
      </c>
      <c r="D970">
        <v>954</v>
      </c>
      <c r="E970">
        <f t="shared" si="57"/>
        <v>0</v>
      </c>
      <c r="F970">
        <f t="shared" si="58"/>
        <v>0</v>
      </c>
      <c r="G970" t="str">
        <f t="shared" si="59"/>
        <v>extra</v>
      </c>
      <c r="J970">
        <v>939</v>
      </c>
      <c r="K970">
        <v>0.43106457318657393</v>
      </c>
    </row>
    <row r="971" spans="1:11" x14ac:dyDescent="0.25">
      <c r="A971" s="3">
        <v>40151</v>
      </c>
      <c r="B971">
        <v>3643.49</v>
      </c>
      <c r="C971">
        <f t="shared" si="56"/>
        <v>1.0146510047676334</v>
      </c>
      <c r="D971">
        <v>955</v>
      </c>
      <c r="E971">
        <f t="shared" si="57"/>
        <v>0</v>
      </c>
      <c r="F971">
        <f t="shared" si="58"/>
        <v>0</v>
      </c>
      <c r="G971" t="str">
        <f t="shared" si="59"/>
        <v>extra</v>
      </c>
      <c r="J971">
        <v>940</v>
      </c>
      <c r="K971">
        <v>0.4313598116653069</v>
      </c>
    </row>
    <row r="972" spans="1:11" x14ac:dyDescent="0.25">
      <c r="A972" s="3">
        <v>40150</v>
      </c>
      <c r="B972">
        <v>3590.88</v>
      </c>
      <c r="C972">
        <f t="shared" si="56"/>
        <v>0.99820700352761638</v>
      </c>
      <c r="D972">
        <v>956</v>
      </c>
      <c r="E972">
        <f t="shared" si="57"/>
        <v>0</v>
      </c>
      <c r="F972">
        <f t="shared" si="58"/>
        <v>0</v>
      </c>
      <c r="G972" t="str">
        <f t="shared" si="59"/>
        <v>extra</v>
      </c>
      <c r="J972">
        <v>941</v>
      </c>
      <c r="K972">
        <v>0.43137512563159752</v>
      </c>
    </row>
    <row r="973" spans="1:11" x14ac:dyDescent="0.25">
      <c r="A973" s="3">
        <v>40149</v>
      </c>
      <c r="B973">
        <v>3597.33</v>
      </c>
      <c r="C973">
        <f t="shared" si="56"/>
        <v>1.0102504191438513</v>
      </c>
      <c r="D973">
        <v>957</v>
      </c>
      <c r="E973">
        <f t="shared" si="57"/>
        <v>0</v>
      </c>
      <c r="F973">
        <f t="shared" si="58"/>
        <v>0</v>
      </c>
      <c r="G973" t="str">
        <f t="shared" si="59"/>
        <v>extra</v>
      </c>
      <c r="J973">
        <v>942</v>
      </c>
      <c r="K973">
        <v>0.43246093185484669</v>
      </c>
    </row>
    <row r="974" spans="1:11" x14ac:dyDescent="0.25">
      <c r="A974" s="3">
        <v>40148</v>
      </c>
      <c r="B974">
        <v>3560.83</v>
      </c>
      <c r="C974">
        <f t="shared" si="56"/>
        <v>1.013999037494981</v>
      </c>
      <c r="D974">
        <v>958</v>
      </c>
      <c r="E974">
        <f t="shared" si="57"/>
        <v>0</v>
      </c>
      <c r="F974">
        <f t="shared" si="58"/>
        <v>0</v>
      </c>
      <c r="G974" t="str">
        <f t="shared" si="59"/>
        <v>extra</v>
      </c>
      <c r="J974">
        <v>943</v>
      </c>
      <c r="K974">
        <v>0.43256907580302534</v>
      </c>
    </row>
    <row r="975" spans="1:11" x14ac:dyDescent="0.25">
      <c r="A975" s="3">
        <v>40147</v>
      </c>
      <c r="B975">
        <v>3511.67</v>
      </c>
      <c r="C975">
        <f t="shared" si="56"/>
        <v>1.0381846616861443</v>
      </c>
      <c r="D975">
        <v>959</v>
      </c>
      <c r="E975">
        <f t="shared" si="57"/>
        <v>0</v>
      </c>
      <c r="F975">
        <f t="shared" si="58"/>
        <v>0</v>
      </c>
      <c r="G975" t="str">
        <f t="shared" si="59"/>
        <v>extra</v>
      </c>
      <c r="J975">
        <v>944</v>
      </c>
      <c r="K975">
        <v>0.43340005929047265</v>
      </c>
    </row>
    <row r="976" spans="1:11" x14ac:dyDescent="0.25">
      <c r="A976" s="3">
        <v>40144</v>
      </c>
      <c r="B976">
        <v>3382.51</v>
      </c>
      <c r="C976">
        <f t="shared" si="56"/>
        <v>0.97037670299532108</v>
      </c>
      <c r="D976">
        <v>960</v>
      </c>
      <c r="E976">
        <f t="shared" si="57"/>
        <v>0</v>
      </c>
      <c r="F976">
        <f t="shared" si="58"/>
        <v>0</v>
      </c>
      <c r="G976" t="str">
        <f t="shared" si="59"/>
        <v>extra</v>
      </c>
      <c r="J976">
        <v>945</v>
      </c>
      <c r="K976">
        <v>0.4334034318231727</v>
      </c>
    </row>
    <row r="977" spans="1:11" x14ac:dyDescent="0.25">
      <c r="A977" s="3">
        <v>40143</v>
      </c>
      <c r="B977">
        <v>3485.77</v>
      </c>
      <c r="C977">
        <f t="shared" si="56"/>
        <v>0.96036510608519321</v>
      </c>
      <c r="D977">
        <v>961</v>
      </c>
      <c r="E977">
        <f t="shared" si="57"/>
        <v>0</v>
      </c>
      <c r="F977">
        <f t="shared" si="58"/>
        <v>0</v>
      </c>
      <c r="G977" t="str">
        <f t="shared" si="59"/>
        <v>extra</v>
      </c>
      <c r="J977">
        <v>946</v>
      </c>
      <c r="K977">
        <v>0.43414411194472641</v>
      </c>
    </row>
    <row r="978" spans="1:11" x14ac:dyDescent="0.25">
      <c r="A978" s="3">
        <v>40142</v>
      </c>
      <c r="B978">
        <v>3629.63</v>
      </c>
      <c r="C978">
        <f t="shared" ref="C978:C1041" si="60">B978/B979</f>
        <v>1.0229842619106673</v>
      </c>
      <c r="D978">
        <v>962</v>
      </c>
      <c r="E978">
        <f t="shared" ref="E978:E1041" si="61">IF(D978&gt;$B$6,0,LN(C978))</f>
        <v>0</v>
      </c>
      <c r="F978">
        <f t="shared" ref="F978:F1041" si="62">IF(D978&gt;$B$6,0,(E978-$B$7)^2)</f>
        <v>0</v>
      </c>
      <c r="G978" t="str">
        <f t="shared" ref="G978:G1041" si="63">IF(D978&lt;=$B$6,E978,"extra")</f>
        <v>extra</v>
      </c>
      <c r="J978">
        <v>947</v>
      </c>
      <c r="K978">
        <v>0.43472545525135176</v>
      </c>
    </row>
    <row r="979" spans="1:11" x14ac:dyDescent="0.25">
      <c r="A979" s="3">
        <v>40141</v>
      </c>
      <c r="B979">
        <v>3548.08</v>
      </c>
      <c r="C979">
        <f t="shared" si="60"/>
        <v>0.96796353031365345</v>
      </c>
      <c r="D979">
        <v>963</v>
      </c>
      <c r="E979">
        <f t="shared" si="61"/>
        <v>0</v>
      </c>
      <c r="F979">
        <f t="shared" si="62"/>
        <v>0</v>
      </c>
      <c r="G979" t="str">
        <f t="shared" si="63"/>
        <v>extra</v>
      </c>
      <c r="J979">
        <v>948</v>
      </c>
      <c r="K979">
        <v>0.43476496053929264</v>
      </c>
    </row>
    <row r="980" spans="1:11" x14ac:dyDescent="0.25">
      <c r="A980" s="3">
        <v>40140</v>
      </c>
      <c r="B980">
        <v>3665.51</v>
      </c>
      <c r="C980">
        <f t="shared" si="60"/>
        <v>1.0095014885665421</v>
      </c>
      <c r="D980">
        <v>964</v>
      </c>
      <c r="E980">
        <f t="shared" si="61"/>
        <v>0</v>
      </c>
      <c r="F980">
        <f t="shared" si="62"/>
        <v>0</v>
      </c>
      <c r="G980" t="str">
        <f t="shared" si="63"/>
        <v>extra</v>
      </c>
      <c r="J980">
        <v>949</v>
      </c>
      <c r="K980">
        <v>0.43483324004483753</v>
      </c>
    </row>
    <row r="981" spans="1:11" x14ac:dyDescent="0.25">
      <c r="A981" s="3">
        <v>40137</v>
      </c>
      <c r="B981">
        <v>3631.01</v>
      </c>
      <c r="C981">
        <f t="shared" si="60"/>
        <v>0.99686199360867989</v>
      </c>
      <c r="D981">
        <v>965</v>
      </c>
      <c r="E981">
        <f t="shared" si="61"/>
        <v>0</v>
      </c>
      <c r="F981">
        <f t="shared" si="62"/>
        <v>0</v>
      </c>
      <c r="G981" t="str">
        <f t="shared" si="63"/>
        <v>extra</v>
      </c>
      <c r="J981">
        <v>950</v>
      </c>
      <c r="K981">
        <v>0.43497079744250994</v>
      </c>
    </row>
    <row r="982" spans="1:11" x14ac:dyDescent="0.25">
      <c r="A982" s="3">
        <v>40136</v>
      </c>
      <c r="B982">
        <v>3642.44</v>
      </c>
      <c r="C982">
        <f t="shared" si="60"/>
        <v>1.0033634232541739</v>
      </c>
      <c r="D982">
        <v>966</v>
      </c>
      <c r="E982">
        <f t="shared" si="61"/>
        <v>0</v>
      </c>
      <c r="F982">
        <f t="shared" si="62"/>
        <v>0</v>
      </c>
      <c r="G982" t="str">
        <f t="shared" si="63"/>
        <v>extra</v>
      </c>
      <c r="J982">
        <v>951</v>
      </c>
      <c r="K982">
        <v>0.43497035184535238</v>
      </c>
    </row>
    <row r="983" spans="1:11" x14ac:dyDescent="0.25">
      <c r="A983" s="3">
        <v>40135</v>
      </c>
      <c r="B983">
        <v>3630.23</v>
      </c>
      <c r="C983">
        <f t="shared" si="60"/>
        <v>1.0005181418551132</v>
      </c>
      <c r="D983">
        <v>967</v>
      </c>
      <c r="E983">
        <f t="shared" si="61"/>
        <v>0</v>
      </c>
      <c r="F983">
        <f t="shared" si="62"/>
        <v>0</v>
      </c>
      <c r="G983" t="str">
        <f t="shared" si="63"/>
        <v>extra</v>
      </c>
      <c r="J983">
        <v>952</v>
      </c>
      <c r="K983">
        <v>0.43502346392573776</v>
      </c>
    </row>
    <row r="984" spans="1:11" x14ac:dyDescent="0.25">
      <c r="A984" s="3">
        <v>40134</v>
      </c>
      <c r="B984">
        <v>3628.35</v>
      </c>
      <c r="C984">
        <f t="shared" si="60"/>
        <v>1.0007032930663577</v>
      </c>
      <c r="D984">
        <v>968</v>
      </c>
      <c r="E984">
        <f t="shared" si="61"/>
        <v>0</v>
      </c>
      <c r="F984">
        <f t="shared" si="62"/>
        <v>0</v>
      </c>
      <c r="G984" t="str">
        <f t="shared" si="63"/>
        <v>extra</v>
      </c>
      <c r="J984">
        <v>953</v>
      </c>
      <c r="K984">
        <v>0.43543553989277917</v>
      </c>
    </row>
    <row r="985" spans="1:11" x14ac:dyDescent="0.25">
      <c r="A985" s="3">
        <v>40133</v>
      </c>
      <c r="B985">
        <v>3625.8</v>
      </c>
      <c r="C985">
        <f t="shared" si="60"/>
        <v>1.0304315205529284</v>
      </c>
      <c r="D985">
        <v>969</v>
      </c>
      <c r="E985">
        <f t="shared" si="61"/>
        <v>0</v>
      </c>
      <c r="F985">
        <f t="shared" si="62"/>
        <v>0</v>
      </c>
      <c r="G985" t="str">
        <f t="shared" si="63"/>
        <v>extra</v>
      </c>
      <c r="J985">
        <v>954</v>
      </c>
      <c r="K985">
        <v>0.43559601370832413</v>
      </c>
    </row>
    <row r="986" spans="1:11" x14ac:dyDescent="0.25">
      <c r="A986" s="3">
        <v>40130</v>
      </c>
      <c r="B986">
        <v>3518.72</v>
      </c>
      <c r="C986">
        <f t="shared" si="60"/>
        <v>1.0053514438612683</v>
      </c>
      <c r="D986">
        <v>970</v>
      </c>
      <c r="E986">
        <f t="shared" si="61"/>
        <v>0</v>
      </c>
      <c r="F986">
        <f t="shared" si="62"/>
        <v>0</v>
      </c>
      <c r="G986" t="str">
        <f t="shared" si="63"/>
        <v>extra</v>
      </c>
      <c r="J986">
        <v>955</v>
      </c>
      <c r="K986">
        <v>0.43565841665957789</v>
      </c>
    </row>
    <row r="987" spans="1:11" x14ac:dyDescent="0.25">
      <c r="A987" s="3">
        <v>40129</v>
      </c>
      <c r="B987">
        <v>3499.99</v>
      </c>
      <c r="C987">
        <f t="shared" si="60"/>
        <v>1.0012358145934828</v>
      </c>
      <c r="D987">
        <v>971</v>
      </c>
      <c r="E987">
        <f t="shared" si="61"/>
        <v>0</v>
      </c>
      <c r="F987">
        <f t="shared" si="62"/>
        <v>0</v>
      </c>
      <c r="G987" t="str">
        <f t="shared" si="63"/>
        <v>extra</v>
      </c>
      <c r="J987">
        <v>956</v>
      </c>
      <c r="K987">
        <v>0.4359165022739902</v>
      </c>
    </row>
    <row r="988" spans="1:11" x14ac:dyDescent="0.25">
      <c r="A988" s="3">
        <v>40128</v>
      </c>
      <c r="B988">
        <v>3495.67</v>
      </c>
      <c r="C988">
        <f t="shared" si="60"/>
        <v>0.99768535695734317</v>
      </c>
      <c r="D988">
        <v>972</v>
      </c>
      <c r="E988">
        <f t="shared" si="61"/>
        <v>0</v>
      </c>
      <c r="F988">
        <f t="shared" si="62"/>
        <v>0</v>
      </c>
      <c r="G988" t="str">
        <f t="shared" si="63"/>
        <v>extra</v>
      </c>
      <c r="J988">
        <v>957</v>
      </c>
      <c r="K988">
        <v>0.43591812042624967</v>
      </c>
    </row>
    <row r="989" spans="1:11" x14ac:dyDescent="0.25">
      <c r="A989" s="3">
        <v>40127</v>
      </c>
      <c r="B989">
        <v>3503.78</v>
      </c>
      <c r="C989">
        <f t="shared" si="60"/>
        <v>1.0022856064008423</v>
      </c>
      <c r="D989">
        <v>973</v>
      </c>
      <c r="E989">
        <f t="shared" si="61"/>
        <v>0</v>
      </c>
      <c r="F989">
        <f t="shared" si="62"/>
        <v>0</v>
      </c>
      <c r="G989" t="str">
        <f t="shared" si="63"/>
        <v>extra</v>
      </c>
      <c r="J989">
        <v>958</v>
      </c>
      <c r="K989">
        <v>0.43604769264480248</v>
      </c>
    </row>
    <row r="990" spans="1:11" x14ac:dyDescent="0.25">
      <c r="A990" s="3">
        <v>40126</v>
      </c>
      <c r="B990">
        <v>3495.79</v>
      </c>
      <c r="C990">
        <f t="shared" si="60"/>
        <v>1.0036663585049757</v>
      </c>
      <c r="D990">
        <v>974</v>
      </c>
      <c r="E990">
        <f t="shared" si="61"/>
        <v>0</v>
      </c>
      <c r="F990">
        <f t="shared" si="62"/>
        <v>0</v>
      </c>
      <c r="G990" t="str">
        <f t="shared" si="63"/>
        <v>extra</v>
      </c>
      <c r="J990">
        <v>959</v>
      </c>
      <c r="K990">
        <v>0.43628305895849773</v>
      </c>
    </row>
    <row r="991" spans="1:11" x14ac:dyDescent="0.25">
      <c r="A991" s="3">
        <v>40123</v>
      </c>
      <c r="B991">
        <v>3483.02</v>
      </c>
      <c r="C991">
        <f t="shared" si="60"/>
        <v>1.0053978847219656</v>
      </c>
      <c r="D991">
        <v>975</v>
      </c>
      <c r="E991">
        <f t="shared" si="61"/>
        <v>0</v>
      </c>
      <c r="F991">
        <f t="shared" si="62"/>
        <v>0</v>
      </c>
      <c r="G991" t="str">
        <f t="shared" si="63"/>
        <v>extra</v>
      </c>
      <c r="J991">
        <v>960</v>
      </c>
      <c r="K991">
        <v>0.43792675416097415</v>
      </c>
    </row>
    <row r="992" spans="1:11" x14ac:dyDescent="0.25">
      <c r="A992" s="3">
        <v>40122</v>
      </c>
      <c r="B992">
        <v>3464.32</v>
      </c>
      <c r="C992">
        <f t="shared" si="60"/>
        <v>1.0030197834904993</v>
      </c>
      <c r="D992">
        <v>976</v>
      </c>
      <c r="E992">
        <f t="shared" si="61"/>
        <v>0</v>
      </c>
      <c r="F992">
        <f t="shared" si="62"/>
        <v>0</v>
      </c>
      <c r="G992" t="str">
        <f t="shared" si="63"/>
        <v>extra</v>
      </c>
      <c r="J992">
        <v>961</v>
      </c>
      <c r="K992">
        <v>0.43893271428739472</v>
      </c>
    </row>
    <row r="993" spans="1:11" x14ac:dyDescent="0.25">
      <c r="A993" s="3">
        <v>40121</v>
      </c>
      <c r="B993">
        <v>3453.89</v>
      </c>
      <c r="C993">
        <f t="shared" si="60"/>
        <v>1.0053734175925575</v>
      </c>
      <c r="D993">
        <v>977</v>
      </c>
      <c r="E993">
        <f t="shared" si="61"/>
        <v>0</v>
      </c>
      <c r="F993">
        <f t="shared" si="62"/>
        <v>0</v>
      </c>
      <c r="G993" t="str">
        <f t="shared" si="63"/>
        <v>extra</v>
      </c>
      <c r="J993">
        <v>962</v>
      </c>
      <c r="K993">
        <v>0.44075581461532581</v>
      </c>
    </row>
    <row r="994" spans="1:11" x14ac:dyDescent="0.25">
      <c r="A994" s="3">
        <v>40120</v>
      </c>
      <c r="B994">
        <v>3435.43</v>
      </c>
      <c r="C994">
        <f t="shared" si="60"/>
        <v>1.0125648431973591</v>
      </c>
      <c r="D994">
        <v>978</v>
      </c>
      <c r="E994">
        <f t="shared" si="61"/>
        <v>0</v>
      </c>
      <c r="F994">
        <f t="shared" si="62"/>
        <v>0</v>
      </c>
      <c r="G994" t="str">
        <f t="shared" si="63"/>
        <v>extra</v>
      </c>
      <c r="J994">
        <v>963</v>
      </c>
      <c r="K994">
        <v>0.44136488250899381</v>
      </c>
    </row>
    <row r="995" spans="1:11" x14ac:dyDescent="0.25">
      <c r="A995" s="3">
        <v>40119</v>
      </c>
      <c r="B995">
        <v>3392.8</v>
      </c>
      <c r="C995">
        <f t="shared" si="60"/>
        <v>1.0342735727981904</v>
      </c>
      <c r="D995">
        <v>979</v>
      </c>
      <c r="E995">
        <f t="shared" si="61"/>
        <v>0</v>
      </c>
      <c r="F995">
        <f t="shared" si="62"/>
        <v>0</v>
      </c>
      <c r="G995" t="str">
        <f t="shared" si="63"/>
        <v>extra</v>
      </c>
      <c r="J995">
        <v>964</v>
      </c>
      <c r="K995">
        <v>0.442533768241479</v>
      </c>
    </row>
    <row r="996" spans="1:11" x14ac:dyDescent="0.25">
      <c r="A996" s="3">
        <v>40116</v>
      </c>
      <c r="B996">
        <v>3280.37</v>
      </c>
      <c r="C996">
        <f t="shared" si="60"/>
        <v>1.0102616220877412</v>
      </c>
      <c r="D996">
        <v>980</v>
      </c>
      <c r="E996">
        <f t="shared" si="61"/>
        <v>0</v>
      </c>
      <c r="F996">
        <f t="shared" si="62"/>
        <v>0</v>
      </c>
      <c r="G996" t="str">
        <f t="shared" si="63"/>
        <v>extra</v>
      </c>
      <c r="J996">
        <v>965</v>
      </c>
      <c r="K996">
        <v>0.44264453206135734</v>
      </c>
    </row>
    <row r="997" spans="1:11" x14ac:dyDescent="0.25">
      <c r="A997" s="3">
        <v>40115</v>
      </c>
      <c r="B997">
        <v>3247.05</v>
      </c>
      <c r="C997">
        <f t="shared" si="60"/>
        <v>0.97528631886896167</v>
      </c>
      <c r="D997">
        <v>981</v>
      </c>
      <c r="E997">
        <f t="shared" si="61"/>
        <v>0</v>
      </c>
      <c r="F997">
        <f t="shared" si="62"/>
        <v>0</v>
      </c>
      <c r="G997" t="str">
        <f t="shared" si="63"/>
        <v>extra</v>
      </c>
      <c r="J997">
        <v>966</v>
      </c>
      <c r="K997">
        <v>0.44265225002531261</v>
      </c>
    </row>
    <row r="998" spans="1:11" x14ac:dyDescent="0.25">
      <c r="A998" s="3">
        <v>40114</v>
      </c>
      <c r="B998">
        <v>3329.33</v>
      </c>
      <c r="C998">
        <f t="shared" si="60"/>
        <v>1.0044076121059999</v>
      </c>
      <c r="D998">
        <v>982</v>
      </c>
      <c r="E998">
        <f t="shared" si="61"/>
        <v>0</v>
      </c>
      <c r="F998">
        <f t="shared" si="62"/>
        <v>0</v>
      </c>
      <c r="G998" t="str">
        <f t="shared" si="63"/>
        <v>extra</v>
      </c>
      <c r="J998">
        <v>967</v>
      </c>
      <c r="K998">
        <v>0.44266820230094239</v>
      </c>
    </row>
    <row r="999" spans="1:11" x14ac:dyDescent="0.25">
      <c r="A999" s="3">
        <v>40113</v>
      </c>
      <c r="B999">
        <v>3314.72</v>
      </c>
      <c r="C999">
        <f t="shared" si="60"/>
        <v>0.97085149257228553</v>
      </c>
      <c r="D999">
        <v>983</v>
      </c>
      <c r="E999">
        <f t="shared" si="61"/>
        <v>0</v>
      </c>
      <c r="F999">
        <f t="shared" si="62"/>
        <v>0</v>
      </c>
      <c r="G999" t="str">
        <f t="shared" si="63"/>
        <v>extra</v>
      </c>
      <c r="J999">
        <v>968</v>
      </c>
      <c r="K999">
        <v>0.44266878761241568</v>
      </c>
    </row>
    <row r="1000" spans="1:11" x14ac:dyDescent="0.25">
      <c r="A1000" s="3">
        <v>40112</v>
      </c>
      <c r="B1000">
        <v>3414.24</v>
      </c>
      <c r="C1000">
        <f t="shared" si="60"/>
        <v>1.0002900461437045</v>
      </c>
      <c r="D1000">
        <v>984</v>
      </c>
      <c r="E1000">
        <f t="shared" si="61"/>
        <v>0</v>
      </c>
      <c r="F1000">
        <f t="shared" si="62"/>
        <v>0</v>
      </c>
      <c r="G1000" t="str">
        <f t="shared" si="63"/>
        <v>extra</v>
      </c>
      <c r="J1000">
        <v>969</v>
      </c>
      <c r="K1000">
        <v>0.44266981499889718</v>
      </c>
    </row>
    <row r="1001" spans="1:11" x14ac:dyDescent="0.25">
      <c r="A1001" s="3">
        <v>40109</v>
      </c>
      <c r="B1001">
        <v>3413.25</v>
      </c>
      <c r="C1001">
        <f t="shared" si="60"/>
        <v>1.0196963540982038</v>
      </c>
      <c r="D1001">
        <v>985</v>
      </c>
      <c r="E1001">
        <f t="shared" si="61"/>
        <v>0</v>
      </c>
      <c r="F1001">
        <f t="shared" si="62"/>
        <v>0</v>
      </c>
      <c r="G1001" t="str">
        <f t="shared" si="63"/>
        <v>extra</v>
      </c>
      <c r="J1001">
        <v>970</v>
      </c>
      <c r="K1001">
        <v>0.44371477774392531</v>
      </c>
    </row>
    <row r="1002" spans="1:11" x14ac:dyDescent="0.25">
      <c r="A1002" s="3">
        <v>40108</v>
      </c>
      <c r="B1002">
        <v>3347.32</v>
      </c>
      <c r="C1002">
        <f t="shared" si="60"/>
        <v>0.99347933837692814</v>
      </c>
      <c r="D1002">
        <v>986</v>
      </c>
      <c r="E1002">
        <f t="shared" si="61"/>
        <v>0</v>
      </c>
      <c r="F1002">
        <f t="shared" si="62"/>
        <v>0</v>
      </c>
      <c r="G1002" t="str">
        <f t="shared" si="63"/>
        <v>extra</v>
      </c>
      <c r="J1002">
        <v>971</v>
      </c>
      <c r="K1002">
        <v>0.44375164381653992</v>
      </c>
    </row>
    <row r="1003" spans="1:11" x14ac:dyDescent="0.25">
      <c r="A1003" s="3">
        <v>40107</v>
      </c>
      <c r="B1003">
        <v>3369.29</v>
      </c>
      <c r="C1003">
        <f t="shared" si="60"/>
        <v>0.99754853341307503</v>
      </c>
      <c r="D1003">
        <v>987</v>
      </c>
      <c r="E1003">
        <f t="shared" si="61"/>
        <v>0</v>
      </c>
      <c r="F1003">
        <f t="shared" si="62"/>
        <v>0</v>
      </c>
      <c r="G1003" t="str">
        <f t="shared" si="63"/>
        <v>extra</v>
      </c>
      <c r="J1003">
        <v>972</v>
      </c>
      <c r="K1003">
        <v>0.44375422631128925</v>
      </c>
    </row>
    <row r="1004" spans="1:11" x14ac:dyDescent="0.25">
      <c r="A1004" s="3">
        <v>40106</v>
      </c>
      <c r="B1004">
        <v>3377.57</v>
      </c>
      <c r="C1004">
        <f t="shared" si="60"/>
        <v>1.0145412055893981</v>
      </c>
      <c r="D1004">
        <v>988</v>
      </c>
      <c r="E1004">
        <f t="shared" si="61"/>
        <v>0</v>
      </c>
      <c r="F1004">
        <f t="shared" si="62"/>
        <v>0</v>
      </c>
      <c r="G1004" t="str">
        <f t="shared" si="63"/>
        <v>extra</v>
      </c>
      <c r="J1004">
        <v>973</v>
      </c>
      <c r="K1004">
        <v>0.4437578651463534</v>
      </c>
    </row>
    <row r="1005" spans="1:11" x14ac:dyDescent="0.25">
      <c r="A1005" s="3">
        <v>40105</v>
      </c>
      <c r="B1005">
        <v>3329.16</v>
      </c>
      <c r="C1005">
        <f t="shared" si="60"/>
        <v>1.0269765031418603</v>
      </c>
      <c r="D1005">
        <v>989</v>
      </c>
      <c r="E1005">
        <f t="shared" si="61"/>
        <v>0</v>
      </c>
      <c r="F1005">
        <f t="shared" si="62"/>
        <v>0</v>
      </c>
      <c r="G1005" t="str">
        <f t="shared" si="63"/>
        <v>extra</v>
      </c>
      <c r="J1005">
        <v>974</v>
      </c>
      <c r="K1005">
        <v>0.44376557938950945</v>
      </c>
    </row>
    <row r="1006" spans="1:11" x14ac:dyDescent="0.25">
      <c r="A1006" s="3">
        <v>40102</v>
      </c>
      <c r="B1006">
        <v>3241.71</v>
      </c>
      <c r="C1006">
        <f t="shared" si="60"/>
        <v>1.0006389598844316</v>
      </c>
      <c r="D1006">
        <v>990</v>
      </c>
      <c r="E1006">
        <f t="shared" si="61"/>
        <v>0</v>
      </c>
      <c r="F1006">
        <f t="shared" si="62"/>
        <v>0</v>
      </c>
      <c r="G1006" t="str">
        <f t="shared" si="63"/>
        <v>extra</v>
      </c>
      <c r="J1006">
        <v>975</v>
      </c>
      <c r="K1006">
        <v>0.44378377099168748</v>
      </c>
    </row>
    <row r="1007" spans="1:11" x14ac:dyDescent="0.25">
      <c r="A1007" s="3">
        <v>40101</v>
      </c>
      <c r="B1007">
        <v>3239.64</v>
      </c>
      <c r="C1007">
        <f t="shared" si="60"/>
        <v>1.003792526491913</v>
      </c>
      <c r="D1007">
        <v>991</v>
      </c>
      <c r="E1007">
        <f t="shared" si="61"/>
        <v>0</v>
      </c>
      <c r="F1007">
        <f t="shared" si="62"/>
        <v>0</v>
      </c>
      <c r="G1007" t="str">
        <f t="shared" si="63"/>
        <v>extra</v>
      </c>
      <c r="J1007">
        <v>976</v>
      </c>
      <c r="K1007">
        <v>0.44382107292933742</v>
      </c>
    </row>
    <row r="1008" spans="1:11" x14ac:dyDescent="0.25">
      <c r="A1008" s="3">
        <v>40100</v>
      </c>
      <c r="B1008">
        <v>3227.4</v>
      </c>
      <c r="C1008">
        <f t="shared" si="60"/>
        <v>1.0090291759938972</v>
      </c>
      <c r="D1008">
        <v>992</v>
      </c>
      <c r="E1008">
        <f t="shared" si="61"/>
        <v>0</v>
      </c>
      <c r="F1008">
        <f t="shared" si="62"/>
        <v>0</v>
      </c>
      <c r="G1008" t="str">
        <f t="shared" si="63"/>
        <v>extra</v>
      </c>
      <c r="J1008">
        <v>977</v>
      </c>
      <c r="K1008">
        <v>0.44383374259115599</v>
      </c>
    </row>
    <row r="1009" spans="1:11" x14ac:dyDescent="0.25">
      <c r="A1009" s="3">
        <v>40099</v>
      </c>
      <c r="B1009">
        <v>3198.52</v>
      </c>
      <c r="C1009">
        <f t="shared" si="60"/>
        <v>1.0148780155030888</v>
      </c>
      <c r="D1009">
        <v>993</v>
      </c>
      <c r="E1009">
        <f t="shared" si="61"/>
        <v>0</v>
      </c>
      <c r="F1009">
        <f t="shared" si="62"/>
        <v>0</v>
      </c>
      <c r="G1009" t="str">
        <f t="shared" si="63"/>
        <v>extra</v>
      </c>
      <c r="J1009">
        <v>978</v>
      </c>
      <c r="K1009">
        <v>0.44387060263168865</v>
      </c>
    </row>
    <row r="1010" spans="1:11" x14ac:dyDescent="0.25">
      <c r="A1010" s="3">
        <v>40098</v>
      </c>
      <c r="B1010">
        <v>3151.63</v>
      </c>
      <c r="C1010">
        <f t="shared" si="60"/>
        <v>0.99618169806967138</v>
      </c>
      <c r="D1010">
        <v>994</v>
      </c>
      <c r="E1010">
        <f t="shared" si="61"/>
        <v>0</v>
      </c>
      <c r="F1010">
        <f t="shared" si="62"/>
        <v>0</v>
      </c>
      <c r="G1010" t="str">
        <f t="shared" si="63"/>
        <v>extra</v>
      </c>
      <c r="J1010">
        <v>979</v>
      </c>
      <c r="K1010">
        <v>0.44405701464814523</v>
      </c>
    </row>
    <row r="1011" spans="1:11" x14ac:dyDescent="0.25">
      <c r="A1011" s="3">
        <v>40095</v>
      </c>
      <c r="B1011">
        <v>3163.71</v>
      </c>
      <c r="C1011">
        <f t="shared" si="60"/>
        <v>1.0528818793867167</v>
      </c>
      <c r="D1011">
        <v>995</v>
      </c>
      <c r="E1011">
        <f t="shared" si="61"/>
        <v>0</v>
      </c>
      <c r="F1011">
        <f t="shared" si="62"/>
        <v>0</v>
      </c>
      <c r="G1011" t="str">
        <f t="shared" si="63"/>
        <v>extra</v>
      </c>
      <c r="J1011">
        <v>980</v>
      </c>
      <c r="K1011">
        <v>0.44536331014421654</v>
      </c>
    </row>
    <row r="1012" spans="1:11" x14ac:dyDescent="0.25">
      <c r="A1012" s="3">
        <v>40086</v>
      </c>
      <c r="B1012">
        <v>3004.81</v>
      </c>
      <c r="C1012">
        <f t="shared" si="60"/>
        <v>1.0109410589141705</v>
      </c>
      <c r="D1012">
        <v>996</v>
      </c>
      <c r="E1012">
        <f t="shared" si="61"/>
        <v>0</v>
      </c>
      <c r="F1012">
        <f t="shared" si="62"/>
        <v>0</v>
      </c>
      <c r="G1012" t="str">
        <f t="shared" si="63"/>
        <v>extra</v>
      </c>
      <c r="J1012">
        <v>981</v>
      </c>
      <c r="K1012">
        <v>0.44548790605262761</v>
      </c>
    </row>
    <row r="1013" spans="1:11" x14ac:dyDescent="0.25">
      <c r="A1013" s="3">
        <v>40085</v>
      </c>
      <c r="B1013">
        <v>2972.29</v>
      </c>
      <c r="C1013">
        <f t="shared" si="60"/>
        <v>0.99988225954034127</v>
      </c>
      <c r="D1013">
        <v>997</v>
      </c>
      <c r="E1013">
        <f t="shared" si="61"/>
        <v>0</v>
      </c>
      <c r="F1013">
        <f t="shared" si="62"/>
        <v>0</v>
      </c>
      <c r="G1013" t="str">
        <f t="shared" si="63"/>
        <v>extra</v>
      </c>
      <c r="J1013">
        <v>982</v>
      </c>
      <c r="K1013">
        <v>0.44617205802848681</v>
      </c>
    </row>
    <row r="1014" spans="1:11" x14ac:dyDescent="0.25">
      <c r="A1014" s="3">
        <v>40084</v>
      </c>
      <c r="B1014">
        <v>2972.64</v>
      </c>
      <c r="C1014">
        <f t="shared" si="60"/>
        <v>0.97191788211984176</v>
      </c>
      <c r="D1014">
        <v>998</v>
      </c>
      <c r="E1014">
        <f t="shared" si="61"/>
        <v>0</v>
      </c>
      <c r="F1014">
        <f t="shared" si="62"/>
        <v>0</v>
      </c>
      <c r="G1014" t="str">
        <f t="shared" si="63"/>
        <v>extra</v>
      </c>
      <c r="J1014">
        <v>983</v>
      </c>
      <c r="K1014">
        <v>0.44619693338305721</v>
      </c>
    </row>
    <row r="1015" spans="1:11" x14ac:dyDescent="0.25">
      <c r="A1015" s="3">
        <v>40081</v>
      </c>
      <c r="B1015">
        <v>3058.53</v>
      </c>
      <c r="C1015">
        <f t="shared" si="60"/>
        <v>0.99272946805023166</v>
      </c>
      <c r="D1015">
        <v>999</v>
      </c>
      <c r="E1015">
        <f t="shared" si="61"/>
        <v>0</v>
      </c>
      <c r="F1015">
        <f t="shared" si="62"/>
        <v>0</v>
      </c>
      <c r="G1015" t="str">
        <f t="shared" si="63"/>
        <v>extra</v>
      </c>
      <c r="J1015">
        <v>984</v>
      </c>
      <c r="K1015">
        <v>0.44715395489501852</v>
      </c>
    </row>
    <row r="1016" spans="1:11" x14ac:dyDescent="0.25">
      <c r="A1016" s="3">
        <v>40080</v>
      </c>
      <c r="B1016">
        <v>3080.93</v>
      </c>
      <c r="C1016">
        <f t="shared" si="60"/>
        <v>1.0068168375233246</v>
      </c>
      <c r="D1016">
        <v>1000</v>
      </c>
      <c r="E1016">
        <f t="shared" si="61"/>
        <v>0</v>
      </c>
      <c r="F1016">
        <f t="shared" si="62"/>
        <v>0</v>
      </c>
      <c r="G1016" t="str">
        <f t="shared" si="63"/>
        <v>extra</v>
      </c>
      <c r="J1016">
        <v>985</v>
      </c>
      <c r="K1016">
        <v>0.44715399460567029</v>
      </c>
    </row>
    <row r="1017" spans="1:11" x14ac:dyDescent="0.25">
      <c r="A1017" s="3">
        <v>40079</v>
      </c>
      <c r="B1017">
        <v>3060.07</v>
      </c>
      <c r="C1017">
        <f t="shared" si="60"/>
        <v>0.97733653142895471</v>
      </c>
      <c r="D1017">
        <v>1001</v>
      </c>
      <c r="E1017">
        <f t="shared" si="61"/>
        <v>0</v>
      </c>
      <c r="F1017">
        <f t="shared" si="62"/>
        <v>0</v>
      </c>
      <c r="G1017" t="str">
        <f t="shared" si="63"/>
        <v>extra</v>
      </c>
      <c r="J1017">
        <v>986</v>
      </c>
      <c r="K1017">
        <v>0.44759585893590098</v>
      </c>
    </row>
    <row r="1018" spans="1:11" x14ac:dyDescent="0.25">
      <c r="A1018" s="3">
        <v>40078</v>
      </c>
      <c r="B1018">
        <v>3131.03</v>
      </c>
      <c r="C1018">
        <f t="shared" si="60"/>
        <v>0.97582434706725685</v>
      </c>
      <c r="D1018">
        <v>1002</v>
      </c>
      <c r="E1018">
        <f t="shared" si="61"/>
        <v>0</v>
      </c>
      <c r="F1018">
        <f t="shared" si="62"/>
        <v>0</v>
      </c>
      <c r="G1018" t="str">
        <f t="shared" si="63"/>
        <v>extra</v>
      </c>
      <c r="J1018">
        <v>987</v>
      </c>
      <c r="K1018">
        <v>0.44763814748392722</v>
      </c>
    </row>
    <row r="1019" spans="1:11" x14ac:dyDescent="0.25">
      <c r="A1019" s="3">
        <v>40077</v>
      </c>
      <c r="B1019">
        <v>3208.6</v>
      </c>
      <c r="C1019">
        <f t="shared" si="60"/>
        <v>1.0027846447624613</v>
      </c>
      <c r="D1019">
        <v>1003</v>
      </c>
      <c r="E1019">
        <f t="shared" si="61"/>
        <v>0</v>
      </c>
      <c r="F1019">
        <f t="shared" si="62"/>
        <v>0</v>
      </c>
      <c r="G1019" t="str">
        <f t="shared" si="63"/>
        <v>extra</v>
      </c>
      <c r="J1019">
        <v>988</v>
      </c>
      <c r="K1019">
        <v>0.44764256862896706</v>
      </c>
    </row>
    <row r="1020" spans="1:11" x14ac:dyDescent="0.25">
      <c r="A1020" s="3">
        <v>40074</v>
      </c>
      <c r="B1020">
        <v>3199.69</v>
      </c>
      <c r="C1020">
        <f t="shared" si="60"/>
        <v>0.96373302008975636</v>
      </c>
      <c r="D1020">
        <v>1004</v>
      </c>
      <c r="E1020">
        <f t="shared" si="61"/>
        <v>0</v>
      </c>
      <c r="F1020">
        <f t="shared" si="62"/>
        <v>0</v>
      </c>
      <c r="G1020" t="str">
        <f t="shared" si="63"/>
        <v>extra</v>
      </c>
      <c r="J1020">
        <v>989</v>
      </c>
      <c r="K1020">
        <v>0.44788707240362496</v>
      </c>
    </row>
    <row r="1021" spans="1:11" x14ac:dyDescent="0.25">
      <c r="A1021" s="3">
        <v>40073</v>
      </c>
      <c r="B1021">
        <v>3320.1</v>
      </c>
      <c r="C1021">
        <f t="shared" si="60"/>
        <v>1.0189857100766058</v>
      </c>
      <c r="D1021">
        <v>1005</v>
      </c>
      <c r="E1021">
        <f t="shared" si="61"/>
        <v>0</v>
      </c>
      <c r="F1021">
        <f t="shared" si="62"/>
        <v>0</v>
      </c>
      <c r="G1021" t="str">
        <f t="shared" si="63"/>
        <v>extra</v>
      </c>
      <c r="J1021">
        <v>990</v>
      </c>
      <c r="K1021">
        <v>0.4486987899491463</v>
      </c>
    </row>
    <row r="1022" spans="1:11" x14ac:dyDescent="0.25">
      <c r="A1022" s="3">
        <v>40072</v>
      </c>
      <c r="B1022">
        <v>3258.24</v>
      </c>
      <c r="C1022">
        <f t="shared" si="60"/>
        <v>0.98655620957779233</v>
      </c>
      <c r="D1022">
        <v>1006</v>
      </c>
      <c r="E1022">
        <f t="shared" si="61"/>
        <v>0</v>
      </c>
      <c r="F1022">
        <f t="shared" si="62"/>
        <v>0</v>
      </c>
      <c r="G1022" t="str">
        <f t="shared" si="63"/>
        <v>extra</v>
      </c>
      <c r="J1022">
        <v>991</v>
      </c>
      <c r="K1022">
        <v>0.44869936763453788</v>
      </c>
    </row>
    <row r="1023" spans="1:11" x14ac:dyDescent="0.25">
      <c r="A1023" s="3">
        <v>40071</v>
      </c>
      <c r="B1023">
        <v>3302.64</v>
      </c>
      <c r="C1023">
        <f t="shared" si="60"/>
        <v>1.0028086561263623</v>
      </c>
      <c r="D1023">
        <v>1007</v>
      </c>
      <c r="E1023">
        <f t="shared" si="61"/>
        <v>0</v>
      </c>
      <c r="F1023">
        <f t="shared" si="62"/>
        <v>0</v>
      </c>
      <c r="G1023" t="str">
        <f t="shared" si="63"/>
        <v>extra</v>
      </c>
      <c r="J1023">
        <v>992</v>
      </c>
      <c r="K1023">
        <v>0.44871774615839072</v>
      </c>
    </row>
    <row r="1024" spans="1:11" x14ac:dyDescent="0.25">
      <c r="A1024" s="3">
        <v>40070</v>
      </c>
      <c r="B1024">
        <v>3293.39</v>
      </c>
      <c r="C1024">
        <f t="shared" si="60"/>
        <v>1.0170654050331518</v>
      </c>
      <c r="D1024">
        <v>1008</v>
      </c>
      <c r="E1024">
        <f t="shared" si="61"/>
        <v>0</v>
      </c>
      <c r="F1024">
        <f t="shared" si="62"/>
        <v>0</v>
      </c>
      <c r="G1024" t="str">
        <f t="shared" si="63"/>
        <v>extra</v>
      </c>
      <c r="J1024">
        <v>993</v>
      </c>
      <c r="K1024">
        <v>0.44881392731108821</v>
      </c>
    </row>
    <row r="1025" spans="1:11" x14ac:dyDescent="0.25">
      <c r="A1025" s="3">
        <v>40067</v>
      </c>
      <c r="B1025">
        <v>3238.13</v>
      </c>
      <c r="C1025">
        <f t="shared" si="60"/>
        <v>1.023781897050501</v>
      </c>
      <c r="D1025">
        <v>1009</v>
      </c>
      <c r="E1025">
        <f t="shared" si="61"/>
        <v>0</v>
      </c>
      <c r="F1025">
        <f t="shared" si="62"/>
        <v>0</v>
      </c>
      <c r="G1025" t="str">
        <f t="shared" si="63"/>
        <v>extra</v>
      </c>
      <c r="J1025">
        <v>994</v>
      </c>
      <c r="K1025">
        <v>0.44906695897694521</v>
      </c>
    </row>
    <row r="1026" spans="1:11" x14ac:dyDescent="0.25">
      <c r="A1026" s="3">
        <v>40066</v>
      </c>
      <c r="B1026">
        <v>3162.91</v>
      </c>
      <c r="C1026">
        <f t="shared" si="60"/>
        <v>0.98998406840881281</v>
      </c>
      <c r="D1026">
        <v>1010</v>
      </c>
      <c r="E1026">
        <f t="shared" si="61"/>
        <v>0</v>
      </c>
      <c r="F1026">
        <f t="shared" si="62"/>
        <v>0</v>
      </c>
      <c r="G1026" t="str">
        <f t="shared" si="63"/>
        <v>extra</v>
      </c>
      <c r="J1026">
        <v>995</v>
      </c>
      <c r="K1026">
        <v>0.44908039473389483</v>
      </c>
    </row>
    <row r="1027" spans="1:11" x14ac:dyDescent="0.25">
      <c r="A1027" s="3">
        <v>40065</v>
      </c>
      <c r="B1027">
        <v>3194.91</v>
      </c>
      <c r="C1027">
        <f t="shared" si="60"/>
        <v>1.0075497403002867</v>
      </c>
      <c r="D1027">
        <v>1011</v>
      </c>
      <c r="E1027">
        <f t="shared" si="61"/>
        <v>0</v>
      </c>
      <c r="F1027">
        <f t="shared" si="62"/>
        <v>0</v>
      </c>
      <c r="G1027" t="str">
        <f t="shared" si="63"/>
        <v>extra</v>
      </c>
      <c r="J1027">
        <v>996</v>
      </c>
      <c r="K1027">
        <v>0.45206396421119871</v>
      </c>
    </row>
    <row r="1028" spans="1:11" x14ac:dyDescent="0.25">
      <c r="A1028" s="3">
        <v>40064</v>
      </c>
      <c r="B1028">
        <v>3170.97</v>
      </c>
      <c r="C1028">
        <f t="shared" si="60"/>
        <v>1.021506276959355</v>
      </c>
      <c r="D1028">
        <v>1012</v>
      </c>
      <c r="E1028">
        <f t="shared" si="61"/>
        <v>0</v>
      </c>
      <c r="F1028">
        <f t="shared" si="62"/>
        <v>0</v>
      </c>
      <c r="G1028" t="str">
        <f t="shared" si="63"/>
        <v>extra</v>
      </c>
      <c r="J1028">
        <v>997</v>
      </c>
      <c r="K1028">
        <v>0.45220059714474597</v>
      </c>
    </row>
    <row r="1029" spans="1:11" x14ac:dyDescent="0.25">
      <c r="A1029" s="3">
        <v>40063</v>
      </c>
      <c r="B1029">
        <v>3104.21</v>
      </c>
      <c r="C1029">
        <f t="shared" si="60"/>
        <v>1.008797129802349</v>
      </c>
      <c r="D1029">
        <v>1013</v>
      </c>
      <c r="E1029">
        <f t="shared" si="61"/>
        <v>0</v>
      </c>
      <c r="F1029">
        <f t="shared" si="62"/>
        <v>0</v>
      </c>
      <c r="G1029" t="str">
        <f t="shared" si="63"/>
        <v>extra</v>
      </c>
      <c r="J1029">
        <v>998</v>
      </c>
      <c r="K1029">
        <v>0.45220015712120015</v>
      </c>
    </row>
    <row r="1030" spans="1:11" x14ac:dyDescent="0.25">
      <c r="A1030" s="3">
        <v>40060</v>
      </c>
      <c r="B1030">
        <v>3077.14</v>
      </c>
      <c r="C1030">
        <f t="shared" si="60"/>
        <v>1.008250435785528</v>
      </c>
      <c r="D1030">
        <v>1014</v>
      </c>
      <c r="E1030">
        <f t="shared" si="61"/>
        <v>0</v>
      </c>
      <c r="F1030">
        <f t="shared" si="62"/>
        <v>0</v>
      </c>
      <c r="G1030" t="str">
        <f t="shared" si="63"/>
        <v>extra</v>
      </c>
      <c r="J1030">
        <v>999</v>
      </c>
      <c r="K1030">
        <v>0.45308205674286917</v>
      </c>
    </row>
    <row r="1031" spans="1:11" x14ac:dyDescent="0.25">
      <c r="A1031" s="3">
        <v>40059</v>
      </c>
      <c r="B1031">
        <v>3051.96</v>
      </c>
      <c r="C1031">
        <f t="shared" si="60"/>
        <v>1.0557017983832193</v>
      </c>
      <c r="D1031">
        <v>1015</v>
      </c>
      <c r="E1031">
        <f t="shared" si="61"/>
        <v>0</v>
      </c>
      <c r="F1031">
        <f t="shared" si="62"/>
        <v>0</v>
      </c>
      <c r="G1031" t="str">
        <f t="shared" si="63"/>
        <v>extra</v>
      </c>
      <c r="J1031">
        <v>1000</v>
      </c>
      <c r="K1031">
        <v>0.45313624434915639</v>
      </c>
    </row>
    <row r="1032" spans="1:11" x14ac:dyDescent="0.25">
      <c r="A1032" s="3">
        <v>40058</v>
      </c>
      <c r="B1032">
        <v>2890.93</v>
      </c>
      <c r="C1032">
        <f t="shared" si="60"/>
        <v>1.01660864366846</v>
      </c>
      <c r="D1032">
        <v>1016</v>
      </c>
      <c r="E1032">
        <f t="shared" si="61"/>
        <v>0</v>
      </c>
      <c r="F1032">
        <f t="shared" si="62"/>
        <v>0</v>
      </c>
      <c r="G1032" t="str">
        <f t="shared" si="63"/>
        <v>extra</v>
      </c>
      <c r="J1032">
        <v>1001</v>
      </c>
      <c r="K1032">
        <v>0.45319091088878788</v>
      </c>
    </row>
    <row r="1033" spans="1:11" x14ac:dyDescent="0.25">
      <c r="A1033" s="3">
        <v>40057</v>
      </c>
      <c r="B1033">
        <v>2843.7</v>
      </c>
      <c r="C1033">
        <f t="shared" si="60"/>
        <v>1.0047451303232553</v>
      </c>
      <c r="D1033">
        <v>1017</v>
      </c>
      <c r="E1033">
        <f t="shared" si="61"/>
        <v>0</v>
      </c>
      <c r="F1033">
        <f t="shared" si="62"/>
        <v>0</v>
      </c>
      <c r="G1033" t="str">
        <f t="shared" si="63"/>
        <v>extra</v>
      </c>
      <c r="J1033">
        <v>1002</v>
      </c>
      <c r="K1033">
        <v>0.45375720769425837</v>
      </c>
    </row>
    <row r="1034" spans="1:11" x14ac:dyDescent="0.25">
      <c r="A1034" s="3">
        <v>40056</v>
      </c>
      <c r="B1034">
        <v>2830.27</v>
      </c>
      <c r="C1034">
        <f t="shared" si="60"/>
        <v>0.92893809201845878</v>
      </c>
      <c r="D1034">
        <v>1018</v>
      </c>
      <c r="E1034">
        <f t="shared" si="61"/>
        <v>0</v>
      </c>
      <c r="F1034">
        <f t="shared" si="62"/>
        <v>0</v>
      </c>
      <c r="G1034" t="str">
        <f t="shared" si="63"/>
        <v>extra</v>
      </c>
      <c r="J1034">
        <v>1003</v>
      </c>
      <c r="K1034">
        <v>0.4544015354369203</v>
      </c>
    </row>
    <row r="1035" spans="1:11" x14ac:dyDescent="0.25">
      <c r="A1035" s="3">
        <v>40053</v>
      </c>
      <c r="B1035">
        <v>3046.78</v>
      </c>
      <c r="C1035">
        <f t="shared" si="60"/>
        <v>0.96530114374425757</v>
      </c>
      <c r="D1035">
        <v>1019</v>
      </c>
      <c r="E1035">
        <f t="shared" si="61"/>
        <v>0</v>
      </c>
      <c r="F1035">
        <f t="shared" si="62"/>
        <v>0</v>
      </c>
      <c r="G1035" t="str">
        <f t="shared" si="63"/>
        <v>extra</v>
      </c>
      <c r="J1035">
        <v>1004</v>
      </c>
      <c r="K1035">
        <v>0.45441160849487156</v>
      </c>
    </row>
    <row r="1036" spans="1:11" x14ac:dyDescent="0.25">
      <c r="A1036" s="3">
        <v>40052</v>
      </c>
      <c r="B1036">
        <v>3156.3</v>
      </c>
      <c r="C1036">
        <f t="shared" si="60"/>
        <v>0.99492811413476911</v>
      </c>
      <c r="D1036">
        <v>1020</v>
      </c>
      <c r="E1036">
        <f t="shared" si="61"/>
        <v>0</v>
      </c>
      <c r="F1036">
        <f t="shared" si="62"/>
        <v>0</v>
      </c>
      <c r="G1036" t="str">
        <f t="shared" si="63"/>
        <v>extra</v>
      </c>
      <c r="J1036">
        <v>1005</v>
      </c>
      <c r="K1036">
        <v>0.45588688809508876</v>
      </c>
    </row>
    <row r="1037" spans="1:11" x14ac:dyDescent="0.25">
      <c r="A1037" s="3">
        <v>40051</v>
      </c>
      <c r="B1037">
        <v>3172.39</v>
      </c>
      <c r="C1037">
        <f t="shared" si="60"/>
        <v>1.0201168552621847</v>
      </c>
      <c r="D1037">
        <v>1021</v>
      </c>
      <c r="E1037">
        <f t="shared" si="61"/>
        <v>0</v>
      </c>
      <c r="F1037">
        <f t="shared" si="62"/>
        <v>0</v>
      </c>
      <c r="G1037" t="str">
        <f t="shared" si="63"/>
        <v>extra</v>
      </c>
      <c r="J1037">
        <v>1006</v>
      </c>
      <c r="K1037">
        <v>0.45628893527211201</v>
      </c>
    </row>
    <row r="1038" spans="1:11" x14ac:dyDescent="0.25">
      <c r="A1038" s="3">
        <v>40050</v>
      </c>
      <c r="B1038">
        <v>3109.83</v>
      </c>
      <c r="C1038">
        <f t="shared" si="60"/>
        <v>0.9629149120634134</v>
      </c>
      <c r="D1038">
        <v>1022</v>
      </c>
      <c r="E1038">
        <f t="shared" si="61"/>
        <v>0</v>
      </c>
      <c r="F1038">
        <f t="shared" si="62"/>
        <v>0</v>
      </c>
      <c r="G1038" t="str">
        <f t="shared" si="63"/>
        <v>extra</v>
      </c>
      <c r="J1038">
        <v>1007</v>
      </c>
      <c r="K1038">
        <v>0.45647985918569245</v>
      </c>
    </row>
    <row r="1039" spans="1:11" x14ac:dyDescent="0.25">
      <c r="A1039" s="3">
        <v>40049</v>
      </c>
      <c r="B1039">
        <v>3229.6</v>
      </c>
      <c r="C1039">
        <f t="shared" si="60"/>
        <v>1.0081095760421024</v>
      </c>
      <c r="D1039">
        <v>1023</v>
      </c>
      <c r="E1039">
        <f t="shared" si="61"/>
        <v>0</v>
      </c>
      <c r="F1039">
        <f t="shared" si="62"/>
        <v>0</v>
      </c>
      <c r="G1039" t="str">
        <f t="shared" si="63"/>
        <v>extra</v>
      </c>
      <c r="J1039">
        <v>1008</v>
      </c>
      <c r="K1039">
        <v>0.45649023730322996</v>
      </c>
    </row>
    <row r="1040" spans="1:11" x14ac:dyDescent="0.25">
      <c r="A1040" s="3">
        <v>40046</v>
      </c>
      <c r="B1040">
        <v>3203.62</v>
      </c>
      <c r="C1040">
        <f t="shared" si="60"/>
        <v>1.0188367219079058</v>
      </c>
      <c r="D1040">
        <v>1024</v>
      </c>
      <c r="E1040">
        <f t="shared" si="61"/>
        <v>0</v>
      </c>
      <c r="F1040">
        <f t="shared" si="62"/>
        <v>0</v>
      </c>
      <c r="G1040" t="str">
        <f t="shared" si="63"/>
        <v>extra</v>
      </c>
      <c r="J1040">
        <v>1009</v>
      </c>
      <c r="K1040">
        <v>0.45681615622370858</v>
      </c>
    </row>
    <row r="1041" spans="1:11" x14ac:dyDescent="0.25">
      <c r="A1041" s="3">
        <v>40045</v>
      </c>
      <c r="B1041">
        <v>3144.39</v>
      </c>
      <c r="C1041">
        <f t="shared" si="60"/>
        <v>1.0430641849417992</v>
      </c>
      <c r="D1041">
        <v>1025</v>
      </c>
      <c r="E1041">
        <f t="shared" si="61"/>
        <v>0</v>
      </c>
      <c r="F1041">
        <f t="shared" si="62"/>
        <v>0</v>
      </c>
      <c r="G1041" t="str">
        <f t="shared" si="63"/>
        <v>extra</v>
      </c>
      <c r="J1041">
        <v>1010</v>
      </c>
      <c r="K1041">
        <v>0.45743699472686689</v>
      </c>
    </row>
    <row r="1042" spans="1:11" x14ac:dyDescent="0.25">
      <c r="A1042" s="3">
        <v>40044</v>
      </c>
      <c r="B1042">
        <v>3014.57</v>
      </c>
      <c r="C1042">
        <f t="shared" ref="C1042:C1105" si="64">B1042/B1043</f>
        <v>0.95037184858716461</v>
      </c>
      <c r="D1042">
        <v>1026</v>
      </c>
      <c r="E1042">
        <f t="shared" ref="E1042:E1105" si="65">IF(D1042&gt;$B$6,0,LN(C1042))</f>
        <v>0</v>
      </c>
      <c r="F1042">
        <f t="shared" ref="F1042:F1105" si="66">IF(D1042&gt;$B$6,0,(E1042-$B$7)^2)</f>
        <v>0</v>
      </c>
      <c r="G1042" t="str">
        <f t="shared" ref="G1042:G1105" si="67">IF(D1042&lt;=$B$6,E1042,"extra")</f>
        <v>extra</v>
      </c>
      <c r="J1042">
        <v>1011</v>
      </c>
      <c r="K1042">
        <v>0.45754102118033768</v>
      </c>
    </row>
    <row r="1043" spans="1:11" x14ac:dyDescent="0.25">
      <c r="A1043" s="3">
        <v>40043</v>
      </c>
      <c r="B1043">
        <v>3171.99</v>
      </c>
      <c r="C1043">
        <f t="shared" si="64"/>
        <v>1.0101010422670662</v>
      </c>
      <c r="D1043">
        <v>1027</v>
      </c>
      <c r="E1043">
        <f t="shared" si="65"/>
        <v>0</v>
      </c>
      <c r="F1043">
        <f t="shared" si="66"/>
        <v>0</v>
      </c>
      <c r="G1043" t="str">
        <f t="shared" si="67"/>
        <v>extra</v>
      </c>
      <c r="J1043">
        <v>1012</v>
      </c>
      <c r="K1043">
        <v>0.45760755022151267</v>
      </c>
    </row>
    <row r="1044" spans="1:11" x14ac:dyDescent="0.25">
      <c r="A1044" s="3">
        <v>40042</v>
      </c>
      <c r="B1044">
        <v>3140.27</v>
      </c>
      <c r="C1044">
        <f t="shared" si="64"/>
        <v>0.93894679559629957</v>
      </c>
      <c r="D1044">
        <v>1028</v>
      </c>
      <c r="E1044">
        <f t="shared" si="65"/>
        <v>0</v>
      </c>
      <c r="F1044">
        <f t="shared" si="66"/>
        <v>0</v>
      </c>
      <c r="G1044" t="str">
        <f t="shared" si="67"/>
        <v>extra</v>
      </c>
      <c r="J1044">
        <v>1013</v>
      </c>
      <c r="K1044">
        <v>0.45811589423155868</v>
      </c>
    </row>
    <row r="1045" spans="1:11" x14ac:dyDescent="0.25">
      <c r="A1045" s="3">
        <v>40039</v>
      </c>
      <c r="B1045">
        <v>3344.46</v>
      </c>
      <c r="C1045">
        <f t="shared" si="64"/>
        <v>0.97199504769211986</v>
      </c>
      <c r="D1045">
        <v>1029</v>
      </c>
      <c r="E1045">
        <f t="shared" si="65"/>
        <v>0</v>
      </c>
      <c r="F1045">
        <f t="shared" si="66"/>
        <v>0</v>
      </c>
      <c r="G1045" t="str">
        <f t="shared" si="67"/>
        <v>extra</v>
      </c>
      <c r="J1045">
        <v>1014</v>
      </c>
      <c r="K1045">
        <v>0.45820458959243859</v>
      </c>
    </row>
    <row r="1046" spans="1:11" x14ac:dyDescent="0.25">
      <c r="A1046" s="3">
        <v>40038</v>
      </c>
      <c r="B1046">
        <v>3440.82</v>
      </c>
      <c r="C1046">
        <f t="shared" si="64"/>
        <v>1.0127803614528756</v>
      </c>
      <c r="D1046">
        <v>1030</v>
      </c>
      <c r="E1046">
        <f t="shared" si="65"/>
        <v>0</v>
      </c>
      <c r="F1046">
        <f t="shared" si="66"/>
        <v>0</v>
      </c>
      <c r="G1046" t="str">
        <f t="shared" si="67"/>
        <v>extra</v>
      </c>
      <c r="J1046">
        <v>1015</v>
      </c>
      <c r="K1046">
        <v>0.45828272856624958</v>
      </c>
    </row>
    <row r="1047" spans="1:11" x14ac:dyDescent="0.25">
      <c r="A1047" s="3">
        <v>40037</v>
      </c>
      <c r="B1047">
        <v>3397.4</v>
      </c>
      <c r="C1047">
        <f t="shared" si="64"/>
        <v>0.95529724045237008</v>
      </c>
      <c r="D1047">
        <v>1031</v>
      </c>
      <c r="E1047">
        <f t="shared" si="65"/>
        <v>0</v>
      </c>
      <c r="F1047">
        <f t="shared" si="66"/>
        <v>0</v>
      </c>
      <c r="G1047" t="str">
        <f t="shared" si="67"/>
        <v>extra</v>
      </c>
      <c r="J1047">
        <v>1016</v>
      </c>
      <c r="K1047">
        <v>0.46151036278937024</v>
      </c>
    </row>
    <row r="1048" spans="1:11" x14ac:dyDescent="0.25">
      <c r="A1048" s="3">
        <v>40036</v>
      </c>
      <c r="B1048">
        <v>3556.38</v>
      </c>
      <c r="C1048">
        <f t="shared" si="64"/>
        <v>1.0033403488181825</v>
      </c>
      <c r="D1048">
        <v>1032</v>
      </c>
      <c r="E1048">
        <f t="shared" si="65"/>
        <v>0</v>
      </c>
      <c r="F1048">
        <f t="shared" si="66"/>
        <v>0</v>
      </c>
      <c r="G1048" t="str">
        <f t="shared" si="67"/>
        <v>extra</v>
      </c>
      <c r="J1048">
        <v>1017</v>
      </c>
      <c r="K1048">
        <v>0.46181139588274844</v>
      </c>
    </row>
    <row r="1049" spans="1:11" x14ac:dyDescent="0.25">
      <c r="A1049" s="3">
        <v>40035</v>
      </c>
      <c r="B1049">
        <v>3544.54</v>
      </c>
      <c r="C1049">
        <f t="shared" si="64"/>
        <v>0.99702961941998824</v>
      </c>
      <c r="D1049">
        <v>1033</v>
      </c>
      <c r="E1049">
        <f t="shared" si="65"/>
        <v>0</v>
      </c>
      <c r="F1049">
        <f t="shared" si="66"/>
        <v>0</v>
      </c>
      <c r="G1049" t="str">
        <f t="shared" si="67"/>
        <v>extra</v>
      </c>
      <c r="J1049">
        <v>1018</v>
      </c>
      <c r="K1049">
        <v>0.46183719584801625</v>
      </c>
    </row>
    <row r="1050" spans="1:11" x14ac:dyDescent="0.25">
      <c r="A1050" s="3">
        <v>40032</v>
      </c>
      <c r="B1050">
        <v>3555.1</v>
      </c>
      <c r="C1050">
        <f t="shared" si="64"/>
        <v>0.97051147655550463</v>
      </c>
      <c r="D1050">
        <v>1034</v>
      </c>
      <c r="E1050">
        <f t="shared" si="65"/>
        <v>0</v>
      </c>
      <c r="F1050">
        <f t="shared" si="66"/>
        <v>0</v>
      </c>
      <c r="G1050" t="str">
        <f t="shared" si="67"/>
        <v>extra</v>
      </c>
      <c r="J1050">
        <v>1019</v>
      </c>
      <c r="K1050">
        <v>0.46765933052344488</v>
      </c>
    </row>
    <row r="1051" spans="1:11" x14ac:dyDescent="0.25">
      <c r="A1051" s="3">
        <v>40031</v>
      </c>
      <c r="B1051">
        <v>3663.12</v>
      </c>
      <c r="C1051">
        <f t="shared" si="64"/>
        <v>0.97919774174405361</v>
      </c>
      <c r="D1051">
        <v>1035</v>
      </c>
      <c r="E1051">
        <f t="shared" si="65"/>
        <v>0</v>
      </c>
      <c r="F1051">
        <f t="shared" si="66"/>
        <v>0</v>
      </c>
      <c r="G1051" t="str">
        <f t="shared" si="67"/>
        <v>extra</v>
      </c>
      <c r="J1051">
        <v>1020</v>
      </c>
      <c r="K1051">
        <v>0.4689725629451546</v>
      </c>
    </row>
    <row r="1052" spans="1:11" x14ac:dyDescent="0.25">
      <c r="A1052" s="3">
        <v>40030</v>
      </c>
      <c r="B1052">
        <v>3740.94</v>
      </c>
      <c r="C1052">
        <f t="shared" si="64"/>
        <v>0.98793647104805871</v>
      </c>
      <c r="D1052">
        <v>1036</v>
      </c>
      <c r="E1052">
        <f t="shared" si="65"/>
        <v>0</v>
      </c>
      <c r="F1052">
        <f t="shared" si="66"/>
        <v>0</v>
      </c>
      <c r="G1052" t="str">
        <f t="shared" si="67"/>
        <v>extra</v>
      </c>
      <c r="J1052">
        <v>1021</v>
      </c>
      <c r="K1052">
        <v>0.4689966546004915</v>
      </c>
    </row>
    <row r="1053" spans="1:11" x14ac:dyDescent="0.25">
      <c r="A1053" s="3">
        <v>40029</v>
      </c>
      <c r="B1053">
        <v>3786.62</v>
      </c>
      <c r="C1053">
        <f t="shared" si="64"/>
        <v>0.99989173574014456</v>
      </c>
      <c r="D1053">
        <v>1037</v>
      </c>
      <c r="E1053">
        <f t="shared" si="65"/>
        <v>0</v>
      </c>
      <c r="F1053">
        <f t="shared" si="66"/>
        <v>0</v>
      </c>
      <c r="G1053" t="str">
        <f t="shared" si="67"/>
        <v>extra</v>
      </c>
      <c r="J1053">
        <v>1022</v>
      </c>
      <c r="K1053">
        <v>0.46943191934319728</v>
      </c>
    </row>
    <row r="1054" spans="1:11" x14ac:dyDescent="0.25">
      <c r="A1054" s="3">
        <v>40028</v>
      </c>
      <c r="B1054">
        <v>3787.03</v>
      </c>
      <c r="C1054">
        <f t="shared" si="64"/>
        <v>1.0140335562922065</v>
      </c>
      <c r="D1054">
        <v>1038</v>
      </c>
      <c r="E1054">
        <f t="shared" si="65"/>
        <v>0</v>
      </c>
      <c r="F1054">
        <f t="shared" si="66"/>
        <v>0</v>
      </c>
      <c r="G1054" t="str">
        <f t="shared" si="67"/>
        <v>extra</v>
      </c>
      <c r="J1054">
        <v>1023</v>
      </c>
      <c r="K1054">
        <v>0.47092965779383372</v>
      </c>
    </row>
    <row r="1055" spans="1:11" x14ac:dyDescent="0.25">
      <c r="A1055" s="3">
        <v>40025</v>
      </c>
      <c r="B1055">
        <v>3734.62</v>
      </c>
      <c r="C1055">
        <f t="shared" si="64"/>
        <v>1.027456655350196</v>
      </c>
      <c r="D1055">
        <v>1039</v>
      </c>
      <c r="E1055">
        <f t="shared" si="65"/>
        <v>0</v>
      </c>
      <c r="F1055">
        <f t="shared" si="66"/>
        <v>0</v>
      </c>
      <c r="G1055" t="str">
        <f t="shared" si="67"/>
        <v>extra</v>
      </c>
      <c r="J1055">
        <v>1024</v>
      </c>
      <c r="K1055">
        <v>0.47100397030343133</v>
      </c>
    </row>
    <row r="1056" spans="1:11" x14ac:dyDescent="0.25">
      <c r="A1056" s="3">
        <v>40024</v>
      </c>
      <c r="B1056">
        <v>3634.82</v>
      </c>
      <c r="C1056">
        <f t="shared" si="64"/>
        <v>1.0214443685699914</v>
      </c>
      <c r="D1056">
        <v>1040</v>
      </c>
      <c r="E1056">
        <f t="shared" si="65"/>
        <v>0</v>
      </c>
      <c r="F1056">
        <f t="shared" si="66"/>
        <v>0</v>
      </c>
      <c r="G1056" t="str">
        <f t="shared" si="67"/>
        <v>extra</v>
      </c>
      <c r="J1056">
        <v>1025</v>
      </c>
      <c r="K1056">
        <v>0.4713855162436742</v>
      </c>
    </row>
    <row r="1057" spans="1:11" x14ac:dyDescent="0.25">
      <c r="A1057" s="3">
        <v>40023</v>
      </c>
      <c r="B1057">
        <v>3558.51</v>
      </c>
      <c r="C1057">
        <f t="shared" si="64"/>
        <v>0.94746553349202045</v>
      </c>
      <c r="D1057">
        <v>1041</v>
      </c>
      <c r="E1057">
        <f t="shared" si="65"/>
        <v>0</v>
      </c>
      <c r="F1057">
        <f t="shared" si="66"/>
        <v>0</v>
      </c>
      <c r="G1057" t="str">
        <f t="shared" si="67"/>
        <v>extra</v>
      </c>
      <c r="J1057">
        <v>1026</v>
      </c>
      <c r="K1057">
        <v>0.47329416772660493</v>
      </c>
    </row>
    <row r="1058" spans="1:11" x14ac:dyDescent="0.25">
      <c r="A1058" s="3">
        <v>40022</v>
      </c>
      <c r="B1058">
        <v>3755.82</v>
      </c>
      <c r="C1058">
        <f t="shared" si="64"/>
        <v>1.0032561978614341</v>
      </c>
      <c r="D1058">
        <v>1042</v>
      </c>
      <c r="E1058">
        <f t="shared" si="65"/>
        <v>0</v>
      </c>
      <c r="F1058">
        <f t="shared" si="66"/>
        <v>0</v>
      </c>
      <c r="G1058" t="str">
        <f t="shared" si="67"/>
        <v>extra</v>
      </c>
      <c r="J1058">
        <v>1027</v>
      </c>
      <c r="K1058">
        <v>0.47599979816669952</v>
      </c>
    </row>
    <row r="1059" spans="1:11" x14ac:dyDescent="0.25">
      <c r="A1059" s="3">
        <v>40021</v>
      </c>
      <c r="B1059">
        <v>3743.63</v>
      </c>
      <c r="C1059">
        <f t="shared" si="64"/>
        <v>1.0207413102989453</v>
      </c>
      <c r="D1059">
        <v>1043</v>
      </c>
      <c r="E1059">
        <f t="shared" si="65"/>
        <v>0</v>
      </c>
      <c r="F1059">
        <f t="shared" si="66"/>
        <v>0</v>
      </c>
      <c r="G1059" t="str">
        <f t="shared" si="67"/>
        <v>extra</v>
      </c>
      <c r="J1059">
        <v>1028</v>
      </c>
      <c r="K1059">
        <v>0.47611180131579495</v>
      </c>
    </row>
    <row r="1060" spans="1:11" x14ac:dyDescent="0.25">
      <c r="A1060" s="3">
        <v>40018</v>
      </c>
      <c r="B1060">
        <v>3667.56</v>
      </c>
      <c r="C1060">
        <f t="shared" si="64"/>
        <v>1.0042689288247166</v>
      </c>
      <c r="D1060">
        <v>1044</v>
      </c>
      <c r="E1060">
        <f t="shared" si="65"/>
        <v>0</v>
      </c>
      <c r="F1060">
        <f t="shared" si="66"/>
        <v>0</v>
      </c>
      <c r="G1060" t="str">
        <f t="shared" si="67"/>
        <v>extra</v>
      </c>
      <c r="J1060">
        <v>1029</v>
      </c>
      <c r="K1060">
        <v>0.48022802028568318</v>
      </c>
    </row>
    <row r="1061" spans="1:11" x14ac:dyDescent="0.25">
      <c r="A1061" s="3">
        <v>40017</v>
      </c>
      <c r="B1061">
        <v>3651.97</v>
      </c>
      <c r="C1061">
        <f t="shared" si="64"/>
        <v>1.0124898805629179</v>
      </c>
      <c r="D1061">
        <v>1045</v>
      </c>
      <c r="E1061">
        <f t="shared" si="65"/>
        <v>0</v>
      </c>
      <c r="F1061">
        <f t="shared" si="66"/>
        <v>0</v>
      </c>
      <c r="G1061" t="str">
        <f t="shared" si="67"/>
        <v>extra</v>
      </c>
      <c r="J1061">
        <v>1030</v>
      </c>
      <c r="K1061">
        <v>0.48104753790840632</v>
      </c>
    </row>
    <row r="1062" spans="1:11" x14ac:dyDescent="0.25">
      <c r="A1062" s="3">
        <v>40016</v>
      </c>
      <c r="B1062">
        <v>3606.92</v>
      </c>
      <c r="C1062">
        <f t="shared" si="64"/>
        <v>1.0189528875680471</v>
      </c>
      <c r="D1062">
        <v>1046</v>
      </c>
      <c r="E1062">
        <f t="shared" si="65"/>
        <v>0</v>
      </c>
      <c r="F1062">
        <f t="shared" si="66"/>
        <v>0</v>
      </c>
      <c r="G1062" t="str">
        <f t="shared" si="67"/>
        <v>extra</v>
      </c>
      <c r="J1062">
        <v>1031</v>
      </c>
      <c r="K1062">
        <v>0.48122476878244286</v>
      </c>
    </row>
    <row r="1063" spans="1:11" x14ac:dyDescent="0.25">
      <c r="A1063" s="3">
        <v>40015</v>
      </c>
      <c r="B1063">
        <v>3539.83</v>
      </c>
      <c r="C1063">
        <f t="shared" si="64"/>
        <v>0.98571754772884224</v>
      </c>
      <c r="D1063">
        <v>1047</v>
      </c>
      <c r="E1063">
        <f t="shared" si="65"/>
        <v>0</v>
      </c>
      <c r="F1063">
        <f t="shared" si="66"/>
        <v>0</v>
      </c>
      <c r="G1063" t="str">
        <f t="shared" si="67"/>
        <v>extra</v>
      </c>
      <c r="J1063">
        <v>1032</v>
      </c>
      <c r="K1063">
        <v>0.48336088602796939</v>
      </c>
    </row>
    <row r="1064" spans="1:11" x14ac:dyDescent="0.25">
      <c r="A1064" s="3">
        <v>40014</v>
      </c>
      <c r="B1064">
        <v>3591.12</v>
      </c>
      <c r="C1064">
        <f t="shared" si="64"/>
        <v>1.0202596162861064</v>
      </c>
      <c r="D1064">
        <v>1048</v>
      </c>
      <c r="E1064">
        <f t="shared" si="65"/>
        <v>0</v>
      </c>
      <c r="F1064">
        <f t="shared" si="66"/>
        <v>0</v>
      </c>
      <c r="G1064" t="str">
        <f t="shared" si="67"/>
        <v>extra</v>
      </c>
      <c r="J1064">
        <v>1033</v>
      </c>
      <c r="K1064">
        <v>0.48337488641326537</v>
      </c>
    </row>
    <row r="1065" spans="1:11" x14ac:dyDescent="0.25">
      <c r="A1065" s="3">
        <v>40011</v>
      </c>
      <c r="B1065">
        <v>3519.81</v>
      </c>
      <c r="C1065">
        <f t="shared" si="64"/>
        <v>1.0053038352126675</v>
      </c>
      <c r="D1065">
        <v>1049</v>
      </c>
      <c r="E1065">
        <f t="shared" si="65"/>
        <v>0</v>
      </c>
      <c r="F1065">
        <f t="shared" si="66"/>
        <v>0</v>
      </c>
      <c r="G1065" t="str">
        <f t="shared" si="67"/>
        <v>extra</v>
      </c>
      <c r="J1065">
        <v>1034</v>
      </c>
      <c r="K1065">
        <v>0.48338130814734909</v>
      </c>
    </row>
    <row r="1066" spans="1:11" x14ac:dyDescent="0.25">
      <c r="A1066" s="3">
        <v>40010</v>
      </c>
      <c r="B1066">
        <v>3501.24</v>
      </c>
      <c r="C1066">
        <f t="shared" si="64"/>
        <v>1.0022700533305089</v>
      </c>
      <c r="D1066">
        <v>1050</v>
      </c>
      <c r="E1066">
        <f t="shared" si="65"/>
        <v>0</v>
      </c>
      <c r="F1066">
        <f t="shared" si="66"/>
        <v>0</v>
      </c>
      <c r="G1066" t="str">
        <f t="shared" si="67"/>
        <v>extra</v>
      </c>
      <c r="J1066">
        <v>1035</v>
      </c>
      <c r="K1066">
        <v>0.48428298636993594</v>
      </c>
    </row>
    <row r="1067" spans="1:11" x14ac:dyDescent="0.25">
      <c r="A1067" s="3">
        <v>40009</v>
      </c>
      <c r="B1067">
        <v>3493.31</v>
      </c>
      <c r="C1067">
        <f t="shared" si="64"/>
        <v>1.0111614443881611</v>
      </c>
      <c r="D1067">
        <v>1051</v>
      </c>
      <c r="E1067">
        <f t="shared" si="65"/>
        <v>0</v>
      </c>
      <c r="F1067">
        <f t="shared" si="66"/>
        <v>0</v>
      </c>
      <c r="G1067" t="str">
        <f t="shared" si="67"/>
        <v>extra</v>
      </c>
      <c r="J1067">
        <v>1036</v>
      </c>
      <c r="K1067">
        <v>0.48472057969181132</v>
      </c>
    </row>
    <row r="1068" spans="1:11" x14ac:dyDescent="0.25">
      <c r="A1068" s="3">
        <v>40008</v>
      </c>
      <c r="B1068">
        <v>3454.75</v>
      </c>
      <c r="C1068">
        <f t="shared" si="64"/>
        <v>1.0278904257946271</v>
      </c>
      <c r="D1068">
        <v>1052</v>
      </c>
      <c r="E1068">
        <f t="shared" si="65"/>
        <v>0</v>
      </c>
      <c r="F1068">
        <f t="shared" si="66"/>
        <v>0</v>
      </c>
      <c r="G1068" t="str">
        <f t="shared" si="67"/>
        <v>extra</v>
      </c>
      <c r="J1068">
        <v>1037</v>
      </c>
      <c r="K1068">
        <v>0.48486115845255867</v>
      </c>
    </row>
    <row r="1069" spans="1:11" x14ac:dyDescent="0.25">
      <c r="A1069" s="3">
        <v>40007</v>
      </c>
      <c r="B1069">
        <v>3361.01</v>
      </c>
      <c r="C1069">
        <f t="shared" si="64"/>
        <v>0.98902395602520088</v>
      </c>
      <c r="D1069">
        <v>1053</v>
      </c>
      <c r="E1069">
        <f t="shared" si="65"/>
        <v>0</v>
      </c>
      <c r="F1069">
        <f t="shared" si="66"/>
        <v>0</v>
      </c>
      <c r="G1069" t="str">
        <f t="shared" si="67"/>
        <v>extra</v>
      </c>
      <c r="J1069">
        <v>1038</v>
      </c>
      <c r="K1069">
        <v>0.48486083496974713</v>
      </c>
    </row>
    <row r="1070" spans="1:11" x14ac:dyDescent="0.25">
      <c r="A1070" s="3">
        <v>40004</v>
      </c>
      <c r="B1070">
        <v>3398.31</v>
      </c>
      <c r="C1070">
        <f t="shared" si="64"/>
        <v>1.0005918205105555</v>
      </c>
      <c r="D1070">
        <v>1054</v>
      </c>
      <c r="E1070">
        <f t="shared" si="65"/>
        <v>0</v>
      </c>
      <c r="F1070">
        <f t="shared" si="66"/>
        <v>0</v>
      </c>
      <c r="G1070" t="str">
        <f t="shared" si="67"/>
        <v>extra</v>
      </c>
      <c r="J1070">
        <v>1039</v>
      </c>
      <c r="K1070">
        <v>0.48507425445339725</v>
      </c>
    </row>
    <row r="1071" spans="1:11" x14ac:dyDescent="0.25">
      <c r="A1071" s="3">
        <v>40003</v>
      </c>
      <c r="B1071">
        <v>3396.3</v>
      </c>
      <c r="C1071">
        <f t="shared" si="64"/>
        <v>1.0131343835669562</v>
      </c>
      <c r="D1071">
        <v>1055</v>
      </c>
      <c r="E1071">
        <f t="shared" si="65"/>
        <v>0</v>
      </c>
      <c r="F1071">
        <f t="shared" si="66"/>
        <v>0</v>
      </c>
      <c r="G1071" t="str">
        <f t="shared" si="67"/>
        <v>extra</v>
      </c>
      <c r="J1071">
        <v>1040</v>
      </c>
      <c r="K1071">
        <v>0.48585528879605294</v>
      </c>
    </row>
    <row r="1072" spans="1:11" x14ac:dyDescent="0.25">
      <c r="A1072" s="3">
        <v>40002</v>
      </c>
      <c r="B1072">
        <v>3352.27</v>
      </c>
      <c r="C1072">
        <f t="shared" si="64"/>
        <v>1.0035264287574579</v>
      </c>
      <c r="D1072">
        <v>1056</v>
      </c>
      <c r="E1072">
        <f t="shared" si="65"/>
        <v>0</v>
      </c>
      <c r="F1072">
        <f t="shared" si="66"/>
        <v>0</v>
      </c>
      <c r="G1072" t="str">
        <f t="shared" si="67"/>
        <v>extra</v>
      </c>
      <c r="J1072">
        <v>1041</v>
      </c>
      <c r="K1072">
        <v>0.48633685964293294</v>
      </c>
    </row>
    <row r="1073" spans="1:11" x14ac:dyDescent="0.25">
      <c r="A1073" s="3">
        <v>40001</v>
      </c>
      <c r="B1073">
        <v>3340.49</v>
      </c>
      <c r="C1073">
        <f t="shared" si="64"/>
        <v>0.98984813689902951</v>
      </c>
      <c r="D1073">
        <v>1057</v>
      </c>
      <c r="E1073">
        <f t="shared" si="65"/>
        <v>0</v>
      </c>
      <c r="F1073">
        <f t="shared" si="66"/>
        <v>0</v>
      </c>
      <c r="G1073" t="str">
        <f t="shared" si="67"/>
        <v>extra</v>
      </c>
      <c r="J1073">
        <v>1042</v>
      </c>
      <c r="K1073">
        <v>0.48928026948177211</v>
      </c>
    </row>
    <row r="1074" spans="1:11" x14ac:dyDescent="0.25">
      <c r="A1074" s="3">
        <v>40000</v>
      </c>
      <c r="B1074">
        <v>3374.75</v>
      </c>
      <c r="C1074">
        <f t="shared" si="64"/>
        <v>1.0143095872130419</v>
      </c>
      <c r="D1074">
        <v>1058</v>
      </c>
      <c r="E1074">
        <f t="shared" si="65"/>
        <v>0</v>
      </c>
      <c r="F1074">
        <f t="shared" si="66"/>
        <v>0</v>
      </c>
      <c r="G1074" t="str">
        <f t="shared" si="67"/>
        <v>extra</v>
      </c>
      <c r="J1074">
        <v>1043</v>
      </c>
      <c r="K1074">
        <v>0.48929382941553812</v>
      </c>
    </row>
    <row r="1075" spans="1:11" x14ac:dyDescent="0.25">
      <c r="A1075" s="3">
        <v>39997</v>
      </c>
      <c r="B1075">
        <v>3327.14</v>
      </c>
      <c r="C1075">
        <f t="shared" si="64"/>
        <v>1.0136426229907749</v>
      </c>
      <c r="D1075">
        <v>1059</v>
      </c>
      <c r="E1075">
        <f t="shared" si="65"/>
        <v>0</v>
      </c>
      <c r="F1075">
        <f t="shared" si="66"/>
        <v>0</v>
      </c>
      <c r="G1075" t="str">
        <f t="shared" si="67"/>
        <v>extra</v>
      </c>
      <c r="J1075">
        <v>1044</v>
      </c>
      <c r="K1075">
        <v>0.48974321155081074</v>
      </c>
    </row>
    <row r="1076" spans="1:11" x14ac:dyDescent="0.25">
      <c r="A1076" s="3">
        <v>39996</v>
      </c>
      <c r="B1076">
        <v>3282.36</v>
      </c>
      <c r="C1076">
        <f t="shared" si="64"/>
        <v>1.0137311220235339</v>
      </c>
      <c r="D1076">
        <v>1060</v>
      </c>
      <c r="E1076">
        <f t="shared" si="65"/>
        <v>0</v>
      </c>
      <c r="F1076">
        <f t="shared" si="66"/>
        <v>0</v>
      </c>
      <c r="G1076" t="str">
        <f t="shared" si="67"/>
        <v>extra</v>
      </c>
      <c r="J1076">
        <v>1045</v>
      </c>
      <c r="K1076">
        <v>0.48976520417363412</v>
      </c>
    </row>
    <row r="1077" spans="1:11" x14ac:dyDescent="0.25">
      <c r="A1077" s="3">
        <v>39995</v>
      </c>
      <c r="B1077">
        <v>3237.9</v>
      </c>
      <c r="C1077">
        <f t="shared" si="64"/>
        <v>1.0225582430908868</v>
      </c>
      <c r="D1077">
        <v>1061</v>
      </c>
      <c r="E1077">
        <f t="shared" si="65"/>
        <v>0</v>
      </c>
      <c r="F1077">
        <f t="shared" si="66"/>
        <v>0</v>
      </c>
      <c r="G1077" t="str">
        <f t="shared" si="67"/>
        <v>extra</v>
      </c>
      <c r="J1077">
        <v>1046</v>
      </c>
      <c r="K1077">
        <v>0.48993305409262311</v>
      </c>
    </row>
    <row r="1078" spans="1:11" x14ac:dyDescent="0.25">
      <c r="A1078" s="3">
        <v>39994</v>
      </c>
      <c r="B1078">
        <v>3166.47</v>
      </c>
      <c r="C1078">
        <f t="shared" si="64"/>
        <v>0.99575467693091446</v>
      </c>
      <c r="D1078">
        <v>1062</v>
      </c>
      <c r="E1078">
        <f t="shared" si="65"/>
        <v>0</v>
      </c>
      <c r="F1078">
        <f t="shared" si="66"/>
        <v>0</v>
      </c>
      <c r="G1078" t="str">
        <f t="shared" si="67"/>
        <v>extra</v>
      </c>
      <c r="J1078">
        <v>1047</v>
      </c>
      <c r="K1078">
        <v>0.49030845650396199</v>
      </c>
    </row>
    <row r="1079" spans="1:11" x14ac:dyDescent="0.25">
      <c r="A1079" s="3">
        <v>39993</v>
      </c>
      <c r="B1079">
        <v>3179.97</v>
      </c>
      <c r="C1079">
        <f t="shared" si="64"/>
        <v>1.0164779665134476</v>
      </c>
      <c r="D1079">
        <v>1063</v>
      </c>
      <c r="E1079">
        <f t="shared" si="65"/>
        <v>0</v>
      </c>
      <c r="F1079">
        <f t="shared" si="66"/>
        <v>0</v>
      </c>
      <c r="G1079" t="str">
        <f t="shared" si="67"/>
        <v>extra</v>
      </c>
      <c r="J1079">
        <v>1048</v>
      </c>
      <c r="K1079">
        <v>0.49050786409775221</v>
      </c>
    </row>
    <row r="1080" spans="1:11" x14ac:dyDescent="0.25">
      <c r="A1080" s="3">
        <v>39990</v>
      </c>
      <c r="B1080">
        <v>3128.42</v>
      </c>
      <c r="C1080">
        <f t="shared" si="64"/>
        <v>1.0033676297018526</v>
      </c>
      <c r="D1080">
        <v>1064</v>
      </c>
      <c r="E1080">
        <f t="shared" si="65"/>
        <v>0</v>
      </c>
      <c r="F1080">
        <f t="shared" si="66"/>
        <v>0</v>
      </c>
      <c r="G1080" t="str">
        <f t="shared" si="67"/>
        <v>extra</v>
      </c>
      <c r="J1080">
        <v>1049</v>
      </c>
      <c r="K1080">
        <v>0.49093442789185243</v>
      </c>
    </row>
    <row r="1081" spans="1:11" x14ac:dyDescent="0.25">
      <c r="A1081" s="3">
        <v>39989</v>
      </c>
      <c r="B1081">
        <v>3117.92</v>
      </c>
      <c r="C1081">
        <f t="shared" si="64"/>
        <v>0.99909956965197244</v>
      </c>
      <c r="D1081">
        <v>1065</v>
      </c>
      <c r="E1081">
        <f t="shared" si="65"/>
        <v>0</v>
      </c>
      <c r="F1081">
        <f t="shared" si="66"/>
        <v>0</v>
      </c>
      <c r="G1081" t="str">
        <f t="shared" si="67"/>
        <v>extra</v>
      </c>
      <c r="J1081">
        <v>1050</v>
      </c>
      <c r="K1081">
        <v>0.49096681198813297</v>
      </c>
    </row>
    <row r="1082" spans="1:11" x14ac:dyDescent="0.25">
      <c r="A1082" s="3">
        <v>39988</v>
      </c>
      <c r="B1082">
        <v>3120.73</v>
      </c>
      <c r="C1082">
        <f t="shared" si="64"/>
        <v>1.0119426699957845</v>
      </c>
      <c r="D1082">
        <v>1066</v>
      </c>
      <c r="E1082">
        <f t="shared" si="65"/>
        <v>0</v>
      </c>
      <c r="F1082">
        <f t="shared" si="66"/>
        <v>0</v>
      </c>
      <c r="G1082" t="str">
        <f t="shared" si="67"/>
        <v>extra</v>
      </c>
      <c r="J1082">
        <v>1051</v>
      </c>
      <c r="K1082">
        <v>0.49097350993156524</v>
      </c>
    </row>
    <row r="1083" spans="1:11" x14ac:dyDescent="0.25">
      <c r="A1083" s="3">
        <v>39987</v>
      </c>
      <c r="B1083">
        <v>3083.9</v>
      </c>
      <c r="C1083">
        <f t="shared" si="64"/>
        <v>1.0004347036229628</v>
      </c>
      <c r="D1083">
        <v>1067</v>
      </c>
      <c r="E1083">
        <f t="shared" si="65"/>
        <v>0</v>
      </c>
      <c r="F1083">
        <f t="shared" si="66"/>
        <v>0</v>
      </c>
      <c r="G1083" t="str">
        <f t="shared" si="67"/>
        <v>extra</v>
      </c>
      <c r="J1083">
        <v>1052</v>
      </c>
      <c r="K1083">
        <v>0.49110731473812247</v>
      </c>
    </row>
    <row r="1084" spans="1:11" x14ac:dyDescent="0.25">
      <c r="A1084" s="3">
        <v>39986</v>
      </c>
      <c r="B1084">
        <v>3082.56</v>
      </c>
      <c r="C1084">
        <f t="shared" si="64"/>
        <v>1.0008311688311688</v>
      </c>
      <c r="D1084">
        <v>1068</v>
      </c>
      <c r="E1084">
        <f t="shared" si="65"/>
        <v>0</v>
      </c>
      <c r="F1084">
        <f t="shared" si="66"/>
        <v>0</v>
      </c>
      <c r="G1084" t="str">
        <f t="shared" si="67"/>
        <v>extra</v>
      </c>
      <c r="J1084">
        <v>1053</v>
      </c>
      <c r="K1084">
        <v>0.49189806632877131</v>
      </c>
    </row>
    <row r="1085" spans="1:11" x14ac:dyDescent="0.25">
      <c r="A1085" s="3">
        <v>39983</v>
      </c>
      <c r="B1085">
        <v>3080</v>
      </c>
      <c r="C1085">
        <f t="shared" si="64"/>
        <v>1.0073820169227097</v>
      </c>
      <c r="D1085">
        <v>1069</v>
      </c>
      <c r="E1085">
        <f t="shared" si="65"/>
        <v>0</v>
      </c>
      <c r="F1085">
        <f t="shared" si="66"/>
        <v>0</v>
      </c>
      <c r="G1085" t="str">
        <f t="shared" si="67"/>
        <v>extra</v>
      </c>
      <c r="J1085">
        <v>1054</v>
      </c>
      <c r="K1085">
        <v>0.49201402697584651</v>
      </c>
    </row>
    <row r="1086" spans="1:11" x14ac:dyDescent="0.25">
      <c r="A1086" s="3">
        <v>39982</v>
      </c>
      <c r="B1086">
        <v>3057.43</v>
      </c>
      <c r="C1086">
        <f t="shared" si="64"/>
        <v>1.0155584121384844</v>
      </c>
      <c r="D1086">
        <v>1070</v>
      </c>
      <c r="E1086">
        <f t="shared" si="65"/>
        <v>0</v>
      </c>
      <c r="F1086">
        <f t="shared" si="66"/>
        <v>0</v>
      </c>
      <c r="G1086" t="str">
        <f t="shared" si="67"/>
        <v>extra</v>
      </c>
      <c r="J1086">
        <v>1055</v>
      </c>
      <c r="K1086">
        <v>0.49201448561209588</v>
      </c>
    </row>
    <row r="1087" spans="1:11" x14ac:dyDescent="0.25">
      <c r="A1087" s="3">
        <v>39981</v>
      </c>
      <c r="B1087">
        <v>3010.59</v>
      </c>
      <c r="C1087">
        <f t="shared" si="64"/>
        <v>1.0166721824113036</v>
      </c>
      <c r="D1087">
        <v>1071</v>
      </c>
      <c r="E1087">
        <f t="shared" si="65"/>
        <v>0</v>
      </c>
      <c r="F1087">
        <f t="shared" si="66"/>
        <v>0</v>
      </c>
      <c r="G1087" t="str">
        <f t="shared" si="67"/>
        <v>extra</v>
      </c>
      <c r="J1087">
        <v>1056</v>
      </c>
      <c r="K1087">
        <v>0.49219660175422519</v>
      </c>
    </row>
    <row r="1088" spans="1:11" x14ac:dyDescent="0.25">
      <c r="A1088" s="3">
        <v>39980</v>
      </c>
      <c r="B1088">
        <v>2961.22</v>
      </c>
      <c r="C1088">
        <f t="shared" si="64"/>
        <v>0.99832444988352054</v>
      </c>
      <c r="D1088">
        <v>1072</v>
      </c>
      <c r="E1088">
        <f t="shared" si="65"/>
        <v>0</v>
      </c>
      <c r="F1088">
        <f t="shared" si="66"/>
        <v>0</v>
      </c>
      <c r="G1088" t="str">
        <f t="shared" si="67"/>
        <v>extra</v>
      </c>
      <c r="J1088">
        <v>1057</v>
      </c>
      <c r="K1088">
        <v>0.49221128348882981</v>
      </c>
    </row>
    <row r="1089" spans="1:11" x14ac:dyDescent="0.25">
      <c r="A1089" s="3">
        <v>39979</v>
      </c>
      <c r="B1089">
        <v>2966.19</v>
      </c>
      <c r="C1089">
        <f t="shared" si="64"/>
        <v>1.0206104690172006</v>
      </c>
      <c r="D1089">
        <v>1073</v>
      </c>
      <c r="E1089">
        <f t="shared" si="65"/>
        <v>0</v>
      </c>
      <c r="F1089">
        <f t="shared" si="66"/>
        <v>0</v>
      </c>
      <c r="G1089" t="str">
        <f t="shared" si="67"/>
        <v>extra</v>
      </c>
      <c r="J1089">
        <v>1058</v>
      </c>
      <c r="K1089">
        <v>0.49230990449686968</v>
      </c>
    </row>
    <row r="1090" spans="1:11" x14ac:dyDescent="0.25">
      <c r="A1090" s="3">
        <v>39976</v>
      </c>
      <c r="B1090">
        <v>2906.29</v>
      </c>
      <c r="C1090">
        <f t="shared" si="64"/>
        <v>0.98131434379041271</v>
      </c>
      <c r="D1090">
        <v>1074</v>
      </c>
      <c r="E1090">
        <f t="shared" si="65"/>
        <v>0</v>
      </c>
      <c r="F1090">
        <f t="shared" si="66"/>
        <v>0</v>
      </c>
      <c r="G1090" t="str">
        <f t="shared" si="67"/>
        <v>extra</v>
      </c>
      <c r="J1090">
        <v>1059</v>
      </c>
      <c r="K1090">
        <v>0.49252463795233581</v>
      </c>
    </row>
    <row r="1091" spans="1:11" x14ac:dyDescent="0.25">
      <c r="A1091" s="3">
        <v>39975</v>
      </c>
      <c r="B1091">
        <v>2961.63</v>
      </c>
      <c r="C1091">
        <f t="shared" si="64"/>
        <v>0.99064423334225316</v>
      </c>
      <c r="D1091">
        <v>1075</v>
      </c>
      <c r="E1091">
        <f t="shared" si="65"/>
        <v>0</v>
      </c>
      <c r="F1091">
        <f t="shared" si="66"/>
        <v>0</v>
      </c>
      <c r="G1091" t="str">
        <f t="shared" si="67"/>
        <v>extra</v>
      </c>
      <c r="J1091">
        <v>1060</v>
      </c>
      <c r="K1091">
        <v>0.49271988734229755</v>
      </c>
    </row>
    <row r="1092" spans="1:11" x14ac:dyDescent="0.25">
      <c r="A1092" s="3">
        <v>39974</v>
      </c>
      <c r="B1092">
        <v>2989.6</v>
      </c>
      <c r="C1092">
        <f t="shared" si="64"/>
        <v>1.0098089550625557</v>
      </c>
      <c r="D1092">
        <v>1076</v>
      </c>
      <c r="E1092">
        <f t="shared" si="65"/>
        <v>0</v>
      </c>
      <c r="F1092">
        <f t="shared" si="66"/>
        <v>0</v>
      </c>
      <c r="G1092" t="str">
        <f t="shared" si="67"/>
        <v>extra</v>
      </c>
      <c r="J1092">
        <v>1061</v>
      </c>
      <c r="K1092">
        <v>0.49291715642484102</v>
      </c>
    </row>
    <row r="1093" spans="1:11" x14ac:dyDescent="0.25">
      <c r="A1093" s="3">
        <v>39973</v>
      </c>
      <c r="B1093">
        <v>2960.56</v>
      </c>
      <c r="C1093">
        <f t="shared" si="64"/>
        <v>1.0040970262643802</v>
      </c>
      <c r="D1093">
        <v>1077</v>
      </c>
      <c r="E1093">
        <f t="shared" si="65"/>
        <v>0</v>
      </c>
      <c r="F1093">
        <f t="shared" si="66"/>
        <v>0</v>
      </c>
      <c r="G1093" t="str">
        <f t="shared" si="67"/>
        <v>extra</v>
      </c>
      <c r="J1093">
        <v>1062</v>
      </c>
      <c r="K1093">
        <v>0.49343547582602854</v>
      </c>
    </row>
    <row r="1094" spans="1:11" x14ac:dyDescent="0.25">
      <c r="A1094" s="3">
        <v>39972</v>
      </c>
      <c r="B1094">
        <v>2948.48</v>
      </c>
      <c r="C1094">
        <f t="shared" si="64"/>
        <v>1.0031197798122689</v>
      </c>
      <c r="D1094">
        <v>1078</v>
      </c>
      <c r="E1094">
        <f t="shared" si="65"/>
        <v>0</v>
      </c>
      <c r="F1094">
        <f t="shared" si="66"/>
        <v>0</v>
      </c>
      <c r="G1094" t="str">
        <f t="shared" si="67"/>
        <v>extra</v>
      </c>
      <c r="J1094">
        <v>1063</v>
      </c>
      <c r="K1094">
        <v>0.49345105224730096</v>
      </c>
    </row>
    <row r="1095" spans="1:11" x14ac:dyDescent="0.25">
      <c r="A1095" s="3">
        <v>39969</v>
      </c>
      <c r="B1095">
        <v>2939.31</v>
      </c>
      <c r="C1095">
        <f t="shared" si="64"/>
        <v>0.99511129919593733</v>
      </c>
      <c r="D1095">
        <v>1079</v>
      </c>
      <c r="E1095">
        <f t="shared" si="65"/>
        <v>0</v>
      </c>
      <c r="F1095">
        <f t="shared" si="66"/>
        <v>0</v>
      </c>
      <c r="G1095" t="str">
        <f t="shared" si="67"/>
        <v>extra</v>
      </c>
      <c r="J1095">
        <v>1064</v>
      </c>
      <c r="K1095">
        <v>0.49373096541708567</v>
      </c>
    </row>
    <row r="1096" spans="1:11" x14ac:dyDescent="0.25">
      <c r="A1096" s="3">
        <v>39968</v>
      </c>
      <c r="B1096">
        <v>2953.75</v>
      </c>
      <c r="C1096">
        <f t="shared" si="64"/>
        <v>1.0048853673721418</v>
      </c>
      <c r="D1096">
        <v>1080</v>
      </c>
      <c r="E1096">
        <f t="shared" si="65"/>
        <v>0</v>
      </c>
      <c r="F1096">
        <f t="shared" si="66"/>
        <v>0</v>
      </c>
      <c r="G1096" t="str">
        <f t="shared" si="67"/>
        <v>extra</v>
      </c>
      <c r="J1096">
        <v>1065</v>
      </c>
      <c r="K1096">
        <v>0.49374389161927684</v>
      </c>
    </row>
    <row r="1097" spans="1:11" x14ac:dyDescent="0.25">
      <c r="A1097" s="3">
        <v>39967</v>
      </c>
      <c r="B1097">
        <v>2939.39</v>
      </c>
      <c r="C1097">
        <f t="shared" si="64"/>
        <v>1.0259292869358836</v>
      </c>
      <c r="D1097">
        <v>1081</v>
      </c>
      <c r="E1097">
        <f t="shared" si="65"/>
        <v>0</v>
      </c>
      <c r="F1097">
        <f t="shared" si="66"/>
        <v>0</v>
      </c>
      <c r="G1097" t="str">
        <f t="shared" si="67"/>
        <v>extra</v>
      </c>
      <c r="J1097">
        <v>1066</v>
      </c>
      <c r="K1097">
        <v>0.49374386510917229</v>
      </c>
    </row>
    <row r="1098" spans="1:11" x14ac:dyDescent="0.25">
      <c r="A1098" s="3">
        <v>39966</v>
      </c>
      <c r="B1098">
        <v>2865.1</v>
      </c>
      <c r="C1098">
        <f t="shared" si="64"/>
        <v>1.0023650090612033</v>
      </c>
      <c r="D1098">
        <v>1082</v>
      </c>
      <c r="E1098">
        <f t="shared" si="65"/>
        <v>0</v>
      </c>
      <c r="F1098">
        <f t="shared" si="66"/>
        <v>0</v>
      </c>
      <c r="G1098" t="str">
        <f t="shared" si="67"/>
        <v>extra</v>
      </c>
      <c r="J1098">
        <v>1067</v>
      </c>
      <c r="K1098">
        <v>0.49389274475321504</v>
      </c>
    </row>
    <row r="1099" spans="1:11" x14ac:dyDescent="0.25">
      <c r="A1099" s="3">
        <v>39965</v>
      </c>
      <c r="B1099">
        <v>2858.34</v>
      </c>
      <c r="C1099">
        <f t="shared" si="64"/>
        <v>1.0357392624587367</v>
      </c>
      <c r="D1099">
        <v>1083</v>
      </c>
      <c r="E1099">
        <f t="shared" si="65"/>
        <v>0</v>
      </c>
      <c r="F1099">
        <f t="shared" si="66"/>
        <v>0</v>
      </c>
      <c r="G1099" t="str">
        <f t="shared" si="67"/>
        <v>extra</v>
      </c>
      <c r="J1099">
        <v>1068</v>
      </c>
      <c r="K1099">
        <v>0.49389279195156993</v>
      </c>
    </row>
    <row r="1100" spans="1:11" x14ac:dyDescent="0.25">
      <c r="A1100" s="3">
        <v>39960</v>
      </c>
      <c r="B1100">
        <v>2759.71</v>
      </c>
      <c r="C1100">
        <f t="shared" si="64"/>
        <v>1.0146887960702413</v>
      </c>
      <c r="D1100">
        <v>1084</v>
      </c>
      <c r="E1100">
        <f t="shared" si="65"/>
        <v>0</v>
      </c>
      <c r="F1100">
        <f t="shared" si="66"/>
        <v>0</v>
      </c>
      <c r="G1100" t="str">
        <f t="shared" si="67"/>
        <v>extra</v>
      </c>
      <c r="J1100">
        <v>1069</v>
      </c>
      <c r="K1100">
        <v>0.49389355108686933</v>
      </c>
    </row>
    <row r="1101" spans="1:11" x14ac:dyDescent="0.25">
      <c r="A1101" s="3">
        <v>39959</v>
      </c>
      <c r="B1101">
        <v>2719.76</v>
      </c>
      <c r="C1101">
        <f t="shared" si="64"/>
        <v>0.98802638844488377</v>
      </c>
      <c r="D1101">
        <v>1085</v>
      </c>
      <c r="E1101">
        <f t="shared" si="65"/>
        <v>0</v>
      </c>
      <c r="F1101">
        <f t="shared" si="66"/>
        <v>0</v>
      </c>
      <c r="G1101" t="str">
        <f t="shared" si="67"/>
        <v>extra</v>
      </c>
      <c r="J1101">
        <v>1070</v>
      </c>
      <c r="K1101">
        <v>0.49395176568283233</v>
      </c>
    </row>
    <row r="1102" spans="1:11" x14ac:dyDescent="0.25">
      <c r="A1102" s="3">
        <v>39958</v>
      </c>
      <c r="B1102">
        <v>2752.72</v>
      </c>
      <c r="C1102">
        <f t="shared" si="64"/>
        <v>1.00439307033291</v>
      </c>
      <c r="D1102">
        <v>1086</v>
      </c>
      <c r="E1102">
        <f t="shared" si="65"/>
        <v>0</v>
      </c>
      <c r="F1102">
        <f t="shared" si="66"/>
        <v>0</v>
      </c>
      <c r="G1102" t="str">
        <f t="shared" si="67"/>
        <v>extra</v>
      </c>
      <c r="J1102">
        <v>1071</v>
      </c>
      <c r="K1102">
        <v>0.49420051980398727</v>
      </c>
    </row>
    <row r="1103" spans="1:11" x14ac:dyDescent="0.25">
      <c r="A1103" s="3">
        <v>39955</v>
      </c>
      <c r="B1103">
        <v>2740.68</v>
      </c>
      <c r="C1103">
        <f t="shared" si="64"/>
        <v>0.99660728506441776</v>
      </c>
      <c r="D1103">
        <v>1087</v>
      </c>
      <c r="E1103">
        <f t="shared" si="65"/>
        <v>0</v>
      </c>
      <c r="F1103">
        <f t="shared" si="66"/>
        <v>0</v>
      </c>
      <c r="G1103" t="str">
        <f t="shared" si="67"/>
        <v>extra</v>
      </c>
      <c r="J1103">
        <v>1072</v>
      </c>
      <c r="K1103">
        <v>0.49448466824014431</v>
      </c>
    </row>
    <row r="1104" spans="1:11" x14ac:dyDescent="0.25">
      <c r="A1104" s="3">
        <v>39954</v>
      </c>
      <c r="B1104">
        <v>2750.01</v>
      </c>
      <c r="C1104">
        <f t="shared" si="64"/>
        <v>0.97765271768691775</v>
      </c>
      <c r="D1104">
        <v>1088</v>
      </c>
      <c r="E1104">
        <f t="shared" si="65"/>
        <v>0</v>
      </c>
      <c r="F1104">
        <f t="shared" si="66"/>
        <v>0</v>
      </c>
      <c r="G1104" t="str">
        <f t="shared" si="67"/>
        <v>extra</v>
      </c>
      <c r="J1104">
        <v>1073</v>
      </c>
      <c r="K1104">
        <v>0.49448639902561609</v>
      </c>
    </row>
    <row r="1105" spans="1:11" x14ac:dyDescent="0.25">
      <c r="A1105" s="3">
        <v>39953</v>
      </c>
      <c r="B1105">
        <v>2812.87</v>
      </c>
      <c r="C1105">
        <f t="shared" si="64"/>
        <v>0.99041928396383194</v>
      </c>
      <c r="D1105">
        <v>1089</v>
      </c>
      <c r="E1105">
        <f t="shared" si="65"/>
        <v>0</v>
      </c>
      <c r="F1105">
        <f t="shared" si="66"/>
        <v>0</v>
      </c>
      <c r="G1105" t="str">
        <f t="shared" si="67"/>
        <v>extra</v>
      </c>
      <c r="J1105">
        <v>1074</v>
      </c>
      <c r="K1105">
        <v>0.49491601998890677</v>
      </c>
    </row>
    <row r="1106" spans="1:11" x14ac:dyDescent="0.25">
      <c r="A1106" s="3">
        <v>39952</v>
      </c>
      <c r="B1106">
        <v>2840.08</v>
      </c>
      <c r="C1106">
        <f t="shared" ref="C1106:C1169" si="68">B1106/B1107</f>
        <v>1.0104996495372824</v>
      </c>
      <c r="D1106">
        <v>1090</v>
      </c>
      <c r="E1106">
        <f t="shared" ref="E1106:E1169" si="69">IF(D1106&gt;$B$6,0,LN(C1106))</f>
        <v>0</v>
      </c>
      <c r="F1106">
        <f t="shared" ref="F1106:F1169" si="70">IF(D1106&gt;$B$6,0,(E1106-$B$7)^2)</f>
        <v>0</v>
      </c>
      <c r="G1106" t="str">
        <f t="shared" ref="G1106:G1169" si="71">IF(D1106&lt;=$B$6,E1106,"extra")</f>
        <v>extra</v>
      </c>
      <c r="J1106">
        <v>1075</v>
      </c>
      <c r="K1106">
        <v>0.4952677436619542</v>
      </c>
    </row>
    <row r="1107" spans="1:11" x14ac:dyDescent="0.25">
      <c r="A1107" s="3">
        <v>39951</v>
      </c>
      <c r="B1107">
        <v>2810.57</v>
      </c>
      <c r="C1107">
        <f t="shared" si="68"/>
        <v>1.0051678754846003</v>
      </c>
      <c r="D1107">
        <v>1091</v>
      </c>
      <c r="E1107">
        <f t="shared" si="69"/>
        <v>0</v>
      </c>
      <c r="F1107">
        <f t="shared" si="70"/>
        <v>0</v>
      </c>
      <c r="G1107" t="str">
        <f t="shared" si="71"/>
        <v>extra</v>
      </c>
      <c r="J1107">
        <v>1076</v>
      </c>
      <c r="K1107">
        <v>0.49535255159662966</v>
      </c>
    </row>
    <row r="1108" spans="1:11" x14ac:dyDescent="0.25">
      <c r="A1108" s="3">
        <v>39948</v>
      </c>
      <c r="B1108">
        <v>2796.12</v>
      </c>
      <c r="C1108">
        <f t="shared" si="68"/>
        <v>1.0012604741101483</v>
      </c>
      <c r="D1108">
        <v>1092</v>
      </c>
      <c r="E1108">
        <f t="shared" si="69"/>
        <v>0</v>
      </c>
      <c r="F1108">
        <f t="shared" si="70"/>
        <v>0</v>
      </c>
      <c r="G1108" t="str">
        <f t="shared" si="71"/>
        <v>extra</v>
      </c>
      <c r="J1108">
        <v>1077</v>
      </c>
      <c r="K1108">
        <v>0.4954528383174378</v>
      </c>
    </row>
    <row r="1109" spans="1:11" x14ac:dyDescent="0.25">
      <c r="A1109" s="3">
        <v>39947</v>
      </c>
      <c r="B1109">
        <v>2792.6</v>
      </c>
      <c r="C1109">
        <f t="shared" si="68"/>
        <v>0.99239164039928773</v>
      </c>
      <c r="D1109">
        <v>1093</v>
      </c>
      <c r="E1109">
        <f t="shared" si="69"/>
        <v>0</v>
      </c>
      <c r="F1109">
        <f t="shared" si="70"/>
        <v>0</v>
      </c>
      <c r="G1109" t="str">
        <f t="shared" si="71"/>
        <v>extra</v>
      </c>
      <c r="J1109">
        <v>1078</v>
      </c>
      <c r="K1109">
        <v>0.49547111368688207</v>
      </c>
    </row>
    <row r="1110" spans="1:11" x14ac:dyDescent="0.25">
      <c r="A1110" s="3">
        <v>39946</v>
      </c>
      <c r="B1110">
        <v>2814.01</v>
      </c>
      <c r="C1110">
        <f t="shared" si="68"/>
        <v>1.009126574289239</v>
      </c>
      <c r="D1110">
        <v>1094</v>
      </c>
      <c r="E1110">
        <f t="shared" si="69"/>
        <v>0</v>
      </c>
      <c r="F1110">
        <f t="shared" si="70"/>
        <v>0</v>
      </c>
      <c r="G1110" t="str">
        <f t="shared" si="71"/>
        <v>extra</v>
      </c>
      <c r="J1110">
        <v>1079</v>
      </c>
      <c r="K1110">
        <v>0.49548185578135279</v>
      </c>
    </row>
    <row r="1111" spans="1:11" x14ac:dyDescent="0.25">
      <c r="A1111" s="3">
        <v>39945</v>
      </c>
      <c r="B1111">
        <v>2788.56</v>
      </c>
      <c r="C1111">
        <f t="shared" si="68"/>
        <v>1.0232046145039848</v>
      </c>
      <c r="D1111">
        <v>1095</v>
      </c>
      <c r="E1111">
        <f t="shared" si="69"/>
        <v>0</v>
      </c>
      <c r="F1111">
        <f t="shared" si="70"/>
        <v>0</v>
      </c>
      <c r="G1111" t="str">
        <f t="shared" si="71"/>
        <v>extra</v>
      </c>
      <c r="J1111">
        <v>1080</v>
      </c>
      <c r="K1111">
        <v>0.49550367887503671</v>
      </c>
    </row>
    <row r="1112" spans="1:11" x14ac:dyDescent="0.25">
      <c r="A1112" s="3">
        <v>39944</v>
      </c>
      <c r="B1112">
        <v>2725.32</v>
      </c>
      <c r="C1112">
        <f t="shared" si="68"/>
        <v>0.97709036935057125</v>
      </c>
      <c r="D1112">
        <v>1096</v>
      </c>
      <c r="E1112">
        <f t="shared" si="69"/>
        <v>0</v>
      </c>
      <c r="F1112">
        <f t="shared" si="70"/>
        <v>0</v>
      </c>
      <c r="G1112" t="str">
        <f t="shared" si="71"/>
        <v>extra</v>
      </c>
      <c r="J1112">
        <v>1081</v>
      </c>
      <c r="K1112">
        <v>0.49552937008265968</v>
      </c>
    </row>
    <row r="1113" spans="1:11" x14ac:dyDescent="0.25">
      <c r="A1113" s="3">
        <v>39941</v>
      </c>
      <c r="B1113">
        <v>2789.22</v>
      </c>
      <c r="C1113">
        <f t="shared" si="68"/>
        <v>1.0080012142764212</v>
      </c>
      <c r="D1113">
        <v>1097</v>
      </c>
      <c r="E1113">
        <f t="shared" si="69"/>
        <v>0</v>
      </c>
      <c r="F1113">
        <f t="shared" si="70"/>
        <v>0</v>
      </c>
      <c r="G1113" t="str">
        <f t="shared" si="71"/>
        <v>extra</v>
      </c>
      <c r="J1113">
        <v>1082</v>
      </c>
      <c r="K1113">
        <v>0.49620105653945573</v>
      </c>
    </row>
    <row r="1114" spans="1:11" x14ac:dyDescent="0.25">
      <c r="A1114" s="3">
        <v>39940</v>
      </c>
      <c r="B1114">
        <v>2767.08</v>
      </c>
      <c r="C1114">
        <f t="shared" si="68"/>
        <v>1.000759499164551</v>
      </c>
      <c r="D1114">
        <v>1098</v>
      </c>
      <c r="E1114">
        <f t="shared" si="69"/>
        <v>0</v>
      </c>
      <c r="F1114">
        <f t="shared" si="70"/>
        <v>0</v>
      </c>
      <c r="G1114" t="str">
        <f t="shared" si="71"/>
        <v>extra</v>
      </c>
      <c r="J1114">
        <v>1083</v>
      </c>
      <c r="K1114">
        <v>0.49620716628527606</v>
      </c>
    </row>
    <row r="1115" spans="1:11" x14ac:dyDescent="0.25">
      <c r="A1115" s="3">
        <v>39939</v>
      </c>
      <c r="B1115">
        <v>2764.98</v>
      </c>
      <c r="C1115">
        <f t="shared" si="68"/>
        <v>1.0139236746473244</v>
      </c>
      <c r="D1115">
        <v>1099</v>
      </c>
      <c r="E1115">
        <f t="shared" si="69"/>
        <v>0</v>
      </c>
      <c r="F1115">
        <f t="shared" si="70"/>
        <v>0</v>
      </c>
      <c r="G1115" t="str">
        <f t="shared" si="71"/>
        <v>extra</v>
      </c>
      <c r="J1115">
        <v>1084</v>
      </c>
      <c r="K1115">
        <v>0.49746165577440871</v>
      </c>
    </row>
    <row r="1116" spans="1:11" x14ac:dyDescent="0.25">
      <c r="A1116" s="3">
        <v>39938</v>
      </c>
      <c r="B1116">
        <v>2727.01</v>
      </c>
      <c r="C1116">
        <f t="shared" si="68"/>
        <v>1.0046826069336476</v>
      </c>
      <c r="D1116">
        <v>1100</v>
      </c>
      <c r="E1116">
        <f t="shared" si="69"/>
        <v>0</v>
      </c>
      <c r="F1116">
        <f t="shared" si="70"/>
        <v>0</v>
      </c>
      <c r="G1116" t="str">
        <f t="shared" si="71"/>
        <v>extra</v>
      </c>
      <c r="J1116">
        <v>1085</v>
      </c>
      <c r="K1116">
        <v>0.49767946755200015</v>
      </c>
    </row>
    <row r="1117" spans="1:11" x14ac:dyDescent="0.25">
      <c r="A1117" s="3">
        <v>39937</v>
      </c>
      <c r="B1117">
        <v>2714.3</v>
      </c>
      <c r="C1117">
        <f t="shared" si="68"/>
        <v>1.0348350890035192</v>
      </c>
      <c r="D1117">
        <v>1101</v>
      </c>
      <c r="E1117">
        <f t="shared" si="69"/>
        <v>0</v>
      </c>
      <c r="F1117">
        <f t="shared" si="70"/>
        <v>0</v>
      </c>
      <c r="G1117" t="str">
        <f t="shared" si="71"/>
        <v>extra</v>
      </c>
      <c r="J1117">
        <v>1086</v>
      </c>
      <c r="K1117">
        <v>0.49782169736788928</v>
      </c>
    </row>
    <row r="1118" spans="1:11" x14ac:dyDescent="0.25">
      <c r="A1118" s="3">
        <v>39933</v>
      </c>
      <c r="B1118">
        <v>2622.93</v>
      </c>
      <c r="C1118">
        <f t="shared" si="68"/>
        <v>1.0067399256151717</v>
      </c>
      <c r="D1118">
        <v>1102</v>
      </c>
      <c r="E1118">
        <f t="shared" si="69"/>
        <v>0</v>
      </c>
      <c r="F1118">
        <f t="shared" si="70"/>
        <v>0</v>
      </c>
      <c r="G1118" t="str">
        <f t="shared" si="71"/>
        <v>extra</v>
      </c>
      <c r="J1118">
        <v>1087</v>
      </c>
      <c r="K1118">
        <v>0.49784189453699945</v>
      </c>
    </row>
    <row r="1119" spans="1:11" x14ac:dyDescent="0.25">
      <c r="A1119" s="3">
        <v>39932</v>
      </c>
      <c r="B1119">
        <v>2605.37</v>
      </c>
      <c r="C1119">
        <f t="shared" si="68"/>
        <v>1.0344804310450937</v>
      </c>
      <c r="D1119">
        <v>1103</v>
      </c>
      <c r="E1119">
        <f t="shared" si="69"/>
        <v>0</v>
      </c>
      <c r="F1119">
        <f t="shared" si="70"/>
        <v>0</v>
      </c>
      <c r="G1119" t="str">
        <f t="shared" si="71"/>
        <v>extra</v>
      </c>
      <c r="J1119">
        <v>1088</v>
      </c>
      <c r="K1119">
        <v>0.49785213756838509</v>
      </c>
    </row>
    <row r="1120" spans="1:11" x14ac:dyDescent="0.25">
      <c r="A1120" s="3">
        <v>39931</v>
      </c>
      <c r="B1120">
        <v>2518.5300000000002</v>
      </c>
      <c r="C1120">
        <f t="shared" si="68"/>
        <v>1.0020849165834425</v>
      </c>
      <c r="D1120">
        <v>1104</v>
      </c>
      <c r="E1120">
        <f t="shared" si="69"/>
        <v>0</v>
      </c>
      <c r="F1120">
        <f t="shared" si="70"/>
        <v>0</v>
      </c>
      <c r="G1120" t="str">
        <f t="shared" si="71"/>
        <v>extra</v>
      </c>
      <c r="J1120">
        <v>1089</v>
      </c>
      <c r="K1120">
        <v>0.49835839222569517</v>
      </c>
    </row>
    <row r="1121" spans="1:11" x14ac:dyDescent="0.25">
      <c r="A1121" s="3">
        <v>39930</v>
      </c>
      <c r="B1121">
        <v>2513.29</v>
      </c>
      <c r="C1121">
        <f t="shared" si="68"/>
        <v>0.9768353874436918</v>
      </c>
      <c r="D1121">
        <v>1105</v>
      </c>
      <c r="E1121">
        <f t="shared" si="69"/>
        <v>0</v>
      </c>
      <c r="F1121">
        <f t="shared" si="70"/>
        <v>0</v>
      </c>
      <c r="G1121" t="str">
        <f t="shared" si="71"/>
        <v>extra</v>
      </c>
      <c r="J1121">
        <v>1090</v>
      </c>
      <c r="K1121">
        <v>0.49844786934764262</v>
      </c>
    </row>
    <row r="1122" spans="1:11" x14ac:dyDescent="0.25">
      <c r="A1122" s="3">
        <v>39927</v>
      </c>
      <c r="B1122">
        <v>2572.89</v>
      </c>
      <c r="C1122">
        <f t="shared" si="68"/>
        <v>0.99203025956600188</v>
      </c>
      <c r="D1122">
        <v>1106</v>
      </c>
      <c r="E1122">
        <f t="shared" si="69"/>
        <v>0</v>
      </c>
      <c r="F1122">
        <f t="shared" si="70"/>
        <v>0</v>
      </c>
      <c r="G1122" t="str">
        <f t="shared" si="71"/>
        <v>extra</v>
      </c>
      <c r="J1122">
        <v>1091</v>
      </c>
      <c r="K1122">
        <v>0.49856064541107409</v>
      </c>
    </row>
    <row r="1123" spans="1:11" x14ac:dyDescent="0.25">
      <c r="A1123" s="3">
        <v>39926</v>
      </c>
      <c r="B1123">
        <v>2593.56</v>
      </c>
      <c r="C1123">
        <f t="shared" si="68"/>
        <v>1.0067073454748707</v>
      </c>
      <c r="D1123">
        <v>1107</v>
      </c>
      <c r="E1123">
        <f t="shared" si="69"/>
        <v>0</v>
      </c>
      <c r="F1123">
        <f t="shared" si="70"/>
        <v>0</v>
      </c>
      <c r="G1123" t="str">
        <f t="shared" si="71"/>
        <v>extra</v>
      </c>
      <c r="J1123">
        <v>1092</v>
      </c>
      <c r="K1123">
        <v>0.49858861924854775</v>
      </c>
    </row>
    <row r="1124" spans="1:11" x14ac:dyDescent="0.25">
      <c r="A1124" s="3">
        <v>39925</v>
      </c>
      <c r="B1124">
        <v>2576.2800000000002</v>
      </c>
      <c r="C1124">
        <f t="shared" si="68"/>
        <v>0.96293693747570497</v>
      </c>
      <c r="D1124">
        <v>1108</v>
      </c>
      <c r="E1124">
        <f t="shared" si="69"/>
        <v>0</v>
      </c>
      <c r="F1124">
        <f t="shared" si="70"/>
        <v>0</v>
      </c>
      <c r="G1124" t="str">
        <f t="shared" si="71"/>
        <v>extra</v>
      </c>
      <c r="J1124">
        <v>1093</v>
      </c>
      <c r="K1124">
        <v>0.49859022104483608</v>
      </c>
    </row>
    <row r="1125" spans="1:11" x14ac:dyDescent="0.25">
      <c r="A1125" s="3">
        <v>39924</v>
      </c>
      <c r="B1125">
        <v>2675.44</v>
      </c>
      <c r="C1125">
        <f t="shared" si="68"/>
        <v>0.98809677693367359</v>
      </c>
      <c r="D1125">
        <v>1109</v>
      </c>
      <c r="E1125">
        <f t="shared" si="69"/>
        <v>0</v>
      </c>
      <c r="F1125">
        <f t="shared" si="70"/>
        <v>0</v>
      </c>
      <c r="G1125" t="str">
        <f t="shared" si="71"/>
        <v>extra</v>
      </c>
      <c r="J1125">
        <v>1094</v>
      </c>
      <c r="K1125">
        <v>0.49864595585617383</v>
      </c>
    </row>
    <row r="1126" spans="1:11" x14ac:dyDescent="0.25">
      <c r="A1126" s="3">
        <v>39923</v>
      </c>
      <c r="B1126">
        <v>2707.67</v>
      </c>
      <c r="C1126">
        <f t="shared" si="68"/>
        <v>1.0214962896453377</v>
      </c>
      <c r="D1126">
        <v>1110</v>
      </c>
      <c r="E1126">
        <f t="shared" si="69"/>
        <v>0</v>
      </c>
      <c r="F1126">
        <f t="shared" si="70"/>
        <v>0</v>
      </c>
      <c r="G1126" t="str">
        <f t="shared" si="71"/>
        <v>extra</v>
      </c>
      <c r="J1126">
        <v>1095</v>
      </c>
      <c r="K1126">
        <v>0.49873140027917856</v>
      </c>
    </row>
    <row r="1127" spans="1:11" x14ac:dyDescent="0.25">
      <c r="A1127" s="3">
        <v>39920</v>
      </c>
      <c r="B1127">
        <v>2650.69</v>
      </c>
      <c r="C1127">
        <f t="shared" si="68"/>
        <v>0.98644640524578453</v>
      </c>
      <c r="D1127">
        <v>1111</v>
      </c>
      <c r="E1127">
        <f t="shared" si="69"/>
        <v>0</v>
      </c>
      <c r="F1127">
        <f t="shared" si="70"/>
        <v>0</v>
      </c>
      <c r="G1127" t="str">
        <f t="shared" si="71"/>
        <v>extra</v>
      </c>
      <c r="J1127">
        <v>1096</v>
      </c>
      <c r="K1127">
        <v>0.49926594961971549</v>
      </c>
    </row>
    <row r="1128" spans="1:11" x14ac:dyDescent="0.25">
      <c r="A1128" s="3">
        <v>39919</v>
      </c>
      <c r="B1128">
        <v>2687.11</v>
      </c>
      <c r="C1128">
        <f t="shared" si="68"/>
        <v>1.0000446596377361</v>
      </c>
      <c r="D1128">
        <v>1112</v>
      </c>
      <c r="E1128">
        <f t="shared" si="69"/>
        <v>0</v>
      </c>
      <c r="F1128">
        <f t="shared" si="70"/>
        <v>0</v>
      </c>
      <c r="G1128" t="str">
        <f t="shared" si="71"/>
        <v>extra</v>
      </c>
      <c r="J1128">
        <v>1097</v>
      </c>
      <c r="K1128">
        <v>0.49979740880088236</v>
      </c>
    </row>
    <row r="1129" spans="1:11" x14ac:dyDescent="0.25">
      <c r="A1129" s="3">
        <v>39918</v>
      </c>
      <c r="B1129">
        <v>2686.99</v>
      </c>
      <c r="C1129">
        <f t="shared" si="68"/>
        <v>1.0037805347289932</v>
      </c>
      <c r="D1129">
        <v>1113</v>
      </c>
      <c r="E1129">
        <f t="shared" si="69"/>
        <v>0</v>
      </c>
      <c r="F1129">
        <f t="shared" si="70"/>
        <v>0</v>
      </c>
      <c r="G1129" t="str">
        <f t="shared" si="71"/>
        <v>extra</v>
      </c>
      <c r="J1129">
        <v>1098</v>
      </c>
      <c r="K1129">
        <v>0.49986309835617815</v>
      </c>
    </row>
    <row r="1130" spans="1:11" x14ac:dyDescent="0.25">
      <c r="A1130" s="3">
        <v>39917</v>
      </c>
      <c r="B1130">
        <v>2676.87</v>
      </c>
      <c r="C1130">
        <f t="shared" si="68"/>
        <v>1.0076603978136811</v>
      </c>
      <c r="D1130">
        <v>1114</v>
      </c>
      <c r="E1130">
        <f t="shared" si="69"/>
        <v>0</v>
      </c>
      <c r="F1130">
        <f t="shared" si="70"/>
        <v>0</v>
      </c>
      <c r="G1130" t="str">
        <f t="shared" si="71"/>
        <v>extra</v>
      </c>
      <c r="J1130">
        <v>1099</v>
      </c>
      <c r="K1130">
        <v>0.4998635085458123</v>
      </c>
    </row>
    <row r="1131" spans="1:11" x14ac:dyDescent="0.25">
      <c r="A1131" s="3">
        <v>39916</v>
      </c>
      <c r="B1131">
        <v>2656.52</v>
      </c>
      <c r="C1131">
        <f t="shared" si="68"/>
        <v>1.0234980909486693</v>
      </c>
      <c r="D1131">
        <v>1115</v>
      </c>
      <c r="E1131">
        <f t="shared" si="69"/>
        <v>0</v>
      </c>
      <c r="F1131">
        <f t="shared" si="70"/>
        <v>0</v>
      </c>
      <c r="G1131" t="str">
        <f t="shared" si="71"/>
        <v>extra</v>
      </c>
      <c r="J1131">
        <v>1100</v>
      </c>
      <c r="K1131">
        <v>0.50005860058769225</v>
      </c>
    </row>
    <row r="1132" spans="1:11" x14ac:dyDescent="0.25">
      <c r="A1132" s="3">
        <v>39913</v>
      </c>
      <c r="B1132">
        <v>2595.5300000000002</v>
      </c>
      <c r="C1132">
        <f t="shared" si="68"/>
        <v>1.0309254191375359</v>
      </c>
      <c r="D1132">
        <v>1116</v>
      </c>
      <c r="E1132">
        <f t="shared" si="69"/>
        <v>0</v>
      </c>
      <c r="F1132">
        <f t="shared" si="70"/>
        <v>0</v>
      </c>
      <c r="G1132" t="str">
        <f t="shared" si="71"/>
        <v>extra</v>
      </c>
      <c r="J1132">
        <v>1101</v>
      </c>
      <c r="K1132">
        <v>0.50008130987357291</v>
      </c>
    </row>
    <row r="1133" spans="1:11" x14ac:dyDescent="0.25">
      <c r="A1133" s="3">
        <v>39912</v>
      </c>
      <c r="B1133">
        <v>2517.67</v>
      </c>
      <c r="C1133">
        <f t="shared" si="68"/>
        <v>1.0154556637828465</v>
      </c>
      <c r="D1133">
        <v>1117</v>
      </c>
      <c r="E1133">
        <f t="shared" si="69"/>
        <v>0</v>
      </c>
      <c r="F1133">
        <f t="shared" si="70"/>
        <v>0</v>
      </c>
      <c r="G1133" t="str">
        <f t="shared" si="71"/>
        <v>extra</v>
      </c>
      <c r="J1133">
        <v>1102</v>
      </c>
      <c r="K1133">
        <v>0.50126187465361216</v>
      </c>
    </row>
    <row r="1134" spans="1:11" x14ac:dyDescent="0.25">
      <c r="A1134" s="3">
        <v>39911</v>
      </c>
      <c r="B1134">
        <v>2479.35</v>
      </c>
      <c r="C1134">
        <f t="shared" si="68"/>
        <v>0.96212576883525103</v>
      </c>
      <c r="D1134">
        <v>1118</v>
      </c>
      <c r="E1134">
        <f t="shared" si="69"/>
        <v>0</v>
      </c>
      <c r="F1134">
        <f t="shared" si="70"/>
        <v>0</v>
      </c>
      <c r="G1134" t="str">
        <f t="shared" si="71"/>
        <v>extra</v>
      </c>
      <c r="J1134">
        <v>1103</v>
      </c>
      <c r="K1134">
        <v>0.50130785364358399</v>
      </c>
    </row>
    <row r="1135" spans="1:11" x14ac:dyDescent="0.25">
      <c r="A1135" s="3">
        <v>39910</v>
      </c>
      <c r="B1135">
        <v>2576.9499999999998</v>
      </c>
      <c r="C1135">
        <f t="shared" si="68"/>
        <v>1.0025092394475783</v>
      </c>
      <c r="D1135">
        <v>1119</v>
      </c>
      <c r="E1135">
        <f t="shared" si="69"/>
        <v>0</v>
      </c>
      <c r="F1135">
        <f t="shared" si="70"/>
        <v>0</v>
      </c>
      <c r="G1135" t="str">
        <f t="shared" si="71"/>
        <v>extra</v>
      </c>
      <c r="J1135">
        <v>1104</v>
      </c>
      <c r="K1135">
        <v>0.50245964730486459</v>
      </c>
    </row>
    <row r="1136" spans="1:11" x14ac:dyDescent="0.25">
      <c r="A1136" s="3">
        <v>39906</v>
      </c>
      <c r="B1136">
        <v>2570.5</v>
      </c>
      <c r="C1136">
        <f t="shared" si="68"/>
        <v>0.99770998292190649</v>
      </c>
      <c r="D1136">
        <v>1120</v>
      </c>
      <c r="E1136">
        <f t="shared" si="69"/>
        <v>0</v>
      </c>
      <c r="F1136">
        <f t="shared" si="70"/>
        <v>0</v>
      </c>
      <c r="G1136" t="str">
        <f t="shared" si="71"/>
        <v>extra</v>
      </c>
      <c r="J1136">
        <v>1105</v>
      </c>
      <c r="K1136">
        <v>0.50246381840901966</v>
      </c>
    </row>
    <row r="1137" spans="1:11" x14ac:dyDescent="0.25">
      <c r="A1137" s="3">
        <v>39905</v>
      </c>
      <c r="B1137">
        <v>2576.4</v>
      </c>
      <c r="C1137">
        <f t="shared" si="68"/>
        <v>1.0110586997982907</v>
      </c>
      <c r="D1137">
        <v>1121</v>
      </c>
      <c r="E1137">
        <f t="shared" si="69"/>
        <v>0</v>
      </c>
      <c r="F1137">
        <f t="shared" si="70"/>
        <v>0</v>
      </c>
      <c r="G1137" t="str">
        <f t="shared" si="71"/>
        <v>extra</v>
      </c>
      <c r="J1137">
        <v>1106</v>
      </c>
      <c r="K1137">
        <v>0.50300738866292094</v>
      </c>
    </row>
    <row r="1138" spans="1:11" x14ac:dyDescent="0.25">
      <c r="A1138" s="3">
        <v>39904</v>
      </c>
      <c r="B1138">
        <v>2548.2199999999998</v>
      </c>
      <c r="C1138">
        <f t="shared" si="68"/>
        <v>1.0161217645815639</v>
      </c>
      <c r="D1138">
        <v>1122</v>
      </c>
      <c r="E1138">
        <f t="shared" si="69"/>
        <v>0</v>
      </c>
      <c r="F1138">
        <f t="shared" si="70"/>
        <v>0</v>
      </c>
      <c r="G1138" t="str">
        <f t="shared" si="71"/>
        <v>extra</v>
      </c>
      <c r="J1138">
        <v>1107</v>
      </c>
      <c r="K1138">
        <v>0.50306938014927371</v>
      </c>
    </row>
    <row r="1139" spans="1:11" x14ac:dyDescent="0.25">
      <c r="A1139" s="3">
        <v>39903</v>
      </c>
      <c r="B1139">
        <v>2507.79</v>
      </c>
      <c r="C1139">
        <f t="shared" si="68"/>
        <v>1.0093781822426333</v>
      </c>
      <c r="D1139">
        <v>1123</v>
      </c>
      <c r="E1139">
        <f t="shared" si="69"/>
        <v>0</v>
      </c>
      <c r="F1139">
        <f t="shared" si="70"/>
        <v>0</v>
      </c>
      <c r="G1139" t="str">
        <f t="shared" si="71"/>
        <v>extra</v>
      </c>
      <c r="J1139">
        <v>1108</v>
      </c>
      <c r="K1139">
        <v>0.50311461330824414</v>
      </c>
    </row>
    <row r="1140" spans="1:11" x14ac:dyDescent="0.25">
      <c r="A1140" s="3">
        <v>39902</v>
      </c>
      <c r="B1140">
        <v>2484.4899999999998</v>
      </c>
      <c r="C1140">
        <f t="shared" si="68"/>
        <v>0.9942215268134762</v>
      </c>
      <c r="D1140">
        <v>1124</v>
      </c>
      <c r="E1140">
        <f t="shared" si="69"/>
        <v>0</v>
      </c>
      <c r="F1140">
        <f t="shared" si="70"/>
        <v>0</v>
      </c>
      <c r="G1140" t="str">
        <f t="shared" si="71"/>
        <v>extra</v>
      </c>
      <c r="J1140">
        <v>1109</v>
      </c>
      <c r="K1140">
        <v>0.50452483726468633</v>
      </c>
    </row>
    <row r="1141" spans="1:11" x14ac:dyDescent="0.25">
      <c r="A1141" s="3">
        <v>39899</v>
      </c>
      <c r="B1141">
        <v>2498.9299999999998</v>
      </c>
      <c r="C1141">
        <f t="shared" si="68"/>
        <v>1.0077183955092972</v>
      </c>
      <c r="D1141">
        <v>1125</v>
      </c>
      <c r="E1141">
        <f t="shared" si="69"/>
        <v>0</v>
      </c>
      <c r="F1141">
        <f t="shared" si="70"/>
        <v>0</v>
      </c>
      <c r="G1141" t="str">
        <f t="shared" si="71"/>
        <v>extra</v>
      </c>
      <c r="J1141">
        <v>1110</v>
      </c>
      <c r="K1141">
        <v>0.5046638808980779</v>
      </c>
    </row>
    <row r="1142" spans="1:11" x14ac:dyDescent="0.25">
      <c r="A1142" s="3">
        <v>39898</v>
      </c>
      <c r="B1142">
        <v>2479.79</v>
      </c>
      <c r="C1142">
        <f t="shared" si="68"/>
        <v>1.0326735600687953</v>
      </c>
      <c r="D1142">
        <v>1126</v>
      </c>
      <c r="E1142">
        <f t="shared" si="69"/>
        <v>0</v>
      </c>
      <c r="F1142">
        <f t="shared" si="70"/>
        <v>0</v>
      </c>
      <c r="G1142" t="str">
        <f t="shared" si="71"/>
        <v>extra</v>
      </c>
      <c r="J1142">
        <v>1111</v>
      </c>
      <c r="K1142">
        <v>0.5051172328393404</v>
      </c>
    </row>
    <row r="1143" spans="1:11" x14ac:dyDescent="0.25">
      <c r="A1143" s="3">
        <v>39897</v>
      </c>
      <c r="B1143">
        <v>2401.33</v>
      </c>
      <c r="C1143">
        <f t="shared" si="68"/>
        <v>0.97942311300361362</v>
      </c>
      <c r="D1143">
        <v>1127</v>
      </c>
      <c r="E1143">
        <f t="shared" si="69"/>
        <v>0</v>
      </c>
      <c r="F1143">
        <f t="shared" si="70"/>
        <v>0</v>
      </c>
      <c r="G1143" t="str">
        <f t="shared" si="71"/>
        <v>extra</v>
      </c>
      <c r="J1143">
        <v>1112</v>
      </c>
      <c r="K1143">
        <v>0.50529837718119319</v>
      </c>
    </row>
    <row r="1144" spans="1:11" x14ac:dyDescent="0.25">
      <c r="A1144" s="3">
        <v>39896</v>
      </c>
      <c r="B1144">
        <v>2451.7800000000002</v>
      </c>
      <c r="C1144">
        <f t="shared" si="68"/>
        <v>1.0050750184471591</v>
      </c>
      <c r="D1144">
        <v>1128</v>
      </c>
      <c r="E1144">
        <f t="shared" si="69"/>
        <v>0</v>
      </c>
      <c r="F1144">
        <f t="shared" si="70"/>
        <v>0</v>
      </c>
      <c r="G1144" t="str">
        <f t="shared" si="71"/>
        <v>extra</v>
      </c>
      <c r="J1144">
        <v>1113</v>
      </c>
      <c r="K1144">
        <v>0.50529799515148044</v>
      </c>
    </row>
    <row r="1145" spans="1:11" x14ac:dyDescent="0.25">
      <c r="A1145" s="3">
        <v>39895</v>
      </c>
      <c r="B1145">
        <v>2439.4</v>
      </c>
      <c r="C1145">
        <f t="shared" si="68"/>
        <v>1.0250268925642059</v>
      </c>
      <c r="D1145">
        <v>1129</v>
      </c>
      <c r="E1145">
        <f t="shared" si="69"/>
        <v>0</v>
      </c>
      <c r="F1145">
        <f t="shared" si="70"/>
        <v>0</v>
      </c>
      <c r="G1145" t="str">
        <f t="shared" si="71"/>
        <v>extra</v>
      </c>
      <c r="J1145">
        <v>1114</v>
      </c>
      <c r="K1145">
        <v>0.50531260159785485</v>
      </c>
    </row>
    <row r="1146" spans="1:11" x14ac:dyDescent="0.25">
      <c r="A1146" s="3">
        <v>39892</v>
      </c>
      <c r="B1146">
        <v>2379.84</v>
      </c>
      <c r="C1146">
        <f t="shared" si="68"/>
        <v>0.99885837082801698</v>
      </c>
      <c r="D1146">
        <v>1130</v>
      </c>
      <c r="E1146">
        <f t="shared" si="69"/>
        <v>0</v>
      </c>
      <c r="F1146">
        <f t="shared" si="70"/>
        <v>0</v>
      </c>
      <c r="G1146" t="str">
        <f t="shared" si="71"/>
        <v>extra</v>
      </c>
      <c r="J1146">
        <v>1115</v>
      </c>
      <c r="K1146">
        <v>0.50537164332619877</v>
      </c>
    </row>
    <row r="1147" spans="1:11" x14ac:dyDescent="0.25">
      <c r="A1147" s="3">
        <v>39891</v>
      </c>
      <c r="B1147">
        <v>2382.56</v>
      </c>
      <c r="C1147">
        <f t="shared" si="68"/>
        <v>1.021396266049343</v>
      </c>
      <c r="D1147">
        <v>1131</v>
      </c>
      <c r="E1147">
        <f t="shared" si="69"/>
        <v>0</v>
      </c>
      <c r="F1147">
        <f t="shared" si="70"/>
        <v>0</v>
      </c>
      <c r="G1147" t="str">
        <f t="shared" si="71"/>
        <v>extra</v>
      </c>
      <c r="J1147">
        <v>1116</v>
      </c>
      <c r="K1147">
        <v>0.50591021504779365</v>
      </c>
    </row>
    <row r="1148" spans="1:11" x14ac:dyDescent="0.25">
      <c r="A1148" s="3">
        <v>39890</v>
      </c>
      <c r="B1148">
        <v>2332.65</v>
      </c>
      <c r="C1148">
        <f t="shared" si="68"/>
        <v>1.0044135377196004</v>
      </c>
      <c r="D1148">
        <v>1132</v>
      </c>
      <c r="E1148">
        <f t="shared" si="69"/>
        <v>0</v>
      </c>
      <c r="F1148">
        <f t="shared" si="70"/>
        <v>0</v>
      </c>
      <c r="G1148" t="str">
        <f t="shared" si="71"/>
        <v>extra</v>
      </c>
      <c r="J1148">
        <v>1117</v>
      </c>
      <c r="K1148">
        <v>0.50683193551547323</v>
      </c>
    </row>
    <row r="1149" spans="1:11" x14ac:dyDescent="0.25">
      <c r="A1149" s="3">
        <v>39889</v>
      </c>
      <c r="B1149">
        <v>2322.4</v>
      </c>
      <c r="C1149">
        <f t="shared" si="68"/>
        <v>1.0360410597740017</v>
      </c>
      <c r="D1149">
        <v>1133</v>
      </c>
      <c r="E1149">
        <f t="shared" si="69"/>
        <v>0</v>
      </c>
      <c r="F1149">
        <f t="shared" si="70"/>
        <v>0</v>
      </c>
      <c r="G1149" t="str">
        <f t="shared" si="71"/>
        <v>extra</v>
      </c>
      <c r="J1149">
        <v>1118</v>
      </c>
      <c r="K1149">
        <v>0.50706561478224743</v>
      </c>
    </row>
    <row r="1150" spans="1:11" x14ac:dyDescent="0.25">
      <c r="A1150" s="3">
        <v>39888</v>
      </c>
      <c r="B1150">
        <v>2241.61</v>
      </c>
      <c r="C1150">
        <f t="shared" si="68"/>
        <v>1.0164095727797879</v>
      </c>
      <c r="D1150">
        <v>1134</v>
      </c>
      <c r="E1150">
        <f t="shared" si="69"/>
        <v>0</v>
      </c>
      <c r="F1150">
        <f t="shared" si="70"/>
        <v>0</v>
      </c>
      <c r="G1150" t="str">
        <f t="shared" si="71"/>
        <v>extra</v>
      </c>
      <c r="J1150">
        <v>1119</v>
      </c>
      <c r="K1150">
        <v>0.50853074187926539</v>
      </c>
    </row>
    <row r="1151" spans="1:11" x14ac:dyDescent="0.25">
      <c r="A1151" s="3">
        <v>39885</v>
      </c>
      <c r="B1151">
        <v>2205.42</v>
      </c>
      <c r="C1151">
        <f t="shared" si="68"/>
        <v>0.99536038272329297</v>
      </c>
      <c r="D1151">
        <v>1135</v>
      </c>
      <c r="E1151">
        <f t="shared" si="69"/>
        <v>0</v>
      </c>
      <c r="F1151">
        <f t="shared" si="70"/>
        <v>0</v>
      </c>
      <c r="G1151" t="str">
        <f t="shared" si="71"/>
        <v>extra</v>
      </c>
      <c r="J1151">
        <v>1120</v>
      </c>
      <c r="K1151">
        <v>0.50853692805264172</v>
      </c>
    </row>
    <row r="1152" spans="1:11" x14ac:dyDescent="0.25">
      <c r="A1152" s="3">
        <v>39884</v>
      </c>
      <c r="B1152">
        <v>2215.6999999999998</v>
      </c>
      <c r="C1152">
        <f t="shared" si="68"/>
        <v>0.9978922526774695</v>
      </c>
      <c r="D1152">
        <v>1136</v>
      </c>
      <c r="E1152">
        <f t="shared" si="69"/>
        <v>0</v>
      </c>
      <c r="F1152">
        <f t="shared" si="70"/>
        <v>0</v>
      </c>
      <c r="G1152" t="str">
        <f t="shared" si="71"/>
        <v>extra</v>
      </c>
      <c r="J1152">
        <v>1121</v>
      </c>
      <c r="K1152">
        <v>0.50854134073581714</v>
      </c>
    </row>
    <row r="1153" spans="1:11" x14ac:dyDescent="0.25">
      <c r="A1153" s="3">
        <v>39883</v>
      </c>
      <c r="B1153">
        <v>2220.38</v>
      </c>
      <c r="C1153">
        <f t="shared" si="68"/>
        <v>0.99089602727621628</v>
      </c>
      <c r="D1153">
        <v>1137</v>
      </c>
      <c r="E1153">
        <f t="shared" si="69"/>
        <v>0</v>
      </c>
      <c r="F1153">
        <f t="shared" si="70"/>
        <v>0</v>
      </c>
      <c r="G1153" t="str">
        <f t="shared" si="71"/>
        <v>extra</v>
      </c>
      <c r="J1153">
        <v>1122</v>
      </c>
      <c r="K1153">
        <v>0.50866173018462557</v>
      </c>
    </row>
    <row r="1154" spans="1:11" x14ac:dyDescent="0.25">
      <c r="A1154" s="3">
        <v>39882</v>
      </c>
      <c r="B1154">
        <v>2240.7800000000002</v>
      </c>
      <c r="C1154">
        <f t="shared" si="68"/>
        <v>1.0173663922852356</v>
      </c>
      <c r="D1154">
        <v>1138</v>
      </c>
      <c r="E1154">
        <f t="shared" si="69"/>
        <v>0</v>
      </c>
      <c r="F1154">
        <f t="shared" si="70"/>
        <v>0</v>
      </c>
      <c r="G1154" t="str">
        <f t="shared" si="71"/>
        <v>extra</v>
      </c>
      <c r="J1154">
        <v>1123</v>
      </c>
      <c r="K1154">
        <v>0.50891518293925231</v>
      </c>
    </row>
    <row r="1155" spans="1:11" x14ac:dyDescent="0.25">
      <c r="A1155" s="3">
        <v>39881</v>
      </c>
      <c r="B1155">
        <v>2202.5300000000002</v>
      </c>
      <c r="C1155">
        <f t="shared" si="68"/>
        <v>0.96324204707467054</v>
      </c>
      <c r="D1155">
        <v>1139</v>
      </c>
      <c r="E1155">
        <f t="shared" si="69"/>
        <v>0</v>
      </c>
      <c r="F1155">
        <f t="shared" si="70"/>
        <v>0</v>
      </c>
      <c r="G1155" t="str">
        <f t="shared" si="71"/>
        <v>extra</v>
      </c>
      <c r="J1155">
        <v>1124</v>
      </c>
      <c r="K1155">
        <v>0.50900151557827389</v>
      </c>
    </row>
    <row r="1156" spans="1:11" x14ac:dyDescent="0.25">
      <c r="A1156" s="3">
        <v>39878</v>
      </c>
      <c r="B1156">
        <v>2286.58</v>
      </c>
      <c r="C1156">
        <f t="shared" si="68"/>
        <v>0.99204310778682114</v>
      </c>
      <c r="D1156">
        <v>1140</v>
      </c>
      <c r="E1156">
        <f t="shared" si="69"/>
        <v>0</v>
      </c>
      <c r="F1156">
        <f t="shared" si="70"/>
        <v>0</v>
      </c>
      <c r="G1156" t="str">
        <f t="shared" si="71"/>
        <v>extra</v>
      </c>
      <c r="J1156">
        <v>1125</v>
      </c>
      <c r="K1156">
        <v>0.50903357227534252</v>
      </c>
    </row>
    <row r="1157" spans="1:11" x14ac:dyDescent="0.25">
      <c r="A1157" s="3">
        <v>39877</v>
      </c>
      <c r="B1157">
        <v>2304.92</v>
      </c>
      <c r="C1157">
        <f t="shared" si="68"/>
        <v>1.0086515108417391</v>
      </c>
      <c r="D1157">
        <v>1141</v>
      </c>
      <c r="E1157">
        <f t="shared" si="69"/>
        <v>0</v>
      </c>
      <c r="F1157">
        <f t="shared" si="70"/>
        <v>0</v>
      </c>
      <c r="G1157" t="str">
        <f t="shared" si="71"/>
        <v>extra</v>
      </c>
      <c r="J1157">
        <v>1126</v>
      </c>
      <c r="K1157">
        <v>0.50909211110465102</v>
      </c>
    </row>
    <row r="1158" spans="1:11" x14ac:dyDescent="0.25">
      <c r="A1158" s="3">
        <v>39876</v>
      </c>
      <c r="B1158">
        <v>2285.15</v>
      </c>
      <c r="C1158">
        <f t="shared" si="68"/>
        <v>1.0667553626029924</v>
      </c>
      <c r="D1158">
        <v>1142</v>
      </c>
      <c r="E1158">
        <f t="shared" si="69"/>
        <v>0</v>
      </c>
      <c r="F1158">
        <f t="shared" si="70"/>
        <v>0</v>
      </c>
      <c r="G1158" t="str">
        <f t="shared" si="71"/>
        <v>extra</v>
      </c>
      <c r="J1158">
        <v>1127</v>
      </c>
      <c r="K1158">
        <v>0.51010983269995203</v>
      </c>
    </row>
    <row r="1159" spans="1:11" x14ac:dyDescent="0.25">
      <c r="A1159" s="3">
        <v>39875</v>
      </c>
      <c r="B1159">
        <v>2142.15</v>
      </c>
      <c r="C1159">
        <f t="shared" si="68"/>
        <v>0.98959656668221951</v>
      </c>
      <c r="D1159">
        <v>1143</v>
      </c>
      <c r="E1159">
        <f t="shared" si="69"/>
        <v>0</v>
      </c>
      <c r="F1159">
        <f t="shared" si="70"/>
        <v>0</v>
      </c>
      <c r="G1159" t="str">
        <f t="shared" si="71"/>
        <v>extra</v>
      </c>
      <c r="J1159">
        <v>1128</v>
      </c>
      <c r="K1159">
        <v>0.51053258096540011</v>
      </c>
    </row>
    <row r="1160" spans="1:11" x14ac:dyDescent="0.25">
      <c r="A1160" s="3">
        <v>39874</v>
      </c>
      <c r="B1160">
        <v>2164.67</v>
      </c>
      <c r="C1160">
        <f t="shared" si="68"/>
        <v>1.0112964788436294</v>
      </c>
      <c r="D1160">
        <v>1144</v>
      </c>
      <c r="E1160">
        <f t="shared" si="69"/>
        <v>0</v>
      </c>
      <c r="F1160">
        <f t="shared" si="70"/>
        <v>0</v>
      </c>
      <c r="G1160" t="str">
        <f t="shared" si="71"/>
        <v>extra</v>
      </c>
      <c r="J1160">
        <v>1129</v>
      </c>
      <c r="K1160">
        <v>0.51055767002884178</v>
      </c>
    </row>
    <row r="1161" spans="1:11" x14ac:dyDescent="0.25">
      <c r="A1161" s="3">
        <v>39871</v>
      </c>
      <c r="B1161">
        <v>2140.4899999999998</v>
      </c>
      <c r="C1161">
        <f t="shared" si="68"/>
        <v>0.97730790479364793</v>
      </c>
      <c r="D1161">
        <v>1145</v>
      </c>
      <c r="E1161">
        <f t="shared" si="69"/>
        <v>0</v>
      </c>
      <c r="F1161">
        <f t="shared" si="70"/>
        <v>0</v>
      </c>
      <c r="G1161" t="str">
        <f t="shared" si="71"/>
        <v>extra</v>
      </c>
      <c r="J1161">
        <v>1130</v>
      </c>
      <c r="K1161">
        <v>0.51115742491089133</v>
      </c>
    </row>
    <row r="1162" spans="1:11" x14ac:dyDescent="0.25">
      <c r="A1162" s="3">
        <v>39870</v>
      </c>
      <c r="B1162">
        <v>2190.19</v>
      </c>
      <c r="C1162">
        <f t="shared" si="68"/>
        <v>0.95050016274275795</v>
      </c>
      <c r="D1162">
        <v>1146</v>
      </c>
      <c r="E1162">
        <f t="shared" si="69"/>
        <v>0</v>
      </c>
      <c r="F1162">
        <f t="shared" si="70"/>
        <v>0</v>
      </c>
      <c r="G1162" t="str">
        <f t="shared" si="71"/>
        <v>extra</v>
      </c>
      <c r="J1162">
        <v>1131</v>
      </c>
      <c r="K1162">
        <v>0.51115827743362019</v>
      </c>
    </row>
    <row r="1163" spans="1:11" x14ac:dyDescent="0.25">
      <c r="A1163" s="3">
        <v>39869</v>
      </c>
      <c r="B1163">
        <v>2304.25</v>
      </c>
      <c r="C1163">
        <f t="shared" si="68"/>
        <v>1.0010426396159611</v>
      </c>
      <c r="D1163">
        <v>1147</v>
      </c>
      <c r="E1163">
        <f t="shared" si="69"/>
        <v>0</v>
      </c>
      <c r="F1163">
        <f t="shared" si="70"/>
        <v>0</v>
      </c>
      <c r="G1163" t="str">
        <f t="shared" si="71"/>
        <v>extra</v>
      </c>
      <c r="J1163">
        <v>1132</v>
      </c>
      <c r="K1163">
        <v>0.51159698002232867</v>
      </c>
    </row>
    <row r="1164" spans="1:11" x14ac:dyDescent="0.25">
      <c r="A1164" s="3">
        <v>39868</v>
      </c>
      <c r="B1164">
        <v>2301.85</v>
      </c>
      <c r="C1164">
        <f t="shared" si="68"/>
        <v>0.95493428694699811</v>
      </c>
      <c r="D1164">
        <v>1148</v>
      </c>
      <c r="E1164">
        <f t="shared" si="69"/>
        <v>0</v>
      </c>
      <c r="F1164">
        <f t="shared" si="70"/>
        <v>0</v>
      </c>
      <c r="G1164" t="str">
        <f t="shared" si="71"/>
        <v>extra</v>
      </c>
      <c r="J1164">
        <v>1133</v>
      </c>
      <c r="K1164">
        <v>0.51161549213606405</v>
      </c>
    </row>
    <row r="1165" spans="1:11" x14ac:dyDescent="0.25">
      <c r="A1165" s="3">
        <v>39867</v>
      </c>
      <c r="B1165">
        <v>2410.48</v>
      </c>
      <c r="C1165">
        <f t="shared" si="68"/>
        <v>1.0282214032214032</v>
      </c>
      <c r="D1165">
        <v>1149</v>
      </c>
      <c r="E1165">
        <f t="shared" si="69"/>
        <v>0</v>
      </c>
      <c r="F1165">
        <f t="shared" si="70"/>
        <v>0</v>
      </c>
      <c r="G1165" t="str">
        <f t="shared" si="71"/>
        <v>extra</v>
      </c>
      <c r="J1165">
        <v>1134</v>
      </c>
      <c r="K1165">
        <v>0.51283914715722145</v>
      </c>
    </row>
    <row r="1166" spans="1:11" x14ac:dyDescent="0.25">
      <c r="A1166" s="3">
        <v>39864</v>
      </c>
      <c r="B1166">
        <v>2344.3200000000002</v>
      </c>
      <c r="C1166">
        <f t="shared" si="68"/>
        <v>1.0199746781470671</v>
      </c>
      <c r="D1166">
        <v>1150</v>
      </c>
      <c r="E1166">
        <f t="shared" si="69"/>
        <v>0</v>
      </c>
      <c r="F1166">
        <f t="shared" si="70"/>
        <v>0</v>
      </c>
      <c r="G1166" t="str">
        <f t="shared" si="71"/>
        <v>extra</v>
      </c>
      <c r="J1166">
        <v>1135</v>
      </c>
      <c r="K1166">
        <v>0.51309586908475602</v>
      </c>
    </row>
    <row r="1167" spans="1:11" x14ac:dyDescent="0.25">
      <c r="A1167" s="3">
        <v>39863</v>
      </c>
      <c r="B1167">
        <v>2298.41</v>
      </c>
      <c r="C1167">
        <f t="shared" si="68"/>
        <v>1.0099172173790776</v>
      </c>
      <c r="D1167">
        <v>1151</v>
      </c>
      <c r="E1167">
        <f t="shared" si="69"/>
        <v>0</v>
      </c>
      <c r="F1167">
        <f t="shared" si="70"/>
        <v>0</v>
      </c>
      <c r="G1167" t="str">
        <f t="shared" si="71"/>
        <v>extra</v>
      </c>
      <c r="J1167">
        <v>1136</v>
      </c>
      <c r="K1167">
        <v>0.51311707645868188</v>
      </c>
    </row>
    <row r="1168" spans="1:11" x14ac:dyDescent="0.25">
      <c r="A1168" s="3">
        <v>39862</v>
      </c>
      <c r="B1168">
        <v>2275.84</v>
      </c>
      <c r="C1168">
        <f t="shared" si="68"/>
        <v>0.95411459403259147</v>
      </c>
      <c r="D1168">
        <v>1152</v>
      </c>
      <c r="E1168">
        <f t="shared" si="69"/>
        <v>0</v>
      </c>
      <c r="F1168">
        <f t="shared" si="70"/>
        <v>0</v>
      </c>
      <c r="G1168" t="str">
        <f t="shared" si="71"/>
        <v>extra</v>
      </c>
      <c r="J1168">
        <v>1137</v>
      </c>
      <c r="K1168">
        <v>0.51312123763444706</v>
      </c>
    </row>
    <row r="1169" spans="1:11" x14ac:dyDescent="0.25">
      <c r="A1169" s="3">
        <v>39861</v>
      </c>
      <c r="B1169">
        <v>2385.29</v>
      </c>
      <c r="C1169">
        <f t="shared" si="68"/>
        <v>0.9687440349274038</v>
      </c>
      <c r="D1169">
        <v>1153</v>
      </c>
      <c r="E1169">
        <f t="shared" si="69"/>
        <v>0</v>
      </c>
      <c r="F1169">
        <f t="shared" si="70"/>
        <v>0</v>
      </c>
      <c r="G1169" t="str">
        <f t="shared" si="71"/>
        <v>extra</v>
      </c>
      <c r="J1169">
        <v>1138</v>
      </c>
      <c r="K1169">
        <v>0.51320330815129889</v>
      </c>
    </row>
    <row r="1170" spans="1:11" x14ac:dyDescent="0.25">
      <c r="A1170" s="3">
        <v>39860</v>
      </c>
      <c r="B1170">
        <v>2462.25</v>
      </c>
      <c r="C1170">
        <f t="shared" ref="C1170:C1233" si="72">B1170/B1171</f>
        <v>1.0263352048918954</v>
      </c>
      <c r="D1170">
        <v>1154</v>
      </c>
      <c r="E1170">
        <f t="shared" ref="E1170:E1233" si="73">IF(D1170&gt;$B$6,0,LN(C1170))</f>
        <v>0</v>
      </c>
      <c r="F1170">
        <f t="shared" ref="F1170:F1233" si="74">IF(D1170&gt;$B$6,0,(E1170-$B$7)^2)</f>
        <v>0</v>
      </c>
      <c r="G1170" t="str">
        <f t="shared" ref="G1170:G1233" si="75">IF(D1170&lt;=$B$6,E1170,"extra")</f>
        <v>extra</v>
      </c>
      <c r="J1170">
        <v>1139</v>
      </c>
      <c r="K1170">
        <v>0.51349048165881128</v>
      </c>
    </row>
    <row r="1171" spans="1:11" x14ac:dyDescent="0.25">
      <c r="A1171" s="3">
        <v>39857</v>
      </c>
      <c r="B1171">
        <v>2399.0700000000002</v>
      </c>
      <c r="C1171">
        <f t="shared" si="72"/>
        <v>1.0348223297704393</v>
      </c>
      <c r="D1171">
        <v>1155</v>
      </c>
      <c r="E1171">
        <f t="shared" si="73"/>
        <v>0</v>
      </c>
      <c r="F1171">
        <f t="shared" si="74"/>
        <v>0</v>
      </c>
      <c r="G1171" t="str">
        <f t="shared" si="75"/>
        <v>extra</v>
      </c>
      <c r="J1171">
        <v>1140</v>
      </c>
      <c r="K1171">
        <v>0.51485933631917447</v>
      </c>
    </row>
    <row r="1172" spans="1:11" x14ac:dyDescent="0.25">
      <c r="A1172" s="3">
        <v>39856</v>
      </c>
      <c r="B1172">
        <v>2318.34</v>
      </c>
      <c r="C1172">
        <f t="shared" si="72"/>
        <v>0.99450912429111948</v>
      </c>
      <c r="D1172">
        <v>1156</v>
      </c>
      <c r="E1172">
        <f t="shared" si="73"/>
        <v>0</v>
      </c>
      <c r="F1172">
        <f t="shared" si="74"/>
        <v>0</v>
      </c>
      <c r="G1172" t="str">
        <f t="shared" si="75"/>
        <v>extra</v>
      </c>
      <c r="J1172">
        <v>1141</v>
      </c>
      <c r="K1172">
        <v>0.51492134597097516</v>
      </c>
    </row>
    <row r="1173" spans="1:11" x14ac:dyDescent="0.25">
      <c r="A1173" s="3">
        <v>39855</v>
      </c>
      <c r="B1173">
        <v>2331.14</v>
      </c>
      <c r="C1173">
        <f t="shared" si="72"/>
        <v>1.0018867519071666</v>
      </c>
      <c r="D1173">
        <v>1157</v>
      </c>
      <c r="E1173">
        <f t="shared" si="73"/>
        <v>0</v>
      </c>
      <c r="F1173">
        <f t="shared" si="74"/>
        <v>0</v>
      </c>
      <c r="G1173" t="str">
        <f t="shared" si="75"/>
        <v>extra</v>
      </c>
      <c r="J1173">
        <v>1142</v>
      </c>
      <c r="K1173">
        <v>0.5149927753770841</v>
      </c>
    </row>
    <row r="1174" spans="1:11" x14ac:dyDescent="0.25">
      <c r="A1174" s="3">
        <v>39854</v>
      </c>
      <c r="B1174">
        <v>2326.75</v>
      </c>
      <c r="C1174">
        <f t="shared" si="72"/>
        <v>1.0130972233712288</v>
      </c>
      <c r="D1174">
        <v>1158</v>
      </c>
      <c r="E1174">
        <f t="shared" si="73"/>
        <v>0</v>
      </c>
      <c r="F1174">
        <f t="shared" si="74"/>
        <v>0</v>
      </c>
      <c r="G1174" t="str">
        <f t="shared" si="75"/>
        <v>extra</v>
      </c>
      <c r="J1174">
        <v>1143</v>
      </c>
      <c r="K1174">
        <v>0.51903136844494391</v>
      </c>
    </row>
    <row r="1175" spans="1:11" x14ac:dyDescent="0.25">
      <c r="A1175" s="3">
        <v>39853</v>
      </c>
      <c r="B1175">
        <v>2296.67</v>
      </c>
      <c r="C1175">
        <f t="shared" si="72"/>
        <v>1.0265456268325823</v>
      </c>
      <c r="D1175">
        <v>1159</v>
      </c>
      <c r="E1175">
        <f t="shared" si="73"/>
        <v>0</v>
      </c>
      <c r="F1175">
        <f t="shared" si="74"/>
        <v>0</v>
      </c>
      <c r="G1175" t="str">
        <f t="shared" si="75"/>
        <v>extra</v>
      </c>
      <c r="J1175">
        <v>1144</v>
      </c>
      <c r="K1175">
        <v>0.51913805723671236</v>
      </c>
    </row>
    <row r="1176" spans="1:11" x14ac:dyDescent="0.25">
      <c r="A1176" s="3">
        <v>39850</v>
      </c>
      <c r="B1176">
        <v>2237.2800000000002</v>
      </c>
      <c r="C1176">
        <f t="shared" si="72"/>
        <v>1.0401260826510832</v>
      </c>
      <c r="D1176">
        <v>1160</v>
      </c>
      <c r="E1176">
        <f t="shared" si="73"/>
        <v>0</v>
      </c>
      <c r="F1176">
        <f t="shared" si="74"/>
        <v>0</v>
      </c>
      <c r="G1176" t="str">
        <f t="shared" si="75"/>
        <v>extra</v>
      </c>
      <c r="J1176">
        <v>1145</v>
      </c>
      <c r="K1176">
        <v>0.519257727196339</v>
      </c>
    </row>
    <row r="1177" spans="1:11" x14ac:dyDescent="0.25">
      <c r="A1177" s="3">
        <v>39849</v>
      </c>
      <c r="B1177">
        <v>2150.9699999999998</v>
      </c>
      <c r="C1177">
        <f t="shared" si="72"/>
        <v>0.9928730018786841</v>
      </c>
      <c r="D1177">
        <v>1161</v>
      </c>
      <c r="E1177">
        <f t="shared" si="73"/>
        <v>0</v>
      </c>
      <c r="F1177">
        <f t="shared" si="74"/>
        <v>0</v>
      </c>
      <c r="G1177" t="str">
        <f t="shared" si="75"/>
        <v>extra</v>
      </c>
      <c r="J1177">
        <v>1146</v>
      </c>
      <c r="K1177">
        <v>0.51976847694703876</v>
      </c>
    </row>
    <row r="1178" spans="1:11" x14ac:dyDescent="0.25">
      <c r="A1178" s="3">
        <v>39848</v>
      </c>
      <c r="B1178">
        <v>2166.41</v>
      </c>
      <c r="C1178">
        <f t="shared" si="72"/>
        <v>1.027265269736499</v>
      </c>
      <c r="D1178">
        <v>1162</v>
      </c>
      <c r="E1178">
        <f t="shared" si="73"/>
        <v>0</v>
      </c>
      <c r="F1178">
        <f t="shared" si="74"/>
        <v>0</v>
      </c>
      <c r="G1178" t="str">
        <f t="shared" si="75"/>
        <v>extra</v>
      </c>
      <c r="J1178">
        <v>1147</v>
      </c>
      <c r="K1178">
        <v>0.52224962574930156</v>
      </c>
    </row>
    <row r="1179" spans="1:11" x14ac:dyDescent="0.25">
      <c r="A1179" s="3">
        <v>39847</v>
      </c>
      <c r="B1179">
        <v>2108.91</v>
      </c>
      <c r="C1179">
        <f t="shared" si="72"/>
        <v>1.0252058763477974</v>
      </c>
      <c r="D1179">
        <v>1163</v>
      </c>
      <c r="E1179">
        <f t="shared" si="73"/>
        <v>0</v>
      </c>
      <c r="F1179">
        <f t="shared" si="74"/>
        <v>0</v>
      </c>
      <c r="G1179" t="str">
        <f t="shared" si="75"/>
        <v>extra</v>
      </c>
      <c r="J1179">
        <v>1148</v>
      </c>
      <c r="K1179">
        <v>0.52225023453203046</v>
      </c>
    </row>
    <row r="1180" spans="1:11" x14ac:dyDescent="0.25">
      <c r="A1180" s="3">
        <v>39846</v>
      </c>
      <c r="B1180">
        <v>2057.06</v>
      </c>
      <c r="C1180">
        <f t="shared" si="72"/>
        <v>1.0119940177499656</v>
      </c>
      <c r="D1180">
        <v>1164</v>
      </c>
      <c r="E1180">
        <f t="shared" si="73"/>
        <v>0</v>
      </c>
      <c r="F1180">
        <f t="shared" si="74"/>
        <v>0</v>
      </c>
      <c r="G1180" t="str">
        <f t="shared" si="75"/>
        <v>extra</v>
      </c>
      <c r="J1180">
        <v>1149</v>
      </c>
      <c r="K1180">
        <v>0.52428505848865659</v>
      </c>
    </row>
    <row r="1181" spans="1:11" x14ac:dyDescent="0.25">
      <c r="A1181" s="3">
        <v>39836</v>
      </c>
      <c r="B1181">
        <v>2032.68</v>
      </c>
      <c r="C1181">
        <f t="shared" si="72"/>
        <v>0.99419432148883624</v>
      </c>
      <c r="D1181">
        <v>1165</v>
      </c>
      <c r="E1181">
        <f t="shared" si="73"/>
        <v>0</v>
      </c>
      <c r="F1181">
        <f t="shared" si="74"/>
        <v>0</v>
      </c>
      <c r="G1181" t="str">
        <f t="shared" si="75"/>
        <v>extra</v>
      </c>
      <c r="J1181">
        <v>1150</v>
      </c>
      <c r="K1181">
        <v>0.52502460518217475</v>
      </c>
    </row>
    <row r="1182" spans="1:11" x14ac:dyDescent="0.25">
      <c r="A1182" s="3">
        <v>39835</v>
      </c>
      <c r="B1182">
        <v>2044.55</v>
      </c>
      <c r="C1182">
        <f t="shared" si="72"/>
        <v>1.0112973670803429</v>
      </c>
      <c r="D1182">
        <v>1166</v>
      </c>
      <c r="E1182">
        <f t="shared" si="73"/>
        <v>0</v>
      </c>
      <c r="F1182">
        <f t="shared" si="74"/>
        <v>0</v>
      </c>
      <c r="G1182" t="str">
        <f t="shared" si="75"/>
        <v>extra</v>
      </c>
      <c r="J1182">
        <v>1151</v>
      </c>
      <c r="K1182">
        <v>0.52539682747513106</v>
      </c>
    </row>
    <row r="1183" spans="1:11" x14ac:dyDescent="0.25">
      <c r="A1183" s="3">
        <v>39834</v>
      </c>
      <c r="B1183">
        <v>2021.71</v>
      </c>
      <c r="C1183">
        <f t="shared" si="72"/>
        <v>0.9982816427100667</v>
      </c>
      <c r="D1183">
        <v>1167</v>
      </c>
      <c r="E1183">
        <f t="shared" si="73"/>
        <v>0</v>
      </c>
      <c r="F1183">
        <f t="shared" si="74"/>
        <v>0</v>
      </c>
      <c r="G1183" t="str">
        <f t="shared" si="75"/>
        <v>extra</v>
      </c>
      <c r="J1183">
        <v>1152</v>
      </c>
      <c r="K1183">
        <v>0.5254888126373598</v>
      </c>
    </row>
    <row r="1184" spans="1:11" x14ac:dyDescent="0.25">
      <c r="A1184" s="3">
        <v>39833</v>
      </c>
      <c r="B1184">
        <v>2025.19</v>
      </c>
      <c r="C1184">
        <f t="shared" si="72"/>
        <v>1.0063205911144018</v>
      </c>
      <c r="D1184">
        <v>1168</v>
      </c>
      <c r="E1184">
        <f t="shared" si="73"/>
        <v>0</v>
      </c>
      <c r="F1184">
        <f t="shared" si="74"/>
        <v>0</v>
      </c>
      <c r="G1184" t="str">
        <f t="shared" si="75"/>
        <v>extra</v>
      </c>
      <c r="J1184">
        <v>1153</v>
      </c>
      <c r="K1184">
        <v>0.52758786746129005</v>
      </c>
    </row>
    <row r="1185" spans="1:11" x14ac:dyDescent="0.25">
      <c r="A1185" s="3">
        <v>39832</v>
      </c>
      <c r="B1185">
        <v>2012.47</v>
      </c>
      <c r="C1185">
        <f t="shared" si="72"/>
        <v>1.0111847493480588</v>
      </c>
      <c r="D1185">
        <v>1169</v>
      </c>
      <c r="E1185">
        <f t="shared" si="73"/>
        <v>0</v>
      </c>
      <c r="F1185">
        <f t="shared" si="74"/>
        <v>0</v>
      </c>
      <c r="G1185" t="str">
        <f t="shared" si="75"/>
        <v>extra</v>
      </c>
      <c r="J1185">
        <v>1154</v>
      </c>
      <c r="K1185">
        <v>0.52854231529448281</v>
      </c>
    </row>
    <row r="1186" spans="1:11" x14ac:dyDescent="0.25">
      <c r="A1186" s="3">
        <v>39829</v>
      </c>
      <c r="B1186">
        <v>1990.21</v>
      </c>
      <c r="C1186">
        <f t="shared" si="72"/>
        <v>1.0180779284556007</v>
      </c>
      <c r="D1186">
        <v>1170</v>
      </c>
      <c r="E1186">
        <f t="shared" si="73"/>
        <v>0</v>
      </c>
      <c r="F1186">
        <f t="shared" si="74"/>
        <v>0</v>
      </c>
      <c r="G1186" t="str">
        <f t="shared" si="75"/>
        <v>extra</v>
      </c>
      <c r="J1186">
        <v>1155</v>
      </c>
      <c r="K1186">
        <v>0.52918328304099849</v>
      </c>
    </row>
    <row r="1187" spans="1:11" x14ac:dyDescent="0.25">
      <c r="A1187" s="3">
        <v>39828</v>
      </c>
      <c r="B1187">
        <v>1954.87</v>
      </c>
      <c r="C1187">
        <f t="shared" si="72"/>
        <v>0.99981076491888454</v>
      </c>
      <c r="D1187">
        <v>1171</v>
      </c>
      <c r="E1187">
        <f t="shared" si="73"/>
        <v>0</v>
      </c>
      <c r="F1187">
        <f t="shared" si="74"/>
        <v>0</v>
      </c>
      <c r="G1187" t="str">
        <f t="shared" si="75"/>
        <v>extra</v>
      </c>
      <c r="J1187">
        <v>1156</v>
      </c>
      <c r="K1187">
        <v>0.53029088807350822</v>
      </c>
    </row>
    <row r="1188" spans="1:11" x14ac:dyDescent="0.25">
      <c r="A1188" s="3">
        <v>39827</v>
      </c>
      <c r="B1188">
        <v>1955.24</v>
      </c>
      <c r="C1188">
        <f t="shared" si="72"/>
        <v>1.042133259424685</v>
      </c>
      <c r="D1188">
        <v>1172</v>
      </c>
      <c r="E1188">
        <f t="shared" si="73"/>
        <v>0</v>
      </c>
      <c r="F1188">
        <f t="shared" si="74"/>
        <v>0</v>
      </c>
      <c r="G1188" t="str">
        <f t="shared" si="75"/>
        <v>extra</v>
      </c>
      <c r="J1188">
        <v>1157</v>
      </c>
      <c r="K1188">
        <v>0.53031922425336186</v>
      </c>
    </row>
    <row r="1189" spans="1:11" x14ac:dyDescent="0.25">
      <c r="A1189" s="3">
        <v>39826</v>
      </c>
      <c r="B1189">
        <v>1876.19</v>
      </c>
      <c r="C1189">
        <f t="shared" si="72"/>
        <v>0.97683124293873558</v>
      </c>
      <c r="D1189">
        <v>1173</v>
      </c>
      <c r="E1189">
        <f t="shared" si="73"/>
        <v>0</v>
      </c>
      <c r="F1189">
        <f t="shared" si="74"/>
        <v>0</v>
      </c>
      <c r="G1189" t="str">
        <f t="shared" si="75"/>
        <v>extra</v>
      </c>
      <c r="J1189">
        <v>1158</v>
      </c>
      <c r="K1189">
        <v>0.53032215492375112</v>
      </c>
    </row>
    <row r="1190" spans="1:11" x14ac:dyDescent="0.25">
      <c r="A1190" s="3">
        <v>39825</v>
      </c>
      <c r="B1190">
        <v>1920.69</v>
      </c>
      <c r="C1190">
        <f t="shared" si="72"/>
        <v>1.0012093600296086</v>
      </c>
      <c r="D1190">
        <v>1174</v>
      </c>
      <c r="E1190">
        <f t="shared" si="73"/>
        <v>0</v>
      </c>
      <c r="F1190">
        <f t="shared" si="74"/>
        <v>0</v>
      </c>
      <c r="G1190" t="str">
        <f t="shared" si="75"/>
        <v>extra</v>
      </c>
      <c r="J1190">
        <v>1159</v>
      </c>
      <c r="K1190">
        <v>0.53048129174910963</v>
      </c>
    </row>
    <row r="1191" spans="1:11" x14ac:dyDescent="0.25">
      <c r="A1191" s="3">
        <v>39822</v>
      </c>
      <c r="B1191">
        <v>1918.37</v>
      </c>
      <c r="C1191">
        <f t="shared" si="72"/>
        <v>1.0160911869236595</v>
      </c>
      <c r="D1191">
        <v>1175</v>
      </c>
      <c r="E1191">
        <f t="shared" si="73"/>
        <v>0</v>
      </c>
      <c r="F1191">
        <f t="shared" si="74"/>
        <v>0</v>
      </c>
      <c r="G1191" t="str">
        <f t="shared" si="75"/>
        <v>extra</v>
      </c>
      <c r="J1191">
        <v>1160</v>
      </c>
      <c r="K1191">
        <v>0.53112703694052155</v>
      </c>
    </row>
    <row r="1192" spans="1:11" x14ac:dyDescent="0.25">
      <c r="A1192" s="3">
        <v>39821</v>
      </c>
      <c r="B1192">
        <v>1887.99</v>
      </c>
      <c r="C1192">
        <f t="shared" si="72"/>
        <v>0.97763543532969477</v>
      </c>
      <c r="D1192">
        <v>1176</v>
      </c>
      <c r="E1192">
        <f t="shared" si="73"/>
        <v>0</v>
      </c>
      <c r="F1192">
        <f t="shared" si="74"/>
        <v>0</v>
      </c>
      <c r="G1192" t="str">
        <f t="shared" si="75"/>
        <v>extra</v>
      </c>
      <c r="J1192">
        <v>1161</v>
      </c>
      <c r="K1192">
        <v>0.53257982778754442</v>
      </c>
    </row>
    <row r="1193" spans="1:11" x14ac:dyDescent="0.25">
      <c r="A1193" s="3">
        <v>39820</v>
      </c>
      <c r="B1193">
        <v>1931.18</v>
      </c>
      <c r="C1193">
        <f t="shared" si="72"/>
        <v>0.99401894173358041</v>
      </c>
      <c r="D1193">
        <v>1177</v>
      </c>
      <c r="E1193">
        <f t="shared" si="73"/>
        <v>0</v>
      </c>
      <c r="F1193">
        <f t="shared" si="74"/>
        <v>0</v>
      </c>
      <c r="G1193" t="str">
        <f t="shared" si="75"/>
        <v>extra</v>
      </c>
      <c r="J1193">
        <v>1162</v>
      </c>
      <c r="K1193">
        <v>0.53262853497835039</v>
      </c>
    </row>
    <row r="1194" spans="1:11" x14ac:dyDescent="0.25">
      <c r="A1194" s="3">
        <v>39819</v>
      </c>
      <c r="B1194">
        <v>1942.8</v>
      </c>
      <c r="C1194">
        <f t="shared" si="72"/>
        <v>1.0317797510302926</v>
      </c>
      <c r="D1194">
        <v>1178</v>
      </c>
      <c r="E1194">
        <f t="shared" si="73"/>
        <v>0</v>
      </c>
      <c r="F1194">
        <f t="shared" si="74"/>
        <v>0</v>
      </c>
      <c r="G1194" t="str">
        <f t="shared" si="75"/>
        <v>extra</v>
      </c>
      <c r="J1194">
        <v>1163</v>
      </c>
      <c r="K1194">
        <v>0.53330403775880209</v>
      </c>
    </row>
    <row r="1195" spans="1:11" x14ac:dyDescent="0.25">
      <c r="A1195" s="3">
        <v>39818</v>
      </c>
      <c r="B1195">
        <v>1882.96</v>
      </c>
      <c r="C1195">
        <f t="shared" si="72"/>
        <v>1.0358911163435514</v>
      </c>
      <c r="D1195">
        <v>1179</v>
      </c>
      <c r="E1195">
        <f t="shared" si="73"/>
        <v>0</v>
      </c>
      <c r="F1195">
        <f t="shared" si="74"/>
        <v>0</v>
      </c>
      <c r="G1195" t="str">
        <f t="shared" si="75"/>
        <v>extra</v>
      </c>
      <c r="J1195">
        <v>1164</v>
      </c>
      <c r="K1195">
        <v>0.53388046035293468</v>
      </c>
    </row>
    <row r="1196" spans="1:11" x14ac:dyDescent="0.25">
      <c r="A1196" s="3">
        <v>39813</v>
      </c>
      <c r="B1196">
        <v>1817.72</v>
      </c>
      <c r="C1196">
        <f t="shared" si="72"/>
        <v>0.99142595339907491</v>
      </c>
      <c r="D1196">
        <v>1180</v>
      </c>
      <c r="E1196">
        <f t="shared" si="73"/>
        <v>0</v>
      </c>
      <c r="F1196">
        <f t="shared" si="74"/>
        <v>0</v>
      </c>
      <c r="G1196" t="str">
        <f t="shared" si="75"/>
        <v>extra</v>
      </c>
      <c r="J1196">
        <v>1165</v>
      </c>
      <c r="K1196">
        <v>0.53401074097878209</v>
      </c>
    </row>
    <row r="1197" spans="1:11" x14ac:dyDescent="0.25">
      <c r="A1197" s="3">
        <v>39812</v>
      </c>
      <c r="B1197">
        <v>1833.44</v>
      </c>
      <c r="C1197">
        <f t="shared" si="72"/>
        <v>0.98850525135327483</v>
      </c>
      <c r="D1197">
        <v>1181</v>
      </c>
      <c r="E1197">
        <f t="shared" si="73"/>
        <v>0</v>
      </c>
      <c r="F1197">
        <f t="shared" si="74"/>
        <v>0</v>
      </c>
      <c r="G1197" t="str">
        <f t="shared" si="75"/>
        <v>extra</v>
      </c>
      <c r="J1197">
        <v>1166</v>
      </c>
      <c r="K1197">
        <v>0.53404349434342424</v>
      </c>
    </row>
    <row r="1198" spans="1:11" x14ac:dyDescent="0.25">
      <c r="A1198" s="3">
        <v>39811</v>
      </c>
      <c r="B1198">
        <v>1854.76</v>
      </c>
      <c r="C1198">
        <f t="shared" si="72"/>
        <v>0.99605821384458415</v>
      </c>
      <c r="D1198">
        <v>1182</v>
      </c>
      <c r="E1198">
        <f t="shared" si="73"/>
        <v>0</v>
      </c>
      <c r="F1198">
        <f t="shared" si="74"/>
        <v>0</v>
      </c>
      <c r="G1198" t="str">
        <f t="shared" si="75"/>
        <v>extra</v>
      </c>
      <c r="J1198">
        <v>1167</v>
      </c>
      <c r="K1198">
        <v>0.53415883996288638</v>
      </c>
    </row>
    <row r="1199" spans="1:11" x14ac:dyDescent="0.25">
      <c r="A1199" s="3">
        <v>39808</v>
      </c>
      <c r="B1199">
        <v>1862.1</v>
      </c>
      <c r="C1199">
        <f t="shared" si="72"/>
        <v>0.99536554466877269</v>
      </c>
      <c r="D1199">
        <v>1183</v>
      </c>
      <c r="E1199">
        <f t="shared" si="73"/>
        <v>0</v>
      </c>
      <c r="F1199">
        <f t="shared" si="74"/>
        <v>0</v>
      </c>
      <c r="G1199" t="str">
        <f t="shared" si="75"/>
        <v>extra</v>
      </c>
      <c r="J1199">
        <v>1168</v>
      </c>
      <c r="K1199">
        <v>0.53416165083862299</v>
      </c>
    </row>
    <row r="1200" spans="1:11" x14ac:dyDescent="0.25">
      <c r="A1200" s="3">
        <v>39807</v>
      </c>
      <c r="B1200">
        <v>1870.77</v>
      </c>
      <c r="C1200">
        <f t="shared" si="72"/>
        <v>0.99135701719058023</v>
      </c>
      <c r="D1200">
        <v>1184</v>
      </c>
      <c r="E1200">
        <f t="shared" si="73"/>
        <v>0</v>
      </c>
      <c r="F1200">
        <f t="shared" si="74"/>
        <v>0</v>
      </c>
      <c r="G1200" t="str">
        <f t="shared" si="75"/>
        <v>extra</v>
      </c>
      <c r="J1200">
        <v>1169</v>
      </c>
      <c r="K1200">
        <v>0.53419695687388535</v>
      </c>
    </row>
    <row r="1201" spans="1:11" x14ac:dyDescent="0.25">
      <c r="A1201" s="3">
        <v>39806</v>
      </c>
      <c r="B1201">
        <v>1887.08</v>
      </c>
      <c r="C1201">
        <f t="shared" si="72"/>
        <v>0.98338683453537323</v>
      </c>
      <c r="D1201">
        <v>1185</v>
      </c>
      <c r="E1201">
        <f t="shared" si="73"/>
        <v>0</v>
      </c>
      <c r="F1201">
        <f t="shared" si="74"/>
        <v>0</v>
      </c>
      <c r="G1201" t="str">
        <f t="shared" si="75"/>
        <v>extra</v>
      </c>
      <c r="J1201">
        <v>1170</v>
      </c>
      <c r="K1201">
        <v>0.5343096914435318</v>
      </c>
    </row>
    <row r="1202" spans="1:11" x14ac:dyDescent="0.25">
      <c r="A1202" s="3">
        <v>39805</v>
      </c>
      <c r="B1202">
        <v>1918.96</v>
      </c>
      <c r="C1202">
        <f t="shared" si="72"/>
        <v>0.95113380089712773</v>
      </c>
      <c r="D1202">
        <v>1186</v>
      </c>
      <c r="E1202">
        <f t="shared" si="73"/>
        <v>0</v>
      </c>
      <c r="F1202">
        <f t="shared" si="74"/>
        <v>0</v>
      </c>
      <c r="G1202" t="str">
        <f t="shared" si="75"/>
        <v>extra</v>
      </c>
      <c r="J1202">
        <v>1171</v>
      </c>
      <c r="K1202">
        <v>0.53460510259829364</v>
      </c>
    </row>
    <row r="1203" spans="1:11" x14ac:dyDescent="0.25">
      <c r="A1203" s="3">
        <v>39804</v>
      </c>
      <c r="B1203">
        <v>2017.55</v>
      </c>
      <c r="C1203">
        <f t="shared" si="72"/>
        <v>0.98315879753034674</v>
      </c>
      <c r="D1203">
        <v>1187</v>
      </c>
      <c r="E1203">
        <f t="shared" si="73"/>
        <v>0</v>
      </c>
      <c r="F1203">
        <f t="shared" si="74"/>
        <v>0</v>
      </c>
      <c r="G1203" t="str">
        <f t="shared" si="75"/>
        <v>extra</v>
      </c>
      <c r="J1203">
        <v>1172</v>
      </c>
      <c r="K1203">
        <v>0.5346048250167168</v>
      </c>
    </row>
    <row r="1204" spans="1:11" x14ac:dyDescent="0.25">
      <c r="A1204" s="3">
        <v>39801</v>
      </c>
      <c r="B1204">
        <v>2052.11</v>
      </c>
      <c r="C1204">
        <f t="shared" si="72"/>
        <v>1.0034277052466873</v>
      </c>
      <c r="D1204">
        <v>1188</v>
      </c>
      <c r="E1204">
        <f t="shared" si="73"/>
        <v>0</v>
      </c>
      <c r="F1204">
        <f t="shared" si="74"/>
        <v>0</v>
      </c>
      <c r="G1204" t="str">
        <f t="shared" si="75"/>
        <v>extra</v>
      </c>
      <c r="J1204">
        <v>1173</v>
      </c>
      <c r="K1204">
        <v>0.53618428096874937</v>
      </c>
    </row>
    <row r="1205" spans="1:11" x14ac:dyDescent="0.25">
      <c r="A1205" s="3">
        <v>39800</v>
      </c>
      <c r="B1205">
        <v>2045.1</v>
      </c>
      <c r="C1205">
        <f t="shared" si="72"/>
        <v>1.0218245046017327</v>
      </c>
      <c r="D1205">
        <v>1189</v>
      </c>
      <c r="E1205">
        <f t="shared" si="73"/>
        <v>0</v>
      </c>
      <c r="F1205">
        <f t="shared" si="74"/>
        <v>0</v>
      </c>
      <c r="G1205" t="str">
        <f t="shared" si="75"/>
        <v>extra</v>
      </c>
      <c r="J1205">
        <v>1174</v>
      </c>
      <c r="K1205">
        <v>0.53670494300783933</v>
      </c>
    </row>
    <row r="1206" spans="1:11" x14ac:dyDescent="0.25">
      <c r="A1206" s="3">
        <v>39799</v>
      </c>
      <c r="B1206">
        <v>2001.42</v>
      </c>
      <c r="C1206">
        <f t="shared" si="72"/>
        <v>1.0034946977863572</v>
      </c>
      <c r="D1206">
        <v>1190</v>
      </c>
      <c r="E1206">
        <f t="shared" si="73"/>
        <v>0</v>
      </c>
      <c r="F1206">
        <f t="shared" si="74"/>
        <v>0</v>
      </c>
      <c r="G1206" t="str">
        <f t="shared" si="75"/>
        <v>extra</v>
      </c>
      <c r="J1206">
        <v>1175</v>
      </c>
      <c r="K1206">
        <v>0.5367055547639229</v>
      </c>
    </row>
    <row r="1207" spans="1:11" x14ac:dyDescent="0.25">
      <c r="A1207" s="3">
        <v>39798</v>
      </c>
      <c r="B1207">
        <v>1994.45</v>
      </c>
      <c r="C1207">
        <f t="shared" si="72"/>
        <v>1.0098327620339944</v>
      </c>
      <c r="D1207">
        <v>1191</v>
      </c>
      <c r="E1207">
        <f t="shared" si="73"/>
        <v>0</v>
      </c>
      <c r="F1207">
        <f t="shared" si="74"/>
        <v>0</v>
      </c>
      <c r="G1207" t="str">
        <f t="shared" si="75"/>
        <v>extra</v>
      </c>
      <c r="J1207">
        <v>1176</v>
      </c>
      <c r="K1207">
        <v>0.53693758503237454</v>
      </c>
    </row>
    <row r="1208" spans="1:11" x14ac:dyDescent="0.25">
      <c r="A1208" s="3">
        <v>39797</v>
      </c>
      <c r="B1208">
        <v>1975.03</v>
      </c>
      <c r="C1208">
        <f t="shared" si="72"/>
        <v>1.007473040941042</v>
      </c>
      <c r="D1208">
        <v>1192</v>
      </c>
      <c r="E1208">
        <f t="shared" si="73"/>
        <v>0</v>
      </c>
      <c r="F1208">
        <f t="shared" si="74"/>
        <v>0</v>
      </c>
      <c r="G1208" t="str">
        <f t="shared" si="75"/>
        <v>extra</v>
      </c>
      <c r="J1208">
        <v>1177</v>
      </c>
      <c r="K1208">
        <v>0.53742168134145873</v>
      </c>
    </row>
    <row r="1209" spans="1:11" x14ac:dyDescent="0.25">
      <c r="A1209" s="3">
        <v>39794</v>
      </c>
      <c r="B1209">
        <v>1960.38</v>
      </c>
      <c r="C1209">
        <f t="shared" si="72"/>
        <v>0.95799329534681443</v>
      </c>
      <c r="D1209">
        <v>1193</v>
      </c>
      <c r="E1209">
        <f t="shared" si="73"/>
        <v>0</v>
      </c>
      <c r="F1209">
        <f t="shared" si="74"/>
        <v>0</v>
      </c>
      <c r="G1209" t="str">
        <f t="shared" si="75"/>
        <v>extra</v>
      </c>
      <c r="J1209">
        <v>1178</v>
      </c>
      <c r="K1209">
        <v>0.53745669633675452</v>
      </c>
    </row>
    <row r="1210" spans="1:11" x14ac:dyDescent="0.25">
      <c r="A1210" s="3">
        <v>39793</v>
      </c>
      <c r="B1210">
        <v>2046.34</v>
      </c>
      <c r="C1210">
        <f t="shared" si="72"/>
        <v>0.97612562547999182</v>
      </c>
      <c r="D1210">
        <v>1194</v>
      </c>
      <c r="E1210">
        <f t="shared" si="73"/>
        <v>0</v>
      </c>
      <c r="F1210">
        <f t="shared" si="74"/>
        <v>0</v>
      </c>
      <c r="G1210" t="str">
        <f t="shared" si="75"/>
        <v>extra</v>
      </c>
      <c r="J1210">
        <v>1179</v>
      </c>
      <c r="K1210">
        <v>0.53835746982419141</v>
      </c>
    </row>
    <row r="1211" spans="1:11" x14ac:dyDescent="0.25">
      <c r="A1211" s="3">
        <v>39792</v>
      </c>
      <c r="B1211">
        <v>2096.39</v>
      </c>
      <c r="C1211">
        <f t="shared" si="72"/>
        <v>1.0272141509665091</v>
      </c>
      <c r="D1211">
        <v>1195</v>
      </c>
      <c r="E1211">
        <f t="shared" si="73"/>
        <v>0</v>
      </c>
      <c r="F1211">
        <f t="shared" si="74"/>
        <v>0</v>
      </c>
      <c r="G1211" t="str">
        <f t="shared" si="75"/>
        <v>extra</v>
      </c>
      <c r="J1211">
        <v>1180</v>
      </c>
      <c r="K1211">
        <v>0.53949935559095075</v>
      </c>
    </row>
    <row r="1212" spans="1:11" x14ac:dyDescent="0.25">
      <c r="A1212" s="3">
        <v>39791</v>
      </c>
      <c r="B1212">
        <v>2040.85</v>
      </c>
      <c r="C1212">
        <f t="shared" si="72"/>
        <v>0.97413414541011145</v>
      </c>
      <c r="D1212">
        <v>1196</v>
      </c>
      <c r="E1212">
        <f t="shared" si="73"/>
        <v>0</v>
      </c>
      <c r="F1212">
        <f t="shared" si="74"/>
        <v>0</v>
      </c>
      <c r="G1212" t="str">
        <f t="shared" si="75"/>
        <v>extra</v>
      </c>
      <c r="J1212">
        <v>1181</v>
      </c>
      <c r="K1212">
        <v>0.53957127021615048</v>
      </c>
    </row>
    <row r="1213" spans="1:11" x14ac:dyDescent="0.25">
      <c r="A1213" s="3">
        <v>39790</v>
      </c>
      <c r="B1213">
        <v>2095.04</v>
      </c>
      <c r="C1213">
        <f t="shared" si="72"/>
        <v>1.0406620371750166</v>
      </c>
      <c r="D1213">
        <v>1197</v>
      </c>
      <c r="E1213">
        <f t="shared" si="73"/>
        <v>0</v>
      </c>
      <c r="F1213">
        <f t="shared" si="74"/>
        <v>0</v>
      </c>
      <c r="G1213" t="str">
        <f t="shared" si="75"/>
        <v>extra</v>
      </c>
      <c r="J1213">
        <v>1182</v>
      </c>
      <c r="K1213">
        <v>0.53969939209462536</v>
      </c>
    </row>
    <row r="1214" spans="1:11" x14ac:dyDescent="0.25">
      <c r="A1214" s="3">
        <v>39787</v>
      </c>
      <c r="B1214">
        <v>2013.18</v>
      </c>
      <c r="C1214">
        <f t="shared" si="72"/>
        <v>1.0152552031589617</v>
      </c>
      <c r="D1214">
        <v>1198</v>
      </c>
      <c r="E1214">
        <f t="shared" si="73"/>
        <v>0</v>
      </c>
      <c r="F1214">
        <f t="shared" si="74"/>
        <v>0</v>
      </c>
      <c r="G1214" t="str">
        <f t="shared" si="75"/>
        <v>extra</v>
      </c>
      <c r="J1214">
        <v>1183</v>
      </c>
      <c r="K1214">
        <v>0.53971497614428721</v>
      </c>
    </row>
    <row r="1215" spans="1:11" x14ac:dyDescent="0.25">
      <c r="A1215" s="3">
        <v>39786</v>
      </c>
      <c r="B1215">
        <v>1982.93</v>
      </c>
      <c r="C1215">
        <f t="shared" si="72"/>
        <v>1.0154967301182483</v>
      </c>
      <c r="D1215">
        <v>1199</v>
      </c>
      <c r="E1215">
        <f t="shared" si="73"/>
        <v>0</v>
      </c>
      <c r="F1215">
        <f t="shared" si="74"/>
        <v>0</v>
      </c>
      <c r="G1215" t="str">
        <f t="shared" si="75"/>
        <v>extra</v>
      </c>
      <c r="J1215">
        <v>1184</v>
      </c>
      <c r="K1215">
        <v>0.5397363311817942</v>
      </c>
    </row>
    <row r="1216" spans="1:11" x14ac:dyDescent="0.25">
      <c r="A1216" s="3">
        <v>39785</v>
      </c>
      <c r="B1216">
        <v>1952.67</v>
      </c>
      <c r="C1216">
        <f t="shared" si="72"/>
        <v>1.0449741254287901</v>
      </c>
      <c r="D1216">
        <v>1200</v>
      </c>
      <c r="E1216">
        <f t="shared" si="73"/>
        <v>0</v>
      </c>
      <c r="F1216">
        <f t="shared" si="74"/>
        <v>0</v>
      </c>
      <c r="G1216" t="str">
        <f t="shared" si="75"/>
        <v>extra</v>
      </c>
      <c r="J1216">
        <v>1185</v>
      </c>
      <c r="K1216">
        <v>0.5398089462748924</v>
      </c>
    </row>
    <row r="1217" spans="1:11" x14ac:dyDescent="0.25">
      <c r="A1217" s="3">
        <v>39784</v>
      </c>
      <c r="B1217">
        <v>1868.63</v>
      </c>
      <c r="C1217">
        <f t="shared" si="72"/>
        <v>1.0023709775186271</v>
      </c>
      <c r="D1217">
        <v>1201</v>
      </c>
      <c r="E1217">
        <f t="shared" si="73"/>
        <v>0</v>
      </c>
      <c r="F1217">
        <f t="shared" si="74"/>
        <v>0</v>
      </c>
      <c r="G1217" t="str">
        <f t="shared" si="75"/>
        <v>extra</v>
      </c>
      <c r="J1217">
        <v>1186</v>
      </c>
      <c r="K1217">
        <v>0.5400744671303559</v>
      </c>
    </row>
    <row r="1218" spans="1:11" x14ac:dyDescent="0.25">
      <c r="A1218" s="3">
        <v>39783</v>
      </c>
      <c r="B1218">
        <v>1864.21</v>
      </c>
      <c r="C1218">
        <f t="shared" si="72"/>
        <v>1.0187385240884848</v>
      </c>
      <c r="D1218">
        <v>1202</v>
      </c>
      <c r="E1218">
        <f t="shared" si="73"/>
        <v>0</v>
      </c>
      <c r="F1218">
        <f t="shared" si="74"/>
        <v>0</v>
      </c>
      <c r="G1218" t="str">
        <f t="shared" si="75"/>
        <v>extra</v>
      </c>
      <c r="J1218">
        <v>1187</v>
      </c>
      <c r="K1218">
        <v>0.54241072890419662</v>
      </c>
    </row>
    <row r="1219" spans="1:11" x14ac:dyDescent="0.25">
      <c r="A1219" s="3">
        <v>39780</v>
      </c>
      <c r="B1219">
        <v>1829.92</v>
      </c>
      <c r="C1219">
        <f t="shared" si="72"/>
        <v>0.97832095676487729</v>
      </c>
      <c r="D1219">
        <v>1203</v>
      </c>
      <c r="E1219">
        <f t="shared" si="73"/>
        <v>0</v>
      </c>
      <c r="F1219">
        <f t="shared" si="74"/>
        <v>0</v>
      </c>
      <c r="G1219" t="str">
        <f t="shared" si="75"/>
        <v>extra</v>
      </c>
      <c r="J1219">
        <v>1188</v>
      </c>
      <c r="K1219">
        <v>0.54268047640229211</v>
      </c>
    </row>
    <row r="1220" spans="1:11" x14ac:dyDescent="0.25">
      <c r="A1220" s="3">
        <v>39779</v>
      </c>
      <c r="B1220">
        <v>1870.47</v>
      </c>
      <c r="C1220">
        <f t="shared" si="72"/>
        <v>1.0146297803091944</v>
      </c>
      <c r="D1220">
        <v>1204</v>
      </c>
      <c r="E1220">
        <f t="shared" si="73"/>
        <v>0</v>
      </c>
      <c r="F1220">
        <f t="shared" si="74"/>
        <v>0</v>
      </c>
      <c r="G1220" t="str">
        <f t="shared" si="75"/>
        <v>extra</v>
      </c>
      <c r="J1220">
        <v>1189</v>
      </c>
      <c r="K1220">
        <v>0.54269017847661249</v>
      </c>
    </row>
    <row r="1221" spans="1:11" x14ac:dyDescent="0.25">
      <c r="A1221" s="3">
        <v>39778</v>
      </c>
      <c r="B1221">
        <v>1843.5</v>
      </c>
      <c r="C1221">
        <f t="shared" si="72"/>
        <v>1.0050210163060367</v>
      </c>
      <c r="D1221">
        <v>1205</v>
      </c>
      <c r="E1221">
        <f t="shared" si="73"/>
        <v>0</v>
      </c>
      <c r="F1221">
        <f t="shared" si="74"/>
        <v>0</v>
      </c>
      <c r="G1221" t="str">
        <f t="shared" si="75"/>
        <v>extra</v>
      </c>
      <c r="J1221">
        <v>1190</v>
      </c>
      <c r="K1221">
        <v>0.54311478506216893</v>
      </c>
    </row>
    <row r="1222" spans="1:11" x14ac:dyDescent="0.25">
      <c r="A1222" s="3">
        <v>39777</v>
      </c>
      <c r="B1222">
        <v>1834.29</v>
      </c>
      <c r="C1222">
        <f t="shared" si="72"/>
        <v>0.99817700964280265</v>
      </c>
      <c r="D1222">
        <v>1206</v>
      </c>
      <c r="E1222">
        <f t="shared" si="73"/>
        <v>0</v>
      </c>
      <c r="F1222">
        <f t="shared" si="74"/>
        <v>0</v>
      </c>
      <c r="G1222" t="str">
        <f t="shared" si="75"/>
        <v>extra</v>
      </c>
      <c r="J1222">
        <v>1191</v>
      </c>
      <c r="K1222">
        <v>0.5431247618413223</v>
      </c>
    </row>
    <row r="1223" spans="1:11" x14ac:dyDescent="0.25">
      <c r="A1223" s="3">
        <v>39776</v>
      </c>
      <c r="B1223">
        <v>1837.64</v>
      </c>
      <c r="C1223">
        <f t="shared" si="72"/>
        <v>0.9567354248883243</v>
      </c>
      <c r="D1223">
        <v>1207</v>
      </c>
      <c r="E1223">
        <f t="shared" si="73"/>
        <v>0</v>
      </c>
      <c r="F1223">
        <f t="shared" si="74"/>
        <v>0</v>
      </c>
      <c r="G1223" t="str">
        <f t="shared" si="75"/>
        <v>extra</v>
      </c>
      <c r="J1223">
        <v>1192</v>
      </c>
      <c r="K1223">
        <v>0.54321011225737592</v>
      </c>
    </row>
    <row r="1224" spans="1:11" x14ac:dyDescent="0.25">
      <c r="A1224" s="3">
        <v>39773</v>
      </c>
      <c r="B1224">
        <v>1920.74</v>
      </c>
      <c r="C1224">
        <f t="shared" si="72"/>
        <v>0.99395062175602733</v>
      </c>
      <c r="D1224">
        <v>1208</v>
      </c>
      <c r="E1224">
        <f t="shared" si="73"/>
        <v>0</v>
      </c>
      <c r="F1224">
        <f t="shared" si="74"/>
        <v>0</v>
      </c>
      <c r="G1224" t="str">
        <f t="shared" si="75"/>
        <v>extra</v>
      </c>
      <c r="J1224">
        <v>1193</v>
      </c>
      <c r="K1224">
        <v>0.54325880669660753</v>
      </c>
    </row>
    <row r="1225" spans="1:11" x14ac:dyDescent="0.25">
      <c r="A1225" s="3">
        <v>39772</v>
      </c>
      <c r="B1225">
        <v>1932.43</v>
      </c>
      <c r="C1225">
        <f t="shared" si="72"/>
        <v>0.98938643019517092</v>
      </c>
      <c r="D1225">
        <v>1209</v>
      </c>
      <c r="E1225">
        <f t="shared" si="73"/>
        <v>0</v>
      </c>
      <c r="F1225">
        <f t="shared" si="74"/>
        <v>0</v>
      </c>
      <c r="G1225" t="str">
        <f t="shared" si="75"/>
        <v>extra</v>
      </c>
      <c r="J1225">
        <v>1194</v>
      </c>
      <c r="K1225">
        <v>0.5449642403201036</v>
      </c>
    </row>
    <row r="1226" spans="1:11" x14ac:dyDescent="0.25">
      <c r="A1226" s="3">
        <v>39771</v>
      </c>
      <c r="B1226">
        <v>1953.16</v>
      </c>
      <c r="C1226">
        <f t="shared" si="72"/>
        <v>1.0616038525507931</v>
      </c>
      <c r="D1226">
        <v>1210</v>
      </c>
      <c r="E1226">
        <f t="shared" si="73"/>
        <v>0</v>
      </c>
      <c r="F1226">
        <f t="shared" si="74"/>
        <v>0</v>
      </c>
      <c r="G1226" t="str">
        <f t="shared" si="75"/>
        <v>extra</v>
      </c>
      <c r="J1226">
        <v>1195</v>
      </c>
      <c r="K1226">
        <v>0.54550493061033944</v>
      </c>
    </row>
    <row r="1227" spans="1:11" x14ac:dyDescent="0.25">
      <c r="A1227" s="3">
        <v>39770</v>
      </c>
      <c r="B1227">
        <v>1839.82</v>
      </c>
      <c r="C1227">
        <f t="shared" si="72"/>
        <v>0.92582136944389926</v>
      </c>
      <c r="D1227">
        <v>1211</v>
      </c>
      <c r="E1227">
        <f t="shared" si="73"/>
        <v>0</v>
      </c>
      <c r="F1227">
        <f t="shared" si="74"/>
        <v>0</v>
      </c>
      <c r="G1227" t="str">
        <f t="shared" si="75"/>
        <v>extra</v>
      </c>
      <c r="J1227">
        <v>1196</v>
      </c>
      <c r="K1227">
        <v>0.54616079673056239</v>
      </c>
    </row>
    <row r="1228" spans="1:11" x14ac:dyDescent="0.25">
      <c r="A1228" s="3">
        <v>39769</v>
      </c>
      <c r="B1228">
        <v>1987.23</v>
      </c>
      <c r="C1228">
        <f t="shared" si="72"/>
        <v>1.0224217323077713</v>
      </c>
      <c r="D1228">
        <v>1212</v>
      </c>
      <c r="E1228">
        <f t="shared" si="73"/>
        <v>0</v>
      </c>
      <c r="F1228">
        <f t="shared" si="74"/>
        <v>0</v>
      </c>
      <c r="G1228" t="str">
        <f t="shared" si="75"/>
        <v>extra</v>
      </c>
      <c r="J1228">
        <v>1197</v>
      </c>
      <c r="K1228">
        <v>0.54679498888483524</v>
      </c>
    </row>
    <row r="1229" spans="1:11" x14ac:dyDescent="0.25">
      <c r="A1229" s="3">
        <v>39766</v>
      </c>
      <c r="B1229">
        <v>1943.65</v>
      </c>
      <c r="C1229">
        <f t="shared" si="72"/>
        <v>1.0371222146333134</v>
      </c>
      <c r="D1229">
        <v>1213</v>
      </c>
      <c r="E1229">
        <f t="shared" si="73"/>
        <v>0</v>
      </c>
      <c r="F1229">
        <f t="shared" si="74"/>
        <v>0</v>
      </c>
      <c r="G1229" t="str">
        <f t="shared" si="75"/>
        <v>extra</v>
      </c>
      <c r="J1229">
        <v>1198</v>
      </c>
      <c r="K1229">
        <v>0.54823953191847397</v>
      </c>
    </row>
    <row r="1230" spans="1:11" x14ac:dyDescent="0.25">
      <c r="A1230" s="3">
        <v>39765</v>
      </c>
      <c r="B1230">
        <v>1874.08</v>
      </c>
      <c r="C1230">
        <f t="shared" si="72"/>
        <v>1.0401038949506609</v>
      </c>
      <c r="D1230">
        <v>1214</v>
      </c>
      <c r="E1230">
        <f t="shared" si="73"/>
        <v>0</v>
      </c>
      <c r="F1230">
        <f t="shared" si="74"/>
        <v>0</v>
      </c>
      <c r="G1230" t="str">
        <f t="shared" si="75"/>
        <v>extra</v>
      </c>
      <c r="J1230">
        <v>1199</v>
      </c>
      <c r="K1230">
        <v>0.54844477274605874</v>
      </c>
    </row>
    <row r="1231" spans="1:11" x14ac:dyDescent="0.25">
      <c r="A1231" s="3">
        <v>39764</v>
      </c>
      <c r="B1231">
        <v>1801.82</v>
      </c>
      <c r="C1231">
        <f t="shared" si="72"/>
        <v>1.0114856065028968</v>
      </c>
      <c r="D1231">
        <v>1215</v>
      </c>
      <c r="E1231">
        <f t="shared" si="73"/>
        <v>0</v>
      </c>
      <c r="F1231">
        <f t="shared" si="74"/>
        <v>0</v>
      </c>
      <c r="G1231" t="str">
        <f t="shared" si="75"/>
        <v>extra</v>
      </c>
      <c r="J1231">
        <v>1200</v>
      </c>
      <c r="K1231">
        <v>0.54865615349854513</v>
      </c>
    </row>
    <row r="1232" spans="1:11" x14ac:dyDescent="0.25">
      <c r="A1232" s="3">
        <v>39763</v>
      </c>
      <c r="B1232">
        <v>1781.36</v>
      </c>
      <c r="C1232">
        <f t="shared" si="72"/>
        <v>0.98872712538922214</v>
      </c>
      <c r="D1232">
        <v>1216</v>
      </c>
      <c r="E1232">
        <f t="shared" si="73"/>
        <v>0</v>
      </c>
      <c r="F1232">
        <f t="shared" si="74"/>
        <v>0</v>
      </c>
      <c r="G1232" t="str">
        <f t="shared" si="75"/>
        <v>extra</v>
      </c>
      <c r="J1232">
        <v>1201</v>
      </c>
      <c r="K1232">
        <v>0.55040573619265898</v>
      </c>
    </row>
    <row r="1233" spans="1:11" x14ac:dyDescent="0.25">
      <c r="A1233" s="3">
        <v>39762</v>
      </c>
      <c r="B1233">
        <v>1801.67</v>
      </c>
      <c r="C1233">
        <f t="shared" si="72"/>
        <v>1.0738096231441803</v>
      </c>
      <c r="D1233">
        <v>1217</v>
      </c>
      <c r="E1233">
        <f t="shared" si="73"/>
        <v>0</v>
      </c>
      <c r="F1233">
        <f t="shared" si="74"/>
        <v>0</v>
      </c>
      <c r="G1233" t="str">
        <f t="shared" si="75"/>
        <v>extra</v>
      </c>
      <c r="J1233">
        <v>1202</v>
      </c>
      <c r="K1233">
        <v>0.55040966278115</v>
      </c>
    </row>
    <row r="1234" spans="1:11" x14ac:dyDescent="0.25">
      <c r="A1234" s="3">
        <v>39759</v>
      </c>
      <c r="B1234">
        <v>1677.83</v>
      </c>
      <c r="C1234">
        <f t="shared" ref="C1234:C1297" si="76">B1234/B1235</f>
        <v>1.0170022669689291</v>
      </c>
      <c r="D1234">
        <v>1218</v>
      </c>
      <c r="E1234">
        <f t="shared" ref="E1234:E1297" si="77">IF(D1234&gt;$B$6,0,LN(C1234))</f>
        <v>0</v>
      </c>
      <c r="F1234">
        <f t="shared" ref="F1234:F1297" si="78">IF(D1234&gt;$B$6,0,(E1234-$B$7)^2)</f>
        <v>0</v>
      </c>
      <c r="G1234" t="str">
        <f t="shared" ref="G1234:G1297" si="79">IF(D1234&lt;=$B$6,E1234,"extra")</f>
        <v>extra</v>
      </c>
      <c r="J1234">
        <v>1203</v>
      </c>
      <c r="K1234">
        <v>0.55071607010887469</v>
      </c>
    </row>
    <row r="1235" spans="1:11" x14ac:dyDescent="0.25">
      <c r="A1235" s="3">
        <v>39758</v>
      </c>
      <c r="B1235">
        <v>1649.78</v>
      </c>
      <c r="C1235">
        <f t="shared" si="76"/>
        <v>0.97538163200151351</v>
      </c>
      <c r="D1235">
        <v>1219</v>
      </c>
      <c r="E1235">
        <f t="shared" si="77"/>
        <v>0</v>
      </c>
      <c r="F1235">
        <f t="shared" si="78"/>
        <v>0</v>
      </c>
      <c r="G1235" t="str">
        <f t="shared" si="79"/>
        <v>extra</v>
      </c>
      <c r="J1235">
        <v>1204</v>
      </c>
      <c r="K1235">
        <v>0.55116034924980872</v>
      </c>
    </row>
    <row r="1236" spans="1:11" x14ac:dyDescent="0.25">
      <c r="A1236" s="3">
        <v>39757</v>
      </c>
      <c r="B1236">
        <v>1691.42</v>
      </c>
      <c r="C1236">
        <f t="shared" si="76"/>
        <v>1.0391089595517766</v>
      </c>
      <c r="D1236">
        <v>1220</v>
      </c>
      <c r="E1236">
        <f t="shared" si="77"/>
        <v>0</v>
      </c>
      <c r="F1236">
        <f t="shared" si="78"/>
        <v>0</v>
      </c>
      <c r="G1236" t="str">
        <f t="shared" si="79"/>
        <v>extra</v>
      </c>
      <c r="J1236">
        <v>1205</v>
      </c>
      <c r="K1236">
        <v>0.55134647938036052</v>
      </c>
    </row>
    <row r="1237" spans="1:11" x14ac:dyDescent="0.25">
      <c r="A1237" s="3">
        <v>39756</v>
      </c>
      <c r="B1237">
        <v>1627.76</v>
      </c>
      <c r="C1237">
        <f t="shared" si="76"/>
        <v>0.98440920691365197</v>
      </c>
      <c r="D1237">
        <v>1221</v>
      </c>
      <c r="E1237">
        <f t="shared" si="77"/>
        <v>0</v>
      </c>
      <c r="F1237">
        <f t="shared" si="78"/>
        <v>0</v>
      </c>
      <c r="G1237" t="str">
        <f t="shared" si="79"/>
        <v>extra</v>
      </c>
      <c r="J1237">
        <v>1206</v>
      </c>
      <c r="K1237">
        <v>0.55136706795083035</v>
      </c>
    </row>
    <row r="1238" spans="1:11" x14ac:dyDescent="0.25">
      <c r="A1238" s="3">
        <v>39755</v>
      </c>
      <c r="B1238">
        <v>1653.54</v>
      </c>
      <c r="C1238">
        <f t="shared" si="76"/>
        <v>0.99391702631547307</v>
      </c>
      <c r="D1238">
        <v>1222</v>
      </c>
      <c r="E1238">
        <f t="shared" si="77"/>
        <v>0</v>
      </c>
      <c r="F1238">
        <f t="shared" si="78"/>
        <v>0</v>
      </c>
      <c r="G1238" t="str">
        <f t="shared" si="79"/>
        <v>extra</v>
      </c>
      <c r="J1238">
        <v>1207</v>
      </c>
      <c r="K1238">
        <v>0.55137043053155788</v>
      </c>
    </row>
    <row r="1239" spans="1:11" x14ac:dyDescent="0.25">
      <c r="A1239" s="3">
        <v>39752</v>
      </c>
      <c r="B1239">
        <v>1663.66</v>
      </c>
      <c r="C1239">
        <f t="shared" si="76"/>
        <v>0.97997243264257861</v>
      </c>
      <c r="D1239">
        <v>1223</v>
      </c>
      <c r="E1239">
        <f t="shared" si="77"/>
        <v>0</v>
      </c>
      <c r="F1239">
        <f t="shared" si="78"/>
        <v>0</v>
      </c>
      <c r="G1239" t="str">
        <f t="shared" si="79"/>
        <v>extra</v>
      </c>
      <c r="J1239">
        <v>1208</v>
      </c>
      <c r="K1239">
        <v>0.55315894913035424</v>
      </c>
    </row>
    <row r="1240" spans="1:11" x14ac:dyDescent="0.25">
      <c r="A1240" s="3">
        <v>39751</v>
      </c>
      <c r="B1240">
        <v>1697.66</v>
      </c>
      <c r="C1240">
        <f t="shared" si="76"/>
        <v>1.0237845400489682</v>
      </c>
      <c r="D1240">
        <v>1224</v>
      </c>
      <c r="E1240">
        <f t="shared" si="77"/>
        <v>0</v>
      </c>
      <c r="F1240">
        <f t="shared" si="78"/>
        <v>0</v>
      </c>
      <c r="G1240" t="str">
        <f t="shared" si="79"/>
        <v>extra</v>
      </c>
      <c r="J1240">
        <v>1209</v>
      </c>
      <c r="K1240">
        <v>0.55319373838392261</v>
      </c>
    </row>
    <row r="1241" spans="1:11" x14ac:dyDescent="0.25">
      <c r="A1241" s="3">
        <v>39750</v>
      </c>
      <c r="B1241">
        <v>1658.22</v>
      </c>
      <c r="C1241">
        <f t="shared" si="76"/>
        <v>0.97209553176771291</v>
      </c>
      <c r="D1241">
        <v>1225</v>
      </c>
      <c r="E1241">
        <f t="shared" si="77"/>
        <v>0</v>
      </c>
      <c r="F1241">
        <f t="shared" si="78"/>
        <v>0</v>
      </c>
      <c r="G1241" t="str">
        <f t="shared" si="79"/>
        <v>extra</v>
      </c>
      <c r="J1241">
        <v>1210</v>
      </c>
      <c r="K1241">
        <v>0.55329949693524227</v>
      </c>
    </row>
    <row r="1242" spans="1:11" x14ac:dyDescent="0.25">
      <c r="A1242" s="3">
        <v>39749</v>
      </c>
      <c r="B1242">
        <v>1705.82</v>
      </c>
      <c r="C1242">
        <f t="shared" si="76"/>
        <v>1.0309125082342703</v>
      </c>
      <c r="D1242">
        <v>1226</v>
      </c>
      <c r="E1242">
        <f t="shared" si="77"/>
        <v>0</v>
      </c>
      <c r="F1242">
        <f t="shared" si="78"/>
        <v>0</v>
      </c>
      <c r="G1242" t="str">
        <f t="shared" si="79"/>
        <v>extra</v>
      </c>
      <c r="J1242">
        <v>1211</v>
      </c>
      <c r="K1242">
        <v>0.55650543753031123</v>
      </c>
    </row>
    <row r="1243" spans="1:11" x14ac:dyDescent="0.25">
      <c r="A1243" s="3">
        <v>39748</v>
      </c>
      <c r="B1243">
        <v>1654.67</v>
      </c>
      <c r="C1243">
        <f t="shared" si="76"/>
        <v>0.92875505163897631</v>
      </c>
      <c r="D1243">
        <v>1227</v>
      </c>
      <c r="E1243">
        <f t="shared" si="77"/>
        <v>0</v>
      </c>
      <c r="F1243">
        <f t="shared" si="78"/>
        <v>0</v>
      </c>
      <c r="G1243" t="str">
        <f t="shared" si="79"/>
        <v>extra</v>
      </c>
      <c r="J1243">
        <v>1212</v>
      </c>
      <c r="K1243">
        <v>0.56184914994659074</v>
      </c>
    </row>
    <row r="1244" spans="1:11" x14ac:dyDescent="0.25">
      <c r="A1244" s="3">
        <v>39745</v>
      </c>
      <c r="B1244">
        <v>1781.6</v>
      </c>
      <c r="C1244">
        <f t="shared" si="76"/>
        <v>0.97101559860037712</v>
      </c>
      <c r="D1244">
        <v>1228</v>
      </c>
      <c r="E1244">
        <f t="shared" si="77"/>
        <v>0</v>
      </c>
      <c r="F1244">
        <f t="shared" si="78"/>
        <v>0</v>
      </c>
      <c r="G1244" t="str">
        <f t="shared" si="79"/>
        <v>extra</v>
      </c>
      <c r="J1244">
        <v>1213</v>
      </c>
      <c r="K1244">
        <v>0.56228106335677264</v>
      </c>
    </row>
    <row r="1245" spans="1:11" x14ac:dyDescent="0.25">
      <c r="A1245" s="3">
        <v>39744</v>
      </c>
      <c r="B1245">
        <v>1834.78</v>
      </c>
      <c r="C1245">
        <f t="shared" si="76"/>
        <v>1.0007963694281412</v>
      </c>
      <c r="D1245">
        <v>1229</v>
      </c>
      <c r="E1245">
        <f t="shared" si="77"/>
        <v>0</v>
      </c>
      <c r="F1245">
        <f t="shared" si="78"/>
        <v>0</v>
      </c>
      <c r="G1245" t="str">
        <f t="shared" si="79"/>
        <v>extra</v>
      </c>
      <c r="J1245">
        <v>1214</v>
      </c>
      <c r="K1245">
        <v>0.56345170434594349</v>
      </c>
    </row>
    <row r="1246" spans="1:11" x14ac:dyDescent="0.25">
      <c r="A1246" s="3">
        <v>39743</v>
      </c>
      <c r="B1246">
        <v>1833.32</v>
      </c>
      <c r="C1246">
        <f t="shared" si="76"/>
        <v>0.97443938322853596</v>
      </c>
      <c r="D1246">
        <v>1230</v>
      </c>
      <c r="E1246">
        <f t="shared" si="77"/>
        <v>0</v>
      </c>
      <c r="F1246">
        <f t="shared" si="78"/>
        <v>0</v>
      </c>
      <c r="G1246" t="str">
        <f t="shared" si="79"/>
        <v>extra</v>
      </c>
      <c r="J1246">
        <v>1215</v>
      </c>
      <c r="K1246">
        <v>0.56480979721830793</v>
      </c>
    </row>
    <row r="1247" spans="1:11" x14ac:dyDescent="0.25">
      <c r="A1247" s="3">
        <v>39742</v>
      </c>
      <c r="B1247">
        <v>1881.41</v>
      </c>
      <c r="C1247">
        <f t="shared" si="76"/>
        <v>0.99192294106172207</v>
      </c>
      <c r="D1247">
        <v>1231</v>
      </c>
      <c r="E1247">
        <f t="shared" si="77"/>
        <v>0</v>
      </c>
      <c r="F1247">
        <f t="shared" si="78"/>
        <v>0</v>
      </c>
      <c r="G1247" t="str">
        <f t="shared" si="79"/>
        <v>extra</v>
      </c>
      <c r="J1247">
        <v>1216</v>
      </c>
      <c r="K1247">
        <v>0.56492056281979652</v>
      </c>
    </row>
    <row r="1248" spans="1:11" x14ac:dyDescent="0.25">
      <c r="A1248" s="3">
        <v>39741</v>
      </c>
      <c r="B1248">
        <v>1896.73</v>
      </c>
      <c r="C1248">
        <f t="shared" si="76"/>
        <v>1.0346213848553942</v>
      </c>
      <c r="D1248">
        <v>1232</v>
      </c>
      <c r="E1248">
        <f t="shared" si="77"/>
        <v>0</v>
      </c>
      <c r="F1248">
        <f t="shared" si="78"/>
        <v>0</v>
      </c>
      <c r="G1248" t="str">
        <f t="shared" si="79"/>
        <v>extra</v>
      </c>
      <c r="J1248">
        <v>1217</v>
      </c>
      <c r="K1248">
        <v>0.56503864764868605</v>
      </c>
    </row>
    <row r="1249" spans="1:11" x14ac:dyDescent="0.25">
      <c r="A1249" s="3">
        <v>39738</v>
      </c>
      <c r="B1249">
        <v>1833.26</v>
      </c>
      <c r="C1249">
        <f t="shared" si="76"/>
        <v>1.0067878521610192</v>
      </c>
      <c r="D1249">
        <v>1233</v>
      </c>
      <c r="E1249">
        <f t="shared" si="77"/>
        <v>0</v>
      </c>
      <c r="F1249">
        <f t="shared" si="78"/>
        <v>0</v>
      </c>
      <c r="G1249" t="str">
        <f t="shared" si="79"/>
        <v>extra</v>
      </c>
      <c r="J1249">
        <v>1218</v>
      </c>
      <c r="K1249">
        <v>0.56948443858768549</v>
      </c>
    </row>
    <row r="1250" spans="1:11" x14ac:dyDescent="0.25">
      <c r="A1250" s="3">
        <v>39737</v>
      </c>
      <c r="B1250">
        <v>1820.9</v>
      </c>
      <c r="C1250">
        <f t="shared" si="76"/>
        <v>0.95117950646691329</v>
      </c>
      <c r="D1250">
        <v>1234</v>
      </c>
      <c r="E1250">
        <f t="shared" si="77"/>
        <v>0</v>
      </c>
      <c r="F1250">
        <f t="shared" si="78"/>
        <v>0</v>
      </c>
      <c r="G1250" t="str">
        <f t="shared" si="79"/>
        <v>extra</v>
      </c>
      <c r="J1250">
        <v>1219</v>
      </c>
      <c r="K1250">
        <v>0.56972562257973758</v>
      </c>
    </row>
    <row r="1251" spans="1:11" x14ac:dyDescent="0.25">
      <c r="A1251" s="3">
        <v>39736</v>
      </c>
      <c r="B1251">
        <v>1914.36</v>
      </c>
      <c r="C1251">
        <f t="shared" si="76"/>
        <v>0.98952765917854668</v>
      </c>
      <c r="D1251">
        <v>1235</v>
      </c>
      <c r="E1251">
        <f t="shared" si="77"/>
        <v>0</v>
      </c>
      <c r="F1251">
        <f t="shared" si="78"/>
        <v>0</v>
      </c>
      <c r="G1251" t="str">
        <f t="shared" si="79"/>
        <v>extra</v>
      </c>
      <c r="J1251">
        <v>1220</v>
      </c>
      <c r="K1251">
        <v>0.57028350444697806</v>
      </c>
    </row>
    <row r="1252" spans="1:11" x14ac:dyDescent="0.25">
      <c r="A1252" s="3">
        <v>39735</v>
      </c>
      <c r="B1252">
        <v>1934.62</v>
      </c>
      <c r="C1252">
        <f t="shared" si="76"/>
        <v>0.97437912051936793</v>
      </c>
      <c r="D1252">
        <v>1236</v>
      </c>
      <c r="E1252">
        <f t="shared" si="77"/>
        <v>0</v>
      </c>
      <c r="F1252">
        <f t="shared" si="78"/>
        <v>0</v>
      </c>
      <c r="G1252" t="str">
        <f t="shared" si="79"/>
        <v>extra</v>
      </c>
      <c r="J1252">
        <v>1221</v>
      </c>
      <c r="K1252">
        <v>0.57155502477862907</v>
      </c>
    </row>
    <row r="1253" spans="1:11" x14ac:dyDescent="0.25">
      <c r="A1253" s="3">
        <v>39734</v>
      </c>
      <c r="B1253">
        <v>1985.49</v>
      </c>
      <c r="C1253">
        <f t="shared" si="76"/>
        <v>1.0411807274405336</v>
      </c>
      <c r="D1253">
        <v>1237</v>
      </c>
      <c r="E1253">
        <f t="shared" si="77"/>
        <v>0</v>
      </c>
      <c r="F1253">
        <f t="shared" si="78"/>
        <v>0</v>
      </c>
      <c r="G1253" t="str">
        <f t="shared" si="79"/>
        <v>extra</v>
      </c>
      <c r="J1253">
        <v>1222</v>
      </c>
      <c r="K1253">
        <v>0.57177914736846747</v>
      </c>
    </row>
    <row r="1254" spans="1:11" x14ac:dyDescent="0.25">
      <c r="A1254" s="3">
        <v>39731</v>
      </c>
      <c r="B1254">
        <v>1906.96</v>
      </c>
      <c r="C1254">
        <f t="shared" si="76"/>
        <v>0.95572595599659205</v>
      </c>
      <c r="D1254">
        <v>1238</v>
      </c>
      <c r="E1254">
        <f t="shared" si="77"/>
        <v>0</v>
      </c>
      <c r="F1254">
        <f t="shared" si="78"/>
        <v>0</v>
      </c>
      <c r="G1254" t="str">
        <f t="shared" si="79"/>
        <v>extra</v>
      </c>
      <c r="J1254">
        <v>1223</v>
      </c>
      <c r="K1254">
        <v>0.57181449489433189</v>
      </c>
    </row>
    <row r="1255" spans="1:11" x14ac:dyDescent="0.25">
      <c r="A1255" s="3">
        <v>39730</v>
      </c>
      <c r="B1255">
        <v>1995.3</v>
      </c>
      <c r="C1255">
        <f t="shared" si="76"/>
        <v>0.98636597326583875</v>
      </c>
      <c r="D1255">
        <v>1239</v>
      </c>
      <c r="E1255">
        <f t="shared" si="77"/>
        <v>0</v>
      </c>
      <c r="F1255">
        <f t="shared" si="78"/>
        <v>0</v>
      </c>
      <c r="G1255" t="str">
        <f t="shared" si="79"/>
        <v>extra</v>
      </c>
      <c r="J1255">
        <v>1224</v>
      </c>
      <c r="K1255">
        <v>0.57218225819546331</v>
      </c>
    </row>
    <row r="1256" spans="1:11" x14ac:dyDescent="0.25">
      <c r="A1256" s="3">
        <v>39729</v>
      </c>
      <c r="B1256">
        <v>2022.88</v>
      </c>
      <c r="C1256">
        <f t="shared" si="76"/>
        <v>0.96215367785202988</v>
      </c>
      <c r="D1256">
        <v>1240</v>
      </c>
      <c r="E1256">
        <f t="shared" si="77"/>
        <v>0</v>
      </c>
      <c r="F1256">
        <f t="shared" si="78"/>
        <v>0</v>
      </c>
      <c r="G1256" t="str">
        <f t="shared" si="79"/>
        <v>extra</v>
      </c>
      <c r="J1256">
        <v>1225</v>
      </c>
      <c r="K1256">
        <v>0.57265402858325687</v>
      </c>
    </row>
    <row r="1257" spans="1:11" x14ac:dyDescent="0.25">
      <c r="A1257" s="3">
        <v>39728</v>
      </c>
      <c r="B1257">
        <v>2102.4499999999998</v>
      </c>
      <c r="C1257">
        <f t="shared" si="76"/>
        <v>0.98766853008878663</v>
      </c>
      <c r="D1257">
        <v>1241</v>
      </c>
      <c r="E1257">
        <f t="shared" si="77"/>
        <v>0</v>
      </c>
      <c r="F1257">
        <f t="shared" si="78"/>
        <v>0</v>
      </c>
      <c r="G1257" t="str">
        <f t="shared" si="79"/>
        <v>extra</v>
      </c>
      <c r="J1257">
        <v>1226</v>
      </c>
      <c r="K1257">
        <v>0.5733672848124276</v>
      </c>
    </row>
    <row r="1258" spans="1:11" x14ac:dyDescent="0.25">
      <c r="A1258" s="3">
        <v>39727</v>
      </c>
      <c r="B1258">
        <v>2128.6999999999998</v>
      </c>
      <c r="C1258">
        <f t="shared" si="76"/>
        <v>0.9487622901865701</v>
      </c>
      <c r="D1258">
        <v>1242</v>
      </c>
      <c r="E1258">
        <f t="shared" si="77"/>
        <v>0</v>
      </c>
      <c r="F1258">
        <f t="shared" si="78"/>
        <v>0</v>
      </c>
      <c r="G1258" t="str">
        <f t="shared" si="79"/>
        <v>extra</v>
      </c>
      <c r="J1258">
        <v>1227</v>
      </c>
      <c r="K1258">
        <v>0.57416141940342491</v>
      </c>
    </row>
    <row r="1259" spans="1:11" x14ac:dyDescent="0.25">
      <c r="A1259" s="3">
        <v>39717</v>
      </c>
      <c r="B1259">
        <v>2243.66</v>
      </c>
      <c r="C1259">
        <f t="shared" si="76"/>
        <v>1.0090531722081553</v>
      </c>
      <c r="D1259">
        <v>1243</v>
      </c>
      <c r="E1259">
        <f t="shared" si="77"/>
        <v>0</v>
      </c>
      <c r="F1259">
        <f t="shared" si="78"/>
        <v>0</v>
      </c>
      <c r="G1259" t="str">
        <f t="shared" si="79"/>
        <v>extra</v>
      </c>
      <c r="J1259">
        <v>1228</v>
      </c>
      <c r="K1259">
        <v>0.57893913808421371</v>
      </c>
    </row>
    <row r="1260" spans="1:11" x14ac:dyDescent="0.25">
      <c r="A1260" s="3">
        <v>39716</v>
      </c>
      <c r="B1260">
        <v>2223.5300000000002</v>
      </c>
      <c r="C1260">
        <f t="shared" si="76"/>
        <v>1.0395913691937257</v>
      </c>
      <c r="D1260">
        <v>1244</v>
      </c>
      <c r="E1260">
        <f t="shared" si="77"/>
        <v>0</v>
      </c>
      <c r="F1260">
        <f t="shared" si="78"/>
        <v>0</v>
      </c>
      <c r="G1260" t="str">
        <f t="shared" si="79"/>
        <v>extra</v>
      </c>
      <c r="J1260">
        <v>1229</v>
      </c>
      <c r="K1260">
        <v>0.57969754795428619</v>
      </c>
    </row>
    <row r="1261" spans="1:11" x14ac:dyDescent="0.25">
      <c r="A1261" s="3">
        <v>39715</v>
      </c>
      <c r="B1261">
        <v>2138.85</v>
      </c>
      <c r="C1261">
        <f t="shared" si="76"/>
        <v>1.0072381185600994</v>
      </c>
      <c r="D1261">
        <v>1245</v>
      </c>
      <c r="E1261">
        <f t="shared" si="77"/>
        <v>0</v>
      </c>
      <c r="F1261">
        <f t="shared" si="78"/>
        <v>0</v>
      </c>
      <c r="G1261" t="str">
        <f t="shared" si="79"/>
        <v>extra</v>
      </c>
      <c r="J1261">
        <v>1230</v>
      </c>
      <c r="K1261">
        <v>0.57969746869002048</v>
      </c>
    </row>
    <row r="1262" spans="1:11" x14ac:dyDescent="0.25">
      <c r="A1262" s="3">
        <v>39714</v>
      </c>
      <c r="B1262">
        <v>2123.48</v>
      </c>
      <c r="C1262">
        <f t="shared" si="76"/>
        <v>0.96189091370305435</v>
      </c>
      <c r="D1262">
        <v>1246</v>
      </c>
      <c r="E1262">
        <f t="shared" si="77"/>
        <v>0</v>
      </c>
      <c r="F1262">
        <f t="shared" si="78"/>
        <v>0</v>
      </c>
      <c r="G1262" t="str">
        <f t="shared" si="79"/>
        <v>extra</v>
      </c>
      <c r="J1262">
        <v>1231</v>
      </c>
      <c r="K1262">
        <v>0.58028460761309186</v>
      </c>
    </row>
    <row r="1263" spans="1:11" x14ac:dyDescent="0.25">
      <c r="A1263" s="3">
        <v>39713</v>
      </c>
      <c r="B1263">
        <v>2207.61</v>
      </c>
      <c r="C1263">
        <f t="shared" si="76"/>
        <v>1.0648783711428722</v>
      </c>
      <c r="D1263">
        <v>1247</v>
      </c>
      <c r="E1263">
        <f t="shared" si="77"/>
        <v>0</v>
      </c>
      <c r="F1263">
        <f t="shared" si="78"/>
        <v>0</v>
      </c>
      <c r="G1263" t="str">
        <f t="shared" si="79"/>
        <v>extra</v>
      </c>
      <c r="J1263">
        <v>1232</v>
      </c>
      <c r="K1263">
        <v>0.58034349843056199</v>
      </c>
    </row>
    <row r="1264" spans="1:11" x14ac:dyDescent="0.25">
      <c r="A1264" s="3">
        <v>39710</v>
      </c>
      <c r="B1264">
        <v>2073.11</v>
      </c>
      <c r="C1264">
        <f t="shared" si="76"/>
        <v>1.0934182142310878</v>
      </c>
      <c r="D1264">
        <v>1248</v>
      </c>
      <c r="E1264">
        <f t="shared" si="77"/>
        <v>0</v>
      </c>
      <c r="F1264">
        <f t="shared" si="78"/>
        <v>0</v>
      </c>
      <c r="G1264" t="str">
        <f t="shared" si="79"/>
        <v>extra</v>
      </c>
      <c r="J1264">
        <v>1233</v>
      </c>
      <c r="K1264">
        <v>0.5813309256234297</v>
      </c>
    </row>
    <row r="1265" spans="1:11" x14ac:dyDescent="0.25">
      <c r="A1265" s="3">
        <v>39709</v>
      </c>
      <c r="B1265">
        <v>1895.99</v>
      </c>
      <c r="C1265">
        <f t="shared" si="76"/>
        <v>0.98281617715666048</v>
      </c>
      <c r="D1265">
        <v>1249</v>
      </c>
      <c r="E1265">
        <f t="shared" si="77"/>
        <v>0</v>
      </c>
      <c r="F1265">
        <f t="shared" si="78"/>
        <v>0</v>
      </c>
      <c r="G1265" t="str">
        <f t="shared" si="79"/>
        <v>extra</v>
      </c>
      <c r="J1265">
        <v>1234</v>
      </c>
      <c r="K1265">
        <v>0.58136761990081764</v>
      </c>
    </row>
    <row r="1266" spans="1:11" x14ac:dyDescent="0.25">
      <c r="A1266" s="3">
        <v>39708</v>
      </c>
      <c r="B1266">
        <v>1929.14</v>
      </c>
      <c r="C1266">
        <f t="shared" si="76"/>
        <v>0.96425661659960515</v>
      </c>
      <c r="D1266">
        <v>1250</v>
      </c>
      <c r="E1266">
        <f t="shared" si="77"/>
        <v>0</v>
      </c>
      <c r="F1266">
        <f t="shared" si="78"/>
        <v>0</v>
      </c>
      <c r="G1266" t="str">
        <f t="shared" si="79"/>
        <v>extra</v>
      </c>
      <c r="J1266">
        <v>1235</v>
      </c>
      <c r="K1266">
        <v>0.58353743735561503</v>
      </c>
    </row>
    <row r="1267" spans="1:11" x14ac:dyDescent="0.25">
      <c r="A1267" s="3">
        <v>39707</v>
      </c>
      <c r="B1267">
        <v>2000.65</v>
      </c>
      <c r="C1267">
        <f t="shared" si="76"/>
        <v>0.96284621122795211</v>
      </c>
      <c r="D1267">
        <v>1251</v>
      </c>
      <c r="E1267">
        <f t="shared" si="77"/>
        <v>0</v>
      </c>
      <c r="F1267">
        <f t="shared" si="78"/>
        <v>0</v>
      </c>
      <c r="G1267" t="str">
        <f t="shared" si="79"/>
        <v>extra</v>
      </c>
      <c r="J1267">
        <v>1236</v>
      </c>
      <c r="K1267">
        <v>0.58363511496726694</v>
      </c>
    </row>
    <row r="1268" spans="1:11" x14ac:dyDescent="0.25">
      <c r="A1268" s="3">
        <v>39703</v>
      </c>
      <c r="B1268">
        <v>2077.85</v>
      </c>
      <c r="C1268">
        <f t="shared" si="76"/>
        <v>1.0027604445667018</v>
      </c>
      <c r="D1268">
        <v>1252</v>
      </c>
      <c r="E1268">
        <f t="shared" si="77"/>
        <v>0</v>
      </c>
      <c r="F1268">
        <f t="shared" si="78"/>
        <v>0</v>
      </c>
      <c r="G1268" t="str">
        <f t="shared" si="79"/>
        <v>extra</v>
      </c>
      <c r="J1268">
        <v>1237</v>
      </c>
      <c r="K1268">
        <v>0.58421906707505034</v>
      </c>
    </row>
    <row r="1269" spans="1:11" x14ac:dyDescent="0.25">
      <c r="A1269" s="3">
        <v>39702</v>
      </c>
      <c r="B1269">
        <v>2072.13</v>
      </c>
      <c r="C1269">
        <f t="shared" si="76"/>
        <v>0.96684832818522026</v>
      </c>
      <c r="D1269">
        <v>1253</v>
      </c>
      <c r="E1269">
        <f t="shared" si="77"/>
        <v>0</v>
      </c>
      <c r="F1269">
        <f t="shared" si="78"/>
        <v>0</v>
      </c>
      <c r="G1269" t="str">
        <f t="shared" si="79"/>
        <v>extra</v>
      </c>
      <c r="J1269">
        <v>1238</v>
      </c>
      <c r="K1269">
        <v>0.58560253467681234</v>
      </c>
    </row>
    <row r="1270" spans="1:11" x14ac:dyDescent="0.25">
      <c r="A1270" s="3">
        <v>39701</v>
      </c>
      <c r="B1270">
        <v>2143.1799999999998</v>
      </c>
      <c r="C1270">
        <f t="shared" si="76"/>
        <v>1.0018839258584016</v>
      </c>
      <c r="D1270">
        <v>1254</v>
      </c>
      <c r="E1270">
        <f t="shared" si="77"/>
        <v>0</v>
      </c>
      <c r="F1270">
        <f t="shared" si="78"/>
        <v>0</v>
      </c>
      <c r="G1270" t="str">
        <f t="shared" si="79"/>
        <v>extra</v>
      </c>
      <c r="J1270">
        <v>1239</v>
      </c>
      <c r="K1270">
        <v>0.58736491429032966</v>
      </c>
    </row>
    <row r="1271" spans="1:11" x14ac:dyDescent="0.25">
      <c r="A1271" s="3">
        <v>39700</v>
      </c>
      <c r="B1271">
        <v>2139.15</v>
      </c>
      <c r="C1271">
        <f t="shared" si="76"/>
        <v>1.005939281078946</v>
      </c>
      <c r="D1271">
        <v>1255</v>
      </c>
      <c r="E1271">
        <f t="shared" si="77"/>
        <v>0</v>
      </c>
      <c r="F1271">
        <f t="shared" si="78"/>
        <v>0</v>
      </c>
      <c r="G1271" t="str">
        <f t="shared" si="79"/>
        <v>extra</v>
      </c>
      <c r="J1271">
        <v>1240</v>
      </c>
      <c r="K1271">
        <v>0.5875281729465337</v>
      </c>
    </row>
    <row r="1272" spans="1:11" x14ac:dyDescent="0.25">
      <c r="A1272" s="3">
        <v>39699</v>
      </c>
      <c r="B1272">
        <v>2126.52</v>
      </c>
      <c r="C1272">
        <f t="shared" si="76"/>
        <v>0.97393550514557381</v>
      </c>
      <c r="D1272">
        <v>1256</v>
      </c>
      <c r="E1272">
        <f t="shared" si="77"/>
        <v>0</v>
      </c>
      <c r="F1272">
        <f t="shared" si="78"/>
        <v>0</v>
      </c>
      <c r="G1272" t="str">
        <f t="shared" si="79"/>
        <v>extra</v>
      </c>
      <c r="J1272">
        <v>1241</v>
      </c>
      <c r="K1272">
        <v>0.58880215894342391</v>
      </c>
    </row>
    <row r="1273" spans="1:11" x14ac:dyDescent="0.25">
      <c r="A1273" s="3">
        <v>39696</v>
      </c>
      <c r="B1273">
        <v>2183.4299999999998</v>
      </c>
      <c r="C1273">
        <f t="shared" si="76"/>
        <v>0.96991759767230068</v>
      </c>
      <c r="D1273">
        <v>1257</v>
      </c>
      <c r="E1273">
        <f t="shared" si="77"/>
        <v>0</v>
      </c>
      <c r="F1273">
        <f t="shared" si="78"/>
        <v>0</v>
      </c>
      <c r="G1273" t="str">
        <f t="shared" si="79"/>
        <v>extra</v>
      </c>
      <c r="J1273">
        <v>1242</v>
      </c>
      <c r="K1273">
        <v>0.58893451372429562</v>
      </c>
    </row>
    <row r="1274" spans="1:11" x14ac:dyDescent="0.25">
      <c r="A1274" s="3">
        <v>39695</v>
      </c>
      <c r="B1274">
        <v>2251.15</v>
      </c>
      <c r="C1274">
        <f t="shared" si="76"/>
        <v>1.0023108158649308</v>
      </c>
      <c r="D1274">
        <v>1258</v>
      </c>
      <c r="E1274">
        <f t="shared" si="77"/>
        <v>0</v>
      </c>
      <c r="F1274">
        <f t="shared" si="78"/>
        <v>0</v>
      </c>
      <c r="G1274" t="str">
        <f t="shared" si="79"/>
        <v>extra</v>
      </c>
      <c r="J1274">
        <v>1243</v>
      </c>
      <c r="K1274">
        <v>0.59128716031581618</v>
      </c>
    </row>
    <row r="1275" spans="1:11" x14ac:dyDescent="0.25">
      <c r="A1275" s="3">
        <v>39694</v>
      </c>
      <c r="B1275">
        <v>2245.96</v>
      </c>
      <c r="C1275">
        <f t="shared" si="76"/>
        <v>0.98273832703978725</v>
      </c>
      <c r="D1275">
        <v>1259</v>
      </c>
      <c r="E1275">
        <f t="shared" si="77"/>
        <v>0</v>
      </c>
      <c r="F1275">
        <f t="shared" si="78"/>
        <v>0</v>
      </c>
      <c r="G1275" t="str">
        <f t="shared" si="79"/>
        <v>extra</v>
      </c>
      <c r="J1275">
        <v>1244</v>
      </c>
      <c r="K1275">
        <v>0.59135494140153688</v>
      </c>
    </row>
    <row r="1276" spans="1:11" x14ac:dyDescent="0.25">
      <c r="A1276" s="3">
        <v>39693</v>
      </c>
      <c r="B1276">
        <v>2285.41</v>
      </c>
      <c r="C1276">
        <f t="shared" si="76"/>
        <v>0.98971058865306571</v>
      </c>
      <c r="D1276">
        <v>1260</v>
      </c>
      <c r="E1276">
        <f t="shared" si="77"/>
        <v>0</v>
      </c>
      <c r="F1276">
        <f t="shared" si="78"/>
        <v>0</v>
      </c>
      <c r="G1276" t="str">
        <f t="shared" si="79"/>
        <v>extra</v>
      </c>
      <c r="J1276">
        <v>1245</v>
      </c>
      <c r="K1276">
        <v>0.59262597146248619</v>
      </c>
    </row>
    <row r="1277" spans="1:11" x14ac:dyDescent="0.25">
      <c r="A1277" s="3">
        <v>39692</v>
      </c>
      <c r="B1277">
        <v>2309.17</v>
      </c>
      <c r="C1277">
        <f t="shared" si="76"/>
        <v>0.96551738555969968</v>
      </c>
      <c r="D1277">
        <v>1261</v>
      </c>
      <c r="E1277">
        <f t="shared" si="77"/>
        <v>0</v>
      </c>
      <c r="F1277">
        <f t="shared" si="78"/>
        <v>0</v>
      </c>
      <c r="G1277" t="str">
        <f t="shared" si="79"/>
        <v>extra</v>
      </c>
      <c r="J1277">
        <v>1246</v>
      </c>
      <c r="K1277">
        <v>0.59266858666309175</v>
      </c>
    </row>
    <row r="1278" spans="1:11" x14ac:dyDescent="0.25">
      <c r="A1278" s="3">
        <v>39689</v>
      </c>
      <c r="B1278">
        <v>2391.64</v>
      </c>
      <c r="C1278">
        <f t="shared" si="76"/>
        <v>1.0238754725220154</v>
      </c>
      <c r="D1278">
        <v>1262</v>
      </c>
      <c r="E1278">
        <f t="shared" si="77"/>
        <v>0</v>
      </c>
      <c r="F1278">
        <f t="shared" si="78"/>
        <v>0</v>
      </c>
      <c r="G1278" t="str">
        <f t="shared" si="79"/>
        <v>extra</v>
      </c>
      <c r="J1278">
        <v>1247</v>
      </c>
      <c r="K1278">
        <v>0.59394681678728745</v>
      </c>
    </row>
    <row r="1279" spans="1:11" x14ac:dyDescent="0.25">
      <c r="A1279" s="3">
        <v>39688</v>
      </c>
      <c r="B1279">
        <v>2335.87</v>
      </c>
      <c r="C1279">
        <f t="shared" si="76"/>
        <v>1.004549970111255</v>
      </c>
      <c r="D1279">
        <v>1263</v>
      </c>
      <c r="E1279">
        <f t="shared" si="77"/>
        <v>0</v>
      </c>
      <c r="F1279">
        <f t="shared" si="78"/>
        <v>0</v>
      </c>
      <c r="G1279" t="str">
        <f t="shared" si="79"/>
        <v>extra</v>
      </c>
      <c r="J1279">
        <v>1248</v>
      </c>
      <c r="K1279">
        <v>0.59726095524594192</v>
      </c>
    </row>
    <row r="1280" spans="1:11" x14ac:dyDescent="0.25">
      <c r="A1280" s="3">
        <v>39687</v>
      </c>
      <c r="B1280">
        <v>2325.29</v>
      </c>
      <c r="C1280">
        <f t="shared" si="76"/>
        <v>0.99732364584628963</v>
      </c>
      <c r="D1280">
        <v>1264</v>
      </c>
      <c r="E1280">
        <f t="shared" si="77"/>
        <v>0</v>
      </c>
      <c r="F1280">
        <f t="shared" si="78"/>
        <v>0</v>
      </c>
      <c r="G1280" t="str">
        <f t="shared" si="79"/>
        <v>extra</v>
      </c>
      <c r="J1280">
        <v>1249</v>
      </c>
      <c r="K1280">
        <v>0.60389124112640347</v>
      </c>
    </row>
    <row r="1281" spans="1:11" x14ac:dyDescent="0.25">
      <c r="A1281" s="3">
        <v>39686</v>
      </c>
      <c r="B1281">
        <v>2331.5300000000002</v>
      </c>
      <c r="C1281">
        <f t="shared" si="76"/>
        <v>0.97124825560808981</v>
      </c>
      <c r="D1281">
        <v>1265</v>
      </c>
      <c r="E1281">
        <f t="shared" si="77"/>
        <v>0</v>
      </c>
      <c r="F1281">
        <f t="shared" si="78"/>
        <v>0</v>
      </c>
      <c r="G1281" t="str">
        <f t="shared" si="79"/>
        <v>extra</v>
      </c>
      <c r="J1281">
        <v>1250</v>
      </c>
      <c r="K1281">
        <v>0.60414472523268214</v>
      </c>
    </row>
    <row r="1282" spans="1:11" x14ac:dyDescent="0.25">
      <c r="A1282" s="3">
        <v>39685</v>
      </c>
      <c r="B1282">
        <v>2400.5500000000002</v>
      </c>
      <c r="C1282">
        <f t="shared" si="76"/>
        <v>0.99817874116918182</v>
      </c>
      <c r="D1282">
        <v>1266</v>
      </c>
      <c r="E1282">
        <f t="shared" si="77"/>
        <v>0</v>
      </c>
      <c r="F1282">
        <f t="shared" si="78"/>
        <v>0</v>
      </c>
      <c r="G1282" t="str">
        <f t="shared" si="79"/>
        <v>extra</v>
      </c>
      <c r="J1282">
        <v>1251</v>
      </c>
      <c r="K1282">
        <v>0.60525019342472708</v>
      </c>
    </row>
    <row r="1283" spans="1:11" x14ac:dyDescent="0.25">
      <c r="A1283" s="3">
        <v>39682</v>
      </c>
      <c r="B1283">
        <v>2404.9299999999998</v>
      </c>
      <c r="C1283">
        <f t="shared" si="76"/>
        <v>0.98402196417319288</v>
      </c>
      <c r="D1283">
        <v>1267</v>
      </c>
      <c r="E1283">
        <f t="shared" si="77"/>
        <v>0</v>
      </c>
      <c r="F1283">
        <f t="shared" si="78"/>
        <v>0</v>
      </c>
      <c r="G1283" t="str">
        <f t="shared" si="79"/>
        <v>extra</v>
      </c>
      <c r="J1283">
        <v>1252</v>
      </c>
      <c r="K1283">
        <v>0.60644189006943805</v>
      </c>
    </row>
    <row r="1284" spans="1:11" x14ac:dyDescent="0.25">
      <c r="A1284" s="3">
        <v>39681</v>
      </c>
      <c r="B1284">
        <v>2443.98</v>
      </c>
      <c r="C1284">
        <f t="shared" si="76"/>
        <v>0.9648787574912947</v>
      </c>
      <c r="D1284">
        <v>1268</v>
      </c>
      <c r="E1284">
        <f t="shared" si="77"/>
        <v>0</v>
      </c>
      <c r="F1284">
        <f t="shared" si="78"/>
        <v>0</v>
      </c>
      <c r="G1284" t="str">
        <f t="shared" si="79"/>
        <v>extra</v>
      </c>
      <c r="J1284">
        <v>1253</v>
      </c>
      <c r="K1284">
        <v>0.60644733246447091</v>
      </c>
    </row>
    <row r="1285" spans="1:11" x14ac:dyDescent="0.25">
      <c r="A1285" s="3">
        <v>39680</v>
      </c>
      <c r="B1285">
        <v>2532.94</v>
      </c>
      <c r="C1285">
        <f t="shared" si="76"/>
        <v>1.0785490127615001</v>
      </c>
      <c r="D1285">
        <v>1269</v>
      </c>
      <c r="E1285">
        <f t="shared" si="77"/>
        <v>0</v>
      </c>
      <c r="F1285">
        <f t="shared" si="78"/>
        <v>0</v>
      </c>
      <c r="G1285" t="str">
        <f t="shared" si="79"/>
        <v>extra</v>
      </c>
      <c r="J1285">
        <v>1254</v>
      </c>
      <c r="K1285">
        <v>0.60738968089979362</v>
      </c>
    </row>
    <row r="1286" spans="1:11" x14ac:dyDescent="0.25">
      <c r="A1286" s="3">
        <v>39679</v>
      </c>
      <c r="B1286">
        <v>2348.4699999999998</v>
      </c>
      <c r="C1286">
        <f t="shared" si="76"/>
        <v>1.0151595054897553</v>
      </c>
      <c r="D1286">
        <v>1270</v>
      </c>
      <c r="E1286">
        <f t="shared" si="77"/>
        <v>0</v>
      </c>
      <c r="F1286">
        <f t="shared" si="78"/>
        <v>0</v>
      </c>
      <c r="G1286" t="str">
        <f t="shared" si="79"/>
        <v>extra</v>
      </c>
      <c r="J1286">
        <v>1255</v>
      </c>
      <c r="K1286">
        <v>0.60739198853053422</v>
      </c>
    </row>
    <row r="1287" spans="1:11" x14ac:dyDescent="0.25">
      <c r="A1287" s="3">
        <v>39678</v>
      </c>
      <c r="B1287">
        <v>2313.4</v>
      </c>
      <c r="C1287">
        <f t="shared" si="76"/>
        <v>0.94516305635678743</v>
      </c>
      <c r="D1287">
        <v>1271</v>
      </c>
      <c r="E1287">
        <f t="shared" si="77"/>
        <v>0</v>
      </c>
      <c r="F1287">
        <f t="shared" si="78"/>
        <v>0</v>
      </c>
      <c r="G1287" t="str">
        <f t="shared" si="79"/>
        <v>extra</v>
      </c>
      <c r="J1287">
        <v>1256</v>
      </c>
      <c r="K1287">
        <v>0.60741976234371786</v>
      </c>
    </row>
    <row r="1288" spans="1:11" x14ac:dyDescent="0.25">
      <c r="A1288" s="3">
        <v>39675</v>
      </c>
      <c r="B1288">
        <v>2447.62</v>
      </c>
      <c r="C1288">
        <f t="shared" si="76"/>
        <v>1.0016820066216221</v>
      </c>
      <c r="D1288">
        <v>1272</v>
      </c>
      <c r="E1288">
        <f t="shared" si="77"/>
        <v>0</v>
      </c>
      <c r="F1288">
        <f t="shared" si="78"/>
        <v>0</v>
      </c>
      <c r="G1288" t="str">
        <f t="shared" si="79"/>
        <v>extra</v>
      </c>
      <c r="J1288">
        <v>1257</v>
      </c>
      <c r="K1288">
        <v>0.60799718899823552</v>
      </c>
    </row>
    <row r="1289" spans="1:11" x14ac:dyDescent="0.25">
      <c r="A1289" s="3">
        <v>39674</v>
      </c>
      <c r="B1289">
        <v>2443.5100000000002</v>
      </c>
      <c r="C1289">
        <f t="shared" si="76"/>
        <v>0.99952549832901794</v>
      </c>
      <c r="D1289">
        <v>1273</v>
      </c>
      <c r="E1289">
        <f t="shared" si="77"/>
        <v>0</v>
      </c>
      <c r="F1289">
        <f t="shared" si="78"/>
        <v>0</v>
      </c>
      <c r="G1289" t="str">
        <f t="shared" si="79"/>
        <v>extra</v>
      </c>
      <c r="J1289">
        <v>1258</v>
      </c>
      <c r="K1289">
        <v>0.60876711369876313</v>
      </c>
    </row>
    <row r="1290" spans="1:11" x14ac:dyDescent="0.25">
      <c r="A1290" s="3">
        <v>39673</v>
      </c>
      <c r="B1290">
        <v>2444.67</v>
      </c>
      <c r="C1290">
        <f t="shared" si="76"/>
        <v>1.0002086606441478</v>
      </c>
      <c r="D1290">
        <v>1274</v>
      </c>
      <c r="E1290">
        <f t="shared" si="77"/>
        <v>0</v>
      </c>
      <c r="F1290">
        <f t="shared" si="78"/>
        <v>0</v>
      </c>
      <c r="G1290" t="str">
        <f t="shared" si="79"/>
        <v>extra</v>
      </c>
      <c r="J1290">
        <v>1259</v>
      </c>
      <c r="K1290">
        <v>0.60877097819112902</v>
      </c>
    </row>
    <row r="1291" spans="1:11" x14ac:dyDescent="0.25">
      <c r="A1291" s="3">
        <v>39672</v>
      </c>
      <c r="B1291">
        <v>2444.16</v>
      </c>
      <c r="C1291">
        <f t="shared" si="76"/>
        <v>0.99485104668248658</v>
      </c>
      <c r="D1291">
        <v>1275</v>
      </c>
      <c r="E1291">
        <f t="shared" si="77"/>
        <v>0</v>
      </c>
      <c r="F1291">
        <f t="shared" si="78"/>
        <v>0</v>
      </c>
      <c r="G1291" t="str">
        <f t="shared" si="79"/>
        <v>extra</v>
      </c>
      <c r="J1291">
        <v>1260</v>
      </c>
      <c r="K1291">
        <v>0.60902079815687082</v>
      </c>
    </row>
    <row r="1292" spans="1:11" x14ac:dyDescent="0.25">
      <c r="A1292" s="3">
        <v>39671</v>
      </c>
      <c r="B1292">
        <v>2456.81</v>
      </c>
      <c r="C1292">
        <f t="shared" si="76"/>
        <v>0.94804087271267934</v>
      </c>
      <c r="D1292">
        <v>1276</v>
      </c>
      <c r="E1292">
        <f t="shared" si="77"/>
        <v>0</v>
      </c>
      <c r="F1292">
        <f t="shared" si="78"/>
        <v>0</v>
      </c>
      <c r="G1292" t="str">
        <f t="shared" si="79"/>
        <v>extra</v>
      </c>
      <c r="J1292">
        <v>1261</v>
      </c>
      <c r="K1292">
        <v>0.60910868115145633</v>
      </c>
    </row>
    <row r="1293" spans="1:11" x14ac:dyDescent="0.25">
      <c r="A1293" s="3">
        <v>39668</v>
      </c>
      <c r="B1293">
        <v>2591.46</v>
      </c>
      <c r="C1293">
        <f t="shared" si="76"/>
        <v>0.95258855185190627</v>
      </c>
      <c r="D1293">
        <v>1277</v>
      </c>
      <c r="E1293">
        <f t="shared" si="77"/>
        <v>0</v>
      </c>
      <c r="F1293">
        <f t="shared" si="78"/>
        <v>0</v>
      </c>
      <c r="G1293" t="str">
        <f t="shared" si="79"/>
        <v>extra</v>
      </c>
      <c r="J1293">
        <v>1262</v>
      </c>
      <c r="K1293">
        <v>0.61011988965873698</v>
      </c>
    </row>
    <row r="1294" spans="1:11" x14ac:dyDescent="0.25">
      <c r="A1294" s="3">
        <v>39667</v>
      </c>
      <c r="B1294">
        <v>2720.44</v>
      </c>
      <c r="C1294">
        <f t="shared" si="76"/>
        <v>0.99954072653388149</v>
      </c>
      <c r="D1294">
        <v>1278</v>
      </c>
      <c r="E1294">
        <f t="shared" si="77"/>
        <v>0</v>
      </c>
      <c r="F1294">
        <f t="shared" si="78"/>
        <v>0</v>
      </c>
      <c r="G1294" t="str">
        <f t="shared" si="79"/>
        <v>extra</v>
      </c>
      <c r="J1294">
        <v>1263</v>
      </c>
      <c r="K1294">
        <v>0.61057646468753335</v>
      </c>
    </row>
    <row r="1295" spans="1:11" x14ac:dyDescent="0.25">
      <c r="A1295" s="3">
        <v>39666</v>
      </c>
      <c r="B1295">
        <v>2721.69</v>
      </c>
      <c r="C1295">
        <f t="shared" si="76"/>
        <v>1.0068847388904509</v>
      </c>
      <c r="D1295">
        <v>1279</v>
      </c>
      <c r="E1295">
        <f t="shared" si="77"/>
        <v>0</v>
      </c>
      <c r="F1295">
        <f t="shared" si="78"/>
        <v>0</v>
      </c>
      <c r="G1295" t="str">
        <f t="shared" si="79"/>
        <v>extra</v>
      </c>
      <c r="J1295">
        <v>1264</v>
      </c>
      <c r="K1295">
        <v>0.61059293359151334</v>
      </c>
    </row>
    <row r="1296" spans="1:11" x14ac:dyDescent="0.25">
      <c r="A1296" s="3">
        <v>39665</v>
      </c>
      <c r="B1296">
        <v>2703.08</v>
      </c>
      <c r="C1296">
        <f t="shared" si="76"/>
        <v>0.97473270468600681</v>
      </c>
      <c r="D1296">
        <v>1280</v>
      </c>
      <c r="E1296">
        <f t="shared" si="77"/>
        <v>0</v>
      </c>
      <c r="F1296">
        <f t="shared" si="78"/>
        <v>0</v>
      </c>
      <c r="G1296" t="str">
        <f t="shared" si="79"/>
        <v>extra</v>
      </c>
      <c r="J1296">
        <v>1265</v>
      </c>
      <c r="K1296">
        <v>0.61059847489142349</v>
      </c>
    </row>
    <row r="1297" spans="1:11" x14ac:dyDescent="0.25">
      <c r="A1297" s="3">
        <v>39664</v>
      </c>
      <c r="B1297">
        <v>2773.15</v>
      </c>
      <c r="C1297">
        <f t="shared" si="76"/>
        <v>0.97618972187314101</v>
      </c>
      <c r="D1297">
        <v>1281</v>
      </c>
      <c r="E1297">
        <f t="shared" si="77"/>
        <v>0</v>
      </c>
      <c r="F1297">
        <f t="shared" si="78"/>
        <v>0</v>
      </c>
      <c r="G1297" t="str">
        <f t="shared" si="79"/>
        <v>extra</v>
      </c>
      <c r="J1297">
        <v>1266</v>
      </c>
      <c r="K1297">
        <v>0.61129547433015319</v>
      </c>
    </row>
    <row r="1298" spans="1:11" x14ac:dyDescent="0.25">
      <c r="A1298" s="3">
        <v>39661</v>
      </c>
      <c r="B1298">
        <v>2840.79</v>
      </c>
      <c r="C1298">
        <f t="shared" ref="C1298:C1361" si="80">B1298/B1299</f>
        <v>1.0126835424085896</v>
      </c>
      <c r="D1298">
        <v>1282</v>
      </c>
      <c r="E1298">
        <f t="shared" ref="E1298:E1361" si="81">IF(D1298&gt;$B$6,0,LN(C1298))</f>
        <v>0</v>
      </c>
      <c r="F1298">
        <f t="shared" ref="F1298:F1361" si="82">IF(D1298&gt;$B$6,0,(E1298-$B$7)^2)</f>
        <v>0</v>
      </c>
      <c r="G1298" t="str">
        <f t="shared" ref="G1298:G1361" si="83">IF(D1298&lt;=$B$6,E1298,"extra")</f>
        <v>extra</v>
      </c>
      <c r="J1298">
        <v>1267</v>
      </c>
      <c r="K1298">
        <v>0.61129776354285636</v>
      </c>
    </row>
    <row r="1299" spans="1:11" x14ac:dyDescent="0.25">
      <c r="A1299" s="3">
        <v>39660</v>
      </c>
      <c r="B1299">
        <v>2805.21</v>
      </c>
      <c r="C1299">
        <f t="shared" si="80"/>
        <v>0.97255216025627689</v>
      </c>
      <c r="D1299">
        <v>1283</v>
      </c>
      <c r="E1299">
        <f t="shared" si="81"/>
        <v>0</v>
      </c>
      <c r="F1299">
        <f t="shared" si="82"/>
        <v>0</v>
      </c>
      <c r="G1299" t="str">
        <f t="shared" si="83"/>
        <v>extra</v>
      </c>
      <c r="J1299">
        <v>1268</v>
      </c>
      <c r="K1299">
        <v>0.61150924096843939</v>
      </c>
    </row>
    <row r="1300" spans="1:11" x14ac:dyDescent="0.25">
      <c r="A1300" s="3">
        <v>39659</v>
      </c>
      <c r="B1300">
        <v>2884.38</v>
      </c>
      <c r="C1300">
        <f t="shared" si="80"/>
        <v>0.99268661185353946</v>
      </c>
      <c r="D1300">
        <v>1284</v>
      </c>
      <c r="E1300">
        <f t="shared" si="81"/>
        <v>0</v>
      </c>
      <c r="F1300">
        <f t="shared" si="82"/>
        <v>0</v>
      </c>
      <c r="G1300" t="str">
        <f t="shared" si="83"/>
        <v>extra</v>
      </c>
      <c r="J1300">
        <v>1269</v>
      </c>
      <c r="K1300">
        <v>0.61255217132425466</v>
      </c>
    </row>
    <row r="1301" spans="1:11" x14ac:dyDescent="0.25">
      <c r="A1301" s="3">
        <v>39658</v>
      </c>
      <c r="B1301">
        <v>2905.63</v>
      </c>
      <c r="C1301">
        <f t="shared" si="80"/>
        <v>0.98134995018322446</v>
      </c>
      <c r="D1301">
        <v>1285</v>
      </c>
      <c r="E1301">
        <f t="shared" si="81"/>
        <v>0</v>
      </c>
      <c r="F1301">
        <f t="shared" si="82"/>
        <v>0</v>
      </c>
      <c r="G1301" t="str">
        <f t="shared" si="83"/>
        <v>extra</v>
      </c>
      <c r="J1301">
        <v>1270</v>
      </c>
      <c r="K1301">
        <v>0.61721227420342717</v>
      </c>
    </row>
    <row r="1302" spans="1:11" x14ac:dyDescent="0.25">
      <c r="A1302" s="3">
        <v>39657</v>
      </c>
      <c r="B1302">
        <v>2960.85</v>
      </c>
      <c r="C1302">
        <f t="shared" si="80"/>
        <v>1.0073659499183452</v>
      </c>
      <c r="D1302">
        <v>1286</v>
      </c>
      <c r="E1302">
        <f t="shared" si="81"/>
        <v>0</v>
      </c>
      <c r="F1302">
        <f t="shared" si="82"/>
        <v>0</v>
      </c>
      <c r="G1302" t="str">
        <f t="shared" si="83"/>
        <v>extra</v>
      </c>
      <c r="J1302">
        <v>1271</v>
      </c>
      <c r="K1302">
        <v>0.61739537465229222</v>
      </c>
    </row>
    <row r="1303" spans="1:11" x14ac:dyDescent="0.25">
      <c r="A1303" s="3">
        <v>39654</v>
      </c>
      <c r="B1303">
        <v>2939.2</v>
      </c>
      <c r="C1303">
        <f t="shared" si="80"/>
        <v>0.98718327645968229</v>
      </c>
      <c r="D1303">
        <v>1287</v>
      </c>
      <c r="E1303">
        <f t="shared" si="81"/>
        <v>0</v>
      </c>
      <c r="F1303">
        <f t="shared" si="82"/>
        <v>0</v>
      </c>
      <c r="G1303" t="str">
        <f t="shared" si="83"/>
        <v>extra</v>
      </c>
      <c r="J1303">
        <v>1272</v>
      </c>
      <c r="K1303">
        <v>0.61996872177566842</v>
      </c>
    </row>
    <row r="1304" spans="1:11" x14ac:dyDescent="0.25">
      <c r="A1304" s="3">
        <v>39653</v>
      </c>
      <c r="B1304">
        <v>2977.36</v>
      </c>
      <c r="C1304">
        <f t="shared" si="80"/>
        <v>1.0326151797233745</v>
      </c>
      <c r="D1304">
        <v>1288</v>
      </c>
      <c r="E1304">
        <f t="shared" si="81"/>
        <v>0</v>
      </c>
      <c r="F1304">
        <f t="shared" si="82"/>
        <v>0</v>
      </c>
      <c r="G1304" t="str">
        <f t="shared" si="83"/>
        <v>extra</v>
      </c>
      <c r="J1304">
        <v>1273</v>
      </c>
      <c r="K1304">
        <v>0.6199707049674843</v>
      </c>
    </row>
    <row r="1305" spans="1:11" x14ac:dyDescent="0.25">
      <c r="A1305" s="3">
        <v>39652</v>
      </c>
      <c r="B1305">
        <v>2883.32</v>
      </c>
      <c r="C1305">
        <f t="shared" si="80"/>
        <v>0.99262584603097015</v>
      </c>
      <c r="D1305">
        <v>1289</v>
      </c>
      <c r="E1305">
        <f t="shared" si="81"/>
        <v>0</v>
      </c>
      <c r="F1305">
        <f t="shared" si="82"/>
        <v>0</v>
      </c>
      <c r="G1305" t="str">
        <f t="shared" si="83"/>
        <v>extra</v>
      </c>
      <c r="J1305">
        <v>1274</v>
      </c>
      <c r="K1305">
        <v>0.61997048133730193</v>
      </c>
    </row>
    <row r="1306" spans="1:11" x14ac:dyDescent="0.25">
      <c r="A1306" s="3">
        <v>39651</v>
      </c>
      <c r="B1306">
        <v>2904.74</v>
      </c>
      <c r="C1306">
        <f t="shared" si="80"/>
        <v>0.99783239724498018</v>
      </c>
      <c r="D1306">
        <v>1290</v>
      </c>
      <c r="E1306">
        <f t="shared" si="81"/>
        <v>0</v>
      </c>
      <c r="F1306">
        <f t="shared" si="82"/>
        <v>0</v>
      </c>
      <c r="G1306" t="str">
        <f t="shared" si="83"/>
        <v>extra</v>
      </c>
      <c r="J1306">
        <v>1275</v>
      </c>
      <c r="K1306">
        <v>0.61997014533041483</v>
      </c>
    </row>
    <row r="1307" spans="1:11" x14ac:dyDescent="0.25">
      <c r="A1307" s="3">
        <v>39650</v>
      </c>
      <c r="B1307">
        <v>2911.05</v>
      </c>
      <c r="C1307">
        <f t="shared" si="80"/>
        <v>1.0339518231479048</v>
      </c>
      <c r="D1307">
        <v>1291</v>
      </c>
      <c r="E1307">
        <f t="shared" si="81"/>
        <v>0</v>
      </c>
      <c r="F1307">
        <f t="shared" si="82"/>
        <v>0</v>
      </c>
      <c r="G1307" t="str">
        <f t="shared" si="83"/>
        <v>extra</v>
      </c>
      <c r="J1307">
        <v>1276</v>
      </c>
      <c r="K1307">
        <v>0.61999101804479928</v>
      </c>
    </row>
    <row r="1308" spans="1:11" x14ac:dyDescent="0.25">
      <c r="A1308" s="3">
        <v>39647</v>
      </c>
      <c r="B1308">
        <v>2815.46</v>
      </c>
      <c r="C1308">
        <f t="shared" si="80"/>
        <v>1.0358305709565978</v>
      </c>
      <c r="D1308">
        <v>1292</v>
      </c>
      <c r="E1308">
        <f t="shared" si="81"/>
        <v>0</v>
      </c>
      <c r="F1308">
        <f t="shared" si="82"/>
        <v>0</v>
      </c>
      <c r="G1308" t="str">
        <f t="shared" si="83"/>
        <v>extra</v>
      </c>
      <c r="J1308">
        <v>1277</v>
      </c>
      <c r="K1308">
        <v>0.6222812590607677</v>
      </c>
    </row>
    <row r="1309" spans="1:11" x14ac:dyDescent="0.25">
      <c r="A1309" s="3">
        <v>39646</v>
      </c>
      <c r="B1309">
        <v>2718.07</v>
      </c>
      <c r="C1309">
        <f t="shared" si="80"/>
        <v>0.98997304778554784</v>
      </c>
      <c r="D1309">
        <v>1293</v>
      </c>
      <c r="E1309">
        <f t="shared" si="81"/>
        <v>0</v>
      </c>
      <c r="F1309">
        <f t="shared" si="82"/>
        <v>0</v>
      </c>
      <c r="G1309" t="str">
        <f t="shared" si="83"/>
        <v>extra</v>
      </c>
      <c r="J1309">
        <v>1278</v>
      </c>
      <c r="K1309">
        <v>0.62416918742140826</v>
      </c>
    </row>
    <row r="1310" spans="1:11" x14ac:dyDescent="0.25">
      <c r="A1310" s="3">
        <v>39645</v>
      </c>
      <c r="B1310">
        <v>2745.6</v>
      </c>
      <c r="C1310">
        <f t="shared" si="80"/>
        <v>0.96236216166955246</v>
      </c>
      <c r="D1310">
        <v>1294</v>
      </c>
      <c r="E1310">
        <f t="shared" si="81"/>
        <v>0</v>
      </c>
      <c r="F1310">
        <f t="shared" si="82"/>
        <v>0</v>
      </c>
      <c r="G1310" t="str">
        <f t="shared" si="83"/>
        <v>extra</v>
      </c>
      <c r="J1310">
        <v>1279</v>
      </c>
      <c r="K1310">
        <v>0.62416890038498696</v>
      </c>
    </row>
    <row r="1311" spans="1:11" x14ac:dyDescent="0.25">
      <c r="A1311" s="3">
        <v>39644</v>
      </c>
      <c r="B1311">
        <v>2852.98</v>
      </c>
      <c r="C1311">
        <f t="shared" si="80"/>
        <v>0.95870451330199236</v>
      </c>
      <c r="D1311">
        <v>1295</v>
      </c>
      <c r="E1311">
        <f t="shared" si="81"/>
        <v>0</v>
      </c>
      <c r="F1311">
        <f t="shared" si="82"/>
        <v>0</v>
      </c>
      <c r="G1311" t="str">
        <f t="shared" si="83"/>
        <v>extra</v>
      </c>
      <c r="J1311">
        <v>1280</v>
      </c>
      <c r="K1311">
        <v>0.62420752908300892</v>
      </c>
    </row>
    <row r="1312" spans="1:11" x14ac:dyDescent="0.25">
      <c r="A1312" s="3">
        <v>39643</v>
      </c>
      <c r="B1312">
        <v>2975.87</v>
      </c>
      <c r="C1312">
        <f t="shared" si="80"/>
        <v>1.0075740646690368</v>
      </c>
      <c r="D1312">
        <v>1296</v>
      </c>
      <c r="E1312">
        <f t="shared" si="81"/>
        <v>0</v>
      </c>
      <c r="F1312">
        <f t="shared" si="82"/>
        <v>0</v>
      </c>
      <c r="G1312" t="str">
        <f t="shared" si="83"/>
        <v>extra</v>
      </c>
      <c r="J1312">
        <v>1281</v>
      </c>
      <c r="K1312">
        <v>0.62472749542585615</v>
      </c>
    </row>
    <row r="1313" spans="1:11" x14ac:dyDescent="0.25">
      <c r="A1313" s="3">
        <v>39640</v>
      </c>
      <c r="B1313">
        <v>2953.5</v>
      </c>
      <c r="C1313">
        <f t="shared" si="80"/>
        <v>0.99319709590312499</v>
      </c>
      <c r="D1313">
        <v>1297</v>
      </c>
      <c r="E1313">
        <f t="shared" si="81"/>
        <v>0</v>
      </c>
      <c r="F1313">
        <f t="shared" si="82"/>
        <v>0</v>
      </c>
      <c r="G1313" t="str">
        <f t="shared" si="83"/>
        <v>extra</v>
      </c>
      <c r="J1313">
        <v>1282</v>
      </c>
      <c r="K1313">
        <v>0.62518712345067262</v>
      </c>
    </row>
    <row r="1314" spans="1:11" x14ac:dyDescent="0.25">
      <c r="A1314" s="3">
        <v>39639</v>
      </c>
      <c r="B1314">
        <v>2973.73</v>
      </c>
      <c r="C1314">
        <f t="shared" si="80"/>
        <v>0.98626924875544331</v>
      </c>
      <c r="D1314">
        <v>1298</v>
      </c>
      <c r="E1314">
        <f t="shared" si="81"/>
        <v>0</v>
      </c>
      <c r="F1314">
        <f t="shared" si="82"/>
        <v>0</v>
      </c>
      <c r="G1314" t="str">
        <f t="shared" si="83"/>
        <v>extra</v>
      </c>
      <c r="J1314">
        <v>1283</v>
      </c>
      <c r="K1314">
        <v>0.62531687442270911</v>
      </c>
    </row>
    <row r="1315" spans="1:11" x14ac:dyDescent="0.25">
      <c r="A1315" s="3">
        <v>39638</v>
      </c>
      <c r="B1315">
        <v>3015.13</v>
      </c>
      <c r="C1315">
        <f t="shared" si="80"/>
        <v>1.0390407465608027</v>
      </c>
      <c r="D1315">
        <v>1299</v>
      </c>
      <c r="E1315">
        <f t="shared" si="81"/>
        <v>0</v>
      </c>
      <c r="F1315">
        <f t="shared" si="82"/>
        <v>0</v>
      </c>
      <c r="G1315" t="str">
        <f t="shared" si="83"/>
        <v>extra</v>
      </c>
      <c r="J1315">
        <v>1284</v>
      </c>
      <c r="K1315">
        <v>0.62592991350064264</v>
      </c>
    </row>
    <row r="1316" spans="1:11" x14ac:dyDescent="0.25">
      <c r="A1316" s="3">
        <v>39637</v>
      </c>
      <c r="B1316">
        <v>2901.84</v>
      </c>
      <c r="C1316">
        <f t="shared" si="80"/>
        <v>1.0066186571202598</v>
      </c>
      <c r="D1316">
        <v>1300</v>
      </c>
      <c r="E1316">
        <f t="shared" si="81"/>
        <v>0</v>
      </c>
      <c r="F1316">
        <f t="shared" si="82"/>
        <v>0</v>
      </c>
      <c r="G1316" t="str">
        <f t="shared" si="83"/>
        <v>extra</v>
      </c>
      <c r="J1316">
        <v>1285</v>
      </c>
      <c r="K1316">
        <v>0.62597075416889125</v>
      </c>
    </row>
    <row r="1317" spans="1:11" x14ac:dyDescent="0.25">
      <c r="A1317" s="3">
        <v>39636</v>
      </c>
      <c r="B1317">
        <v>2882.76</v>
      </c>
      <c r="C1317">
        <f t="shared" si="80"/>
        <v>1.0513923081131353</v>
      </c>
      <c r="D1317">
        <v>1301</v>
      </c>
      <c r="E1317">
        <f t="shared" si="81"/>
        <v>0</v>
      </c>
      <c r="F1317">
        <f t="shared" si="82"/>
        <v>0</v>
      </c>
      <c r="G1317" t="str">
        <f t="shared" si="83"/>
        <v>extra</v>
      </c>
      <c r="J1317">
        <v>1286</v>
      </c>
      <c r="K1317">
        <v>0.62624868697591052</v>
      </c>
    </row>
    <row r="1318" spans="1:11" x14ac:dyDescent="0.25">
      <c r="A1318" s="3">
        <v>39633</v>
      </c>
      <c r="B1318">
        <v>2741.85</v>
      </c>
      <c r="C1318">
        <f t="shared" si="80"/>
        <v>0.99320440047670611</v>
      </c>
      <c r="D1318">
        <v>1302</v>
      </c>
      <c r="E1318">
        <f t="shared" si="81"/>
        <v>0</v>
      </c>
      <c r="F1318">
        <f t="shared" si="82"/>
        <v>0</v>
      </c>
      <c r="G1318" t="str">
        <f t="shared" si="83"/>
        <v>extra</v>
      </c>
      <c r="J1318">
        <v>1287</v>
      </c>
      <c r="K1318">
        <v>0.62629347391976009</v>
      </c>
    </row>
    <row r="1319" spans="1:11" x14ac:dyDescent="0.25">
      <c r="A1319" s="3">
        <v>39632</v>
      </c>
      <c r="B1319">
        <v>2760.61</v>
      </c>
      <c r="C1319">
        <f t="shared" si="80"/>
        <v>1.0225996443917618</v>
      </c>
      <c r="D1319">
        <v>1303</v>
      </c>
      <c r="E1319">
        <f t="shared" si="81"/>
        <v>0</v>
      </c>
      <c r="F1319">
        <f t="shared" si="82"/>
        <v>0</v>
      </c>
      <c r="G1319" t="str">
        <f t="shared" si="83"/>
        <v>extra</v>
      </c>
      <c r="J1319">
        <v>1288</v>
      </c>
      <c r="K1319">
        <v>0.62642247272558582</v>
      </c>
    </row>
    <row r="1320" spans="1:11" x14ac:dyDescent="0.25">
      <c r="A1320" s="3">
        <v>39631</v>
      </c>
      <c r="B1320">
        <v>2699.6</v>
      </c>
      <c r="C1320">
        <f t="shared" si="80"/>
        <v>1.000463246057776</v>
      </c>
      <c r="D1320">
        <v>1304</v>
      </c>
      <c r="E1320">
        <f t="shared" si="81"/>
        <v>0</v>
      </c>
      <c r="F1320">
        <f t="shared" si="82"/>
        <v>0</v>
      </c>
      <c r="G1320" t="str">
        <f t="shared" si="83"/>
        <v>extra</v>
      </c>
      <c r="J1320">
        <v>1289</v>
      </c>
      <c r="K1320">
        <v>0.62725380229999672</v>
      </c>
    </row>
    <row r="1321" spans="1:11" x14ac:dyDescent="0.25">
      <c r="A1321" s="3">
        <v>39630</v>
      </c>
      <c r="B1321">
        <v>2698.35</v>
      </c>
      <c r="C1321">
        <f t="shared" si="80"/>
        <v>0.96652004785408796</v>
      </c>
      <c r="D1321">
        <v>1305</v>
      </c>
      <c r="E1321">
        <f t="shared" si="81"/>
        <v>0</v>
      </c>
      <c r="F1321">
        <f t="shared" si="82"/>
        <v>0</v>
      </c>
      <c r="G1321" t="str">
        <f t="shared" si="83"/>
        <v>extra</v>
      </c>
      <c r="J1321">
        <v>1290</v>
      </c>
      <c r="K1321">
        <v>0.62729527272517072</v>
      </c>
    </row>
    <row r="1322" spans="1:11" x14ac:dyDescent="0.25">
      <c r="A1322" s="3">
        <v>39629</v>
      </c>
      <c r="B1322">
        <v>2791.82</v>
      </c>
      <c r="C1322">
        <f t="shared" si="80"/>
        <v>0.99140631103472288</v>
      </c>
      <c r="D1322">
        <v>1306</v>
      </c>
      <c r="E1322">
        <f t="shared" si="81"/>
        <v>0</v>
      </c>
      <c r="F1322">
        <f t="shared" si="82"/>
        <v>0</v>
      </c>
      <c r="G1322" t="str">
        <f t="shared" si="83"/>
        <v>extra</v>
      </c>
      <c r="J1322">
        <v>1291</v>
      </c>
      <c r="K1322">
        <v>0.62729810471091929</v>
      </c>
    </row>
    <row r="1323" spans="1:11" x14ac:dyDescent="0.25">
      <c r="A1323" s="3">
        <v>39626</v>
      </c>
      <c r="B1323">
        <v>2816.02</v>
      </c>
      <c r="C1323">
        <f t="shared" si="80"/>
        <v>0.94468467682687507</v>
      </c>
      <c r="D1323">
        <v>1307</v>
      </c>
      <c r="E1323">
        <f t="shared" si="81"/>
        <v>0</v>
      </c>
      <c r="F1323">
        <f t="shared" si="82"/>
        <v>0</v>
      </c>
      <c r="G1323" t="str">
        <f t="shared" si="83"/>
        <v>extra</v>
      </c>
      <c r="J1323">
        <v>1292</v>
      </c>
      <c r="K1323">
        <v>0.62819517391491919</v>
      </c>
    </row>
    <row r="1324" spans="1:11" x14ac:dyDescent="0.25">
      <c r="A1324" s="3">
        <v>39625</v>
      </c>
      <c r="B1324">
        <v>2980.91</v>
      </c>
      <c r="C1324">
        <f t="shared" si="80"/>
        <v>1.0038288758528258</v>
      </c>
      <c r="D1324">
        <v>1308</v>
      </c>
      <c r="E1324">
        <f t="shared" si="81"/>
        <v>0</v>
      </c>
      <c r="F1324">
        <f t="shared" si="82"/>
        <v>0</v>
      </c>
      <c r="G1324" t="str">
        <f t="shared" si="83"/>
        <v>extra</v>
      </c>
      <c r="J1324">
        <v>1293</v>
      </c>
      <c r="K1324">
        <v>0.62918901836205798</v>
      </c>
    </row>
    <row r="1325" spans="1:11" x14ac:dyDescent="0.25">
      <c r="A1325" s="3">
        <v>39624</v>
      </c>
      <c r="B1325">
        <v>2969.54</v>
      </c>
      <c r="C1325">
        <f t="shared" si="80"/>
        <v>1.0412423910909141</v>
      </c>
      <c r="D1325">
        <v>1309</v>
      </c>
      <c r="E1325">
        <f t="shared" si="81"/>
        <v>0</v>
      </c>
      <c r="F1325">
        <f t="shared" si="82"/>
        <v>0</v>
      </c>
      <c r="G1325" t="str">
        <f t="shared" si="83"/>
        <v>extra</v>
      </c>
      <c r="J1325">
        <v>1294</v>
      </c>
      <c r="K1325">
        <v>0.6292676127756478</v>
      </c>
    </row>
    <row r="1326" spans="1:11" x14ac:dyDescent="0.25">
      <c r="A1326" s="3">
        <v>39623</v>
      </c>
      <c r="B1326">
        <v>2851.92</v>
      </c>
      <c r="C1326">
        <f t="shared" si="80"/>
        <v>1.0222155315168069</v>
      </c>
      <c r="D1326">
        <v>1310</v>
      </c>
      <c r="E1326">
        <f t="shared" si="81"/>
        <v>0</v>
      </c>
      <c r="F1326">
        <f t="shared" si="82"/>
        <v>0</v>
      </c>
      <c r="G1326" t="str">
        <f t="shared" si="83"/>
        <v>extra</v>
      </c>
      <c r="J1326">
        <v>1295</v>
      </c>
      <c r="K1326">
        <v>0.63042923100252679</v>
      </c>
    </row>
    <row r="1327" spans="1:11" x14ac:dyDescent="0.25">
      <c r="A1327" s="3">
        <v>39622</v>
      </c>
      <c r="B1327">
        <v>2789.94</v>
      </c>
      <c r="C1327">
        <f t="shared" si="80"/>
        <v>0.97903967827853755</v>
      </c>
      <c r="D1327">
        <v>1311</v>
      </c>
      <c r="E1327">
        <f t="shared" si="81"/>
        <v>0</v>
      </c>
      <c r="F1327">
        <f t="shared" si="82"/>
        <v>0</v>
      </c>
      <c r="G1327" t="str">
        <f t="shared" si="83"/>
        <v>extra</v>
      </c>
      <c r="J1327">
        <v>1296</v>
      </c>
      <c r="K1327">
        <v>0.63182894383411969</v>
      </c>
    </row>
    <row r="1328" spans="1:11" x14ac:dyDescent="0.25">
      <c r="A1328" s="3">
        <v>39619</v>
      </c>
      <c r="B1328">
        <v>2849.67</v>
      </c>
      <c r="C1328">
        <f t="shared" si="80"/>
        <v>1.0276191094378815</v>
      </c>
      <c r="D1328">
        <v>1312</v>
      </c>
      <c r="E1328">
        <f t="shared" si="81"/>
        <v>0</v>
      </c>
      <c r="F1328">
        <f t="shared" si="82"/>
        <v>0</v>
      </c>
      <c r="G1328" t="str">
        <f t="shared" si="83"/>
        <v>extra</v>
      </c>
      <c r="J1328">
        <v>1297</v>
      </c>
      <c r="K1328">
        <v>0.6318758586214549</v>
      </c>
    </row>
    <row r="1329" spans="1:11" x14ac:dyDescent="0.25">
      <c r="A1329" s="3">
        <v>39618</v>
      </c>
      <c r="B1329">
        <v>2773.08</v>
      </c>
      <c r="C1329">
        <f t="shared" si="80"/>
        <v>0.92705773801763125</v>
      </c>
      <c r="D1329">
        <v>1313</v>
      </c>
      <c r="E1329">
        <f t="shared" si="81"/>
        <v>0</v>
      </c>
      <c r="F1329">
        <f t="shared" si="82"/>
        <v>0</v>
      </c>
      <c r="G1329" t="str">
        <f t="shared" si="83"/>
        <v>extra</v>
      </c>
      <c r="J1329">
        <v>1298</v>
      </c>
      <c r="K1329">
        <v>0.63191050196731946</v>
      </c>
    </row>
    <row r="1330" spans="1:11" x14ac:dyDescent="0.25">
      <c r="A1330" s="3">
        <v>39617</v>
      </c>
      <c r="B1330">
        <v>2991.27</v>
      </c>
      <c r="C1330">
        <f t="shared" si="80"/>
        <v>1.0522710962894171</v>
      </c>
      <c r="D1330">
        <v>1314</v>
      </c>
      <c r="E1330">
        <f t="shared" si="81"/>
        <v>0</v>
      </c>
      <c r="F1330">
        <f t="shared" si="82"/>
        <v>0</v>
      </c>
      <c r="G1330" t="str">
        <f t="shared" si="83"/>
        <v>extra</v>
      </c>
      <c r="J1330">
        <v>1299</v>
      </c>
      <c r="K1330">
        <v>0.63205753499130901</v>
      </c>
    </row>
    <row r="1331" spans="1:11" x14ac:dyDescent="0.25">
      <c r="A1331" s="3">
        <v>39616</v>
      </c>
      <c r="B1331">
        <v>2842.68</v>
      </c>
      <c r="C1331">
        <f t="shared" si="80"/>
        <v>0.96288919600032519</v>
      </c>
      <c r="D1331">
        <v>1315</v>
      </c>
      <c r="E1331">
        <f t="shared" si="81"/>
        <v>0</v>
      </c>
      <c r="F1331">
        <f t="shared" si="82"/>
        <v>0</v>
      </c>
      <c r="G1331" t="str">
        <f t="shared" si="83"/>
        <v>extra</v>
      </c>
      <c r="J1331">
        <v>1300</v>
      </c>
      <c r="K1331">
        <v>0.63322890883881011</v>
      </c>
    </row>
    <row r="1332" spans="1:11" x14ac:dyDescent="0.25">
      <c r="A1332" s="3">
        <v>39615</v>
      </c>
      <c r="B1332">
        <v>2952.24</v>
      </c>
      <c r="C1332">
        <f t="shared" si="80"/>
        <v>0.99097720132119549</v>
      </c>
      <c r="D1332">
        <v>1316</v>
      </c>
      <c r="E1332">
        <f t="shared" si="81"/>
        <v>0</v>
      </c>
      <c r="F1332">
        <f t="shared" si="82"/>
        <v>0</v>
      </c>
      <c r="G1332" t="str">
        <f t="shared" si="83"/>
        <v>extra</v>
      </c>
      <c r="J1332">
        <v>1301</v>
      </c>
      <c r="K1332">
        <v>0.63326463281303003</v>
      </c>
    </row>
    <row r="1333" spans="1:11" x14ac:dyDescent="0.25">
      <c r="A1333" s="3">
        <v>39612</v>
      </c>
      <c r="B1333">
        <v>2979.12</v>
      </c>
      <c r="C1333">
        <f t="shared" si="80"/>
        <v>0.96579492516120236</v>
      </c>
      <c r="D1333">
        <v>1317</v>
      </c>
      <c r="E1333">
        <f t="shared" si="81"/>
        <v>0</v>
      </c>
      <c r="F1333">
        <f t="shared" si="82"/>
        <v>0</v>
      </c>
      <c r="G1333" t="str">
        <f t="shared" si="83"/>
        <v>extra</v>
      </c>
      <c r="J1333">
        <v>1302</v>
      </c>
      <c r="K1333">
        <v>0.63525810582429043</v>
      </c>
    </row>
    <row r="1334" spans="1:11" x14ac:dyDescent="0.25">
      <c r="A1334" s="3">
        <v>39611</v>
      </c>
      <c r="B1334">
        <v>3084.63</v>
      </c>
      <c r="C1334">
        <f t="shared" si="80"/>
        <v>0.98227239435722702</v>
      </c>
      <c r="D1334">
        <v>1318</v>
      </c>
      <c r="E1334">
        <f t="shared" si="81"/>
        <v>0</v>
      </c>
      <c r="F1334">
        <f t="shared" si="82"/>
        <v>0</v>
      </c>
      <c r="G1334" t="str">
        <f t="shared" si="83"/>
        <v>extra</v>
      </c>
      <c r="J1334">
        <v>1303</v>
      </c>
      <c r="K1334">
        <v>0.63529309429966485</v>
      </c>
    </row>
    <row r="1335" spans="1:11" x14ac:dyDescent="0.25">
      <c r="A1335" s="3">
        <v>39610</v>
      </c>
      <c r="B1335">
        <v>3140.3</v>
      </c>
      <c r="C1335">
        <f t="shared" si="80"/>
        <v>0.97933611097250639</v>
      </c>
      <c r="D1335">
        <v>1319</v>
      </c>
      <c r="E1335">
        <f t="shared" si="81"/>
        <v>0</v>
      </c>
      <c r="F1335">
        <f t="shared" si="82"/>
        <v>0</v>
      </c>
      <c r="G1335" t="str">
        <f t="shared" si="83"/>
        <v>extra</v>
      </c>
      <c r="J1335">
        <v>1304</v>
      </c>
      <c r="K1335">
        <v>0.63569033009420317</v>
      </c>
    </row>
    <row r="1336" spans="1:11" x14ac:dyDescent="0.25">
      <c r="A1336" s="3">
        <v>39609</v>
      </c>
      <c r="B1336">
        <v>3206.56</v>
      </c>
      <c r="C1336">
        <f t="shared" si="80"/>
        <v>0.91891675025075226</v>
      </c>
      <c r="D1336">
        <v>1320</v>
      </c>
      <c r="E1336">
        <f t="shared" si="81"/>
        <v>0</v>
      </c>
      <c r="F1336">
        <f t="shared" si="82"/>
        <v>0</v>
      </c>
      <c r="G1336" t="str">
        <f t="shared" si="83"/>
        <v>extra</v>
      </c>
      <c r="J1336">
        <v>1305</v>
      </c>
      <c r="K1336">
        <v>0.63569021111459123</v>
      </c>
    </row>
    <row r="1337" spans="1:11" x14ac:dyDescent="0.25">
      <c r="A1337" s="3">
        <v>39605</v>
      </c>
      <c r="B1337">
        <v>3489.5</v>
      </c>
      <c r="C1337">
        <f t="shared" si="80"/>
        <v>0.99355378771916836</v>
      </c>
      <c r="D1337">
        <v>1321</v>
      </c>
      <c r="E1337">
        <f t="shared" si="81"/>
        <v>0</v>
      </c>
      <c r="F1337">
        <f t="shared" si="82"/>
        <v>0</v>
      </c>
      <c r="G1337" t="str">
        <f t="shared" si="83"/>
        <v>extra</v>
      </c>
      <c r="J1337">
        <v>1306</v>
      </c>
      <c r="K1337">
        <v>0.63659632714065062</v>
      </c>
    </row>
    <row r="1338" spans="1:11" x14ac:dyDescent="0.25">
      <c r="A1338" s="3">
        <v>39604</v>
      </c>
      <c r="B1338">
        <v>3512.14</v>
      </c>
      <c r="C1338">
        <f t="shared" si="80"/>
        <v>0.99019430942902564</v>
      </c>
      <c r="D1338">
        <v>1322</v>
      </c>
      <c r="E1338">
        <f t="shared" si="81"/>
        <v>0</v>
      </c>
      <c r="F1338">
        <f t="shared" si="82"/>
        <v>0</v>
      </c>
      <c r="G1338" t="str">
        <f t="shared" si="83"/>
        <v>extra</v>
      </c>
      <c r="J1338">
        <v>1307</v>
      </c>
      <c r="K1338">
        <v>0.63665272901028891</v>
      </c>
    </row>
    <row r="1339" spans="1:11" x14ac:dyDescent="0.25">
      <c r="A1339" s="3">
        <v>39603</v>
      </c>
      <c r="B1339">
        <v>3546.92</v>
      </c>
      <c r="C1339">
        <f t="shared" si="80"/>
        <v>0.98140897759061008</v>
      </c>
      <c r="D1339">
        <v>1323</v>
      </c>
      <c r="E1339">
        <f t="shared" si="81"/>
        <v>0</v>
      </c>
      <c r="F1339">
        <f t="shared" si="82"/>
        <v>0</v>
      </c>
      <c r="G1339" t="str">
        <f t="shared" si="83"/>
        <v>extra</v>
      </c>
      <c r="J1339">
        <v>1308</v>
      </c>
      <c r="K1339">
        <v>0.63917997762963674</v>
      </c>
    </row>
    <row r="1340" spans="1:11" x14ac:dyDescent="0.25">
      <c r="A1340" s="3">
        <v>39602</v>
      </c>
      <c r="B1340">
        <v>3614.11</v>
      </c>
      <c r="C1340">
        <f t="shared" si="80"/>
        <v>0.99676763665147017</v>
      </c>
      <c r="D1340">
        <v>1324</v>
      </c>
      <c r="E1340">
        <f t="shared" si="81"/>
        <v>0</v>
      </c>
      <c r="F1340">
        <f t="shared" si="82"/>
        <v>0</v>
      </c>
      <c r="G1340" t="str">
        <f t="shared" si="83"/>
        <v>extra</v>
      </c>
      <c r="J1340">
        <v>1309</v>
      </c>
      <c r="K1340">
        <v>0.63919214978483052</v>
      </c>
    </row>
    <row r="1341" spans="1:11" x14ac:dyDescent="0.25">
      <c r="A1341" s="3">
        <v>39601</v>
      </c>
      <c r="B1341">
        <v>3625.83</v>
      </c>
      <c r="C1341">
        <f t="shared" si="80"/>
        <v>1.0040151412360543</v>
      </c>
      <c r="D1341">
        <v>1325</v>
      </c>
      <c r="E1341">
        <f t="shared" si="81"/>
        <v>0</v>
      </c>
      <c r="F1341">
        <f t="shared" si="82"/>
        <v>0</v>
      </c>
      <c r="G1341" t="str">
        <f t="shared" si="83"/>
        <v>extra</v>
      </c>
      <c r="J1341">
        <v>1310</v>
      </c>
      <c r="K1341">
        <v>0.64048044378798685</v>
      </c>
    </row>
    <row r="1342" spans="1:11" x14ac:dyDescent="0.25">
      <c r="A1342" s="3">
        <v>39598</v>
      </c>
      <c r="B1342">
        <v>3611.33</v>
      </c>
      <c r="C1342">
        <f t="shared" si="80"/>
        <v>1.0085063127117153</v>
      </c>
      <c r="D1342">
        <v>1326</v>
      </c>
      <c r="E1342">
        <f t="shared" si="81"/>
        <v>0</v>
      </c>
      <c r="F1342">
        <f t="shared" si="82"/>
        <v>0</v>
      </c>
      <c r="G1342" t="str">
        <f t="shared" si="83"/>
        <v>extra</v>
      </c>
      <c r="J1342">
        <v>1311</v>
      </c>
      <c r="K1342">
        <v>0.64086222278856009</v>
      </c>
    </row>
    <row r="1343" spans="1:11" x14ac:dyDescent="0.25">
      <c r="A1343" s="3">
        <v>39597</v>
      </c>
      <c r="B1343">
        <v>3580.87</v>
      </c>
      <c r="C1343">
        <f t="shared" si="80"/>
        <v>0.97406038251143157</v>
      </c>
      <c r="D1343">
        <v>1327</v>
      </c>
      <c r="E1343">
        <f t="shared" si="81"/>
        <v>0</v>
      </c>
      <c r="F1343">
        <f t="shared" si="82"/>
        <v>0</v>
      </c>
      <c r="G1343" t="str">
        <f t="shared" si="83"/>
        <v>extra</v>
      </c>
      <c r="J1343">
        <v>1312</v>
      </c>
      <c r="K1343">
        <v>0.64120780545365563</v>
      </c>
    </row>
    <row r="1344" spans="1:11" x14ac:dyDescent="0.25">
      <c r="A1344" s="3">
        <v>39596</v>
      </c>
      <c r="B1344">
        <v>3676.23</v>
      </c>
      <c r="C1344">
        <f t="shared" si="80"/>
        <v>1.0279710307029808</v>
      </c>
      <c r="D1344">
        <v>1328</v>
      </c>
      <c r="E1344">
        <f t="shared" si="81"/>
        <v>0</v>
      </c>
      <c r="F1344">
        <f t="shared" si="82"/>
        <v>0</v>
      </c>
      <c r="G1344" t="str">
        <f t="shared" si="83"/>
        <v>extra</v>
      </c>
      <c r="J1344">
        <v>1313</v>
      </c>
      <c r="K1344">
        <v>0.64179267083169989</v>
      </c>
    </row>
    <row r="1345" spans="1:11" x14ac:dyDescent="0.25">
      <c r="A1345" s="3">
        <v>39595</v>
      </c>
      <c r="B1345">
        <v>3576.2</v>
      </c>
      <c r="C1345">
        <f t="shared" si="80"/>
        <v>1.0047707081888728</v>
      </c>
      <c r="D1345">
        <v>1329</v>
      </c>
      <c r="E1345">
        <f t="shared" si="81"/>
        <v>0</v>
      </c>
      <c r="F1345">
        <f t="shared" si="82"/>
        <v>0</v>
      </c>
      <c r="G1345" t="str">
        <f t="shared" si="83"/>
        <v>extra</v>
      </c>
      <c r="J1345">
        <v>1314</v>
      </c>
      <c r="K1345">
        <v>0.6462345615920686</v>
      </c>
    </row>
    <row r="1346" spans="1:11" x14ac:dyDescent="0.25">
      <c r="A1346" s="3">
        <v>39594</v>
      </c>
      <c r="B1346">
        <v>3559.22</v>
      </c>
      <c r="C1346">
        <f t="shared" si="80"/>
        <v>0.96845570929077718</v>
      </c>
      <c r="D1346">
        <v>1330</v>
      </c>
      <c r="E1346">
        <f t="shared" si="81"/>
        <v>0</v>
      </c>
      <c r="F1346">
        <f t="shared" si="82"/>
        <v>0</v>
      </c>
      <c r="G1346" t="str">
        <f t="shared" si="83"/>
        <v>extra</v>
      </c>
      <c r="J1346">
        <v>1315</v>
      </c>
      <c r="K1346">
        <v>0.64825560663152704</v>
      </c>
    </row>
    <row r="1347" spans="1:11" x14ac:dyDescent="0.25">
      <c r="A1347" s="3">
        <v>39591</v>
      </c>
      <c r="B1347">
        <v>3675.15</v>
      </c>
      <c r="C1347">
        <f t="shared" si="80"/>
        <v>0.99022212402733167</v>
      </c>
      <c r="D1347">
        <v>1331</v>
      </c>
      <c r="E1347">
        <f t="shared" si="81"/>
        <v>0</v>
      </c>
      <c r="F1347">
        <f t="shared" si="82"/>
        <v>0</v>
      </c>
      <c r="G1347" t="str">
        <f t="shared" si="83"/>
        <v>extra</v>
      </c>
      <c r="J1347">
        <v>1316</v>
      </c>
      <c r="K1347">
        <v>0.64934977340457445</v>
      </c>
    </row>
    <row r="1348" spans="1:11" x14ac:dyDescent="0.25">
      <c r="A1348" s="3">
        <v>39590</v>
      </c>
      <c r="B1348">
        <v>3711.44</v>
      </c>
      <c r="C1348">
        <f t="shared" si="80"/>
        <v>0.98107082909292764</v>
      </c>
      <c r="D1348">
        <v>1332</v>
      </c>
      <c r="E1348">
        <f t="shared" si="81"/>
        <v>0</v>
      </c>
      <c r="F1348">
        <f t="shared" si="82"/>
        <v>0</v>
      </c>
      <c r="G1348" t="str">
        <f t="shared" si="83"/>
        <v>extra</v>
      </c>
      <c r="J1348">
        <v>1317</v>
      </c>
      <c r="K1348">
        <v>0.6494103031032944</v>
      </c>
    </row>
    <row r="1349" spans="1:11" x14ac:dyDescent="0.25">
      <c r="A1349" s="3">
        <v>39589</v>
      </c>
      <c r="B1349">
        <v>3783.05</v>
      </c>
      <c r="C1349">
        <f t="shared" si="80"/>
        <v>1.0194647005244124</v>
      </c>
      <c r="D1349">
        <v>1333</v>
      </c>
      <c r="E1349">
        <f t="shared" si="81"/>
        <v>0</v>
      </c>
      <c r="F1349">
        <f t="shared" si="82"/>
        <v>0</v>
      </c>
      <c r="G1349" t="str">
        <f t="shared" si="83"/>
        <v>extra</v>
      </c>
      <c r="J1349">
        <v>1318</v>
      </c>
      <c r="K1349">
        <v>0.65033296777328942</v>
      </c>
    </row>
    <row r="1350" spans="1:11" x14ac:dyDescent="0.25">
      <c r="A1350" s="3">
        <v>39588</v>
      </c>
      <c r="B1350">
        <v>3710.82</v>
      </c>
      <c r="C1350">
        <f t="shared" si="80"/>
        <v>0.94807195579026438</v>
      </c>
      <c r="D1350">
        <v>1334</v>
      </c>
      <c r="E1350">
        <f t="shared" si="81"/>
        <v>0</v>
      </c>
      <c r="F1350">
        <f t="shared" si="82"/>
        <v>0</v>
      </c>
      <c r="G1350" t="str">
        <f t="shared" si="83"/>
        <v>extra</v>
      </c>
      <c r="J1350">
        <v>1319</v>
      </c>
      <c r="K1350">
        <v>0.65057306460165298</v>
      </c>
    </row>
    <row r="1351" spans="1:11" x14ac:dyDescent="0.25">
      <c r="A1351" s="3">
        <v>39587</v>
      </c>
      <c r="B1351">
        <v>3914.07</v>
      </c>
      <c r="C1351">
        <f t="shared" si="80"/>
        <v>0.9943980366452243</v>
      </c>
      <c r="D1351">
        <v>1335</v>
      </c>
      <c r="E1351">
        <f t="shared" si="81"/>
        <v>0</v>
      </c>
      <c r="F1351">
        <f t="shared" si="82"/>
        <v>0</v>
      </c>
      <c r="G1351" t="str">
        <f t="shared" si="83"/>
        <v>extra</v>
      </c>
      <c r="J1351">
        <v>1320</v>
      </c>
      <c r="K1351">
        <v>0.65090092309946346</v>
      </c>
    </row>
    <row r="1352" spans="1:11" x14ac:dyDescent="0.25">
      <c r="A1352" s="3">
        <v>39584</v>
      </c>
      <c r="B1352">
        <v>3936.12</v>
      </c>
      <c r="C1352">
        <f t="shared" si="80"/>
        <v>0.99696815422140828</v>
      </c>
      <c r="D1352">
        <v>1336</v>
      </c>
      <c r="E1352">
        <f t="shared" si="81"/>
        <v>0</v>
      </c>
      <c r="F1352">
        <f t="shared" si="82"/>
        <v>0</v>
      </c>
      <c r="G1352" t="str">
        <f t="shared" si="83"/>
        <v>extra</v>
      </c>
      <c r="J1352">
        <v>1321</v>
      </c>
      <c r="K1352">
        <v>0.65634404852808381</v>
      </c>
    </row>
    <row r="1353" spans="1:11" x14ac:dyDescent="0.25">
      <c r="A1353" s="3">
        <v>39583</v>
      </c>
      <c r="B1353">
        <v>3948.09</v>
      </c>
      <c r="C1353">
        <f t="shared" si="80"/>
        <v>0.99303532891658997</v>
      </c>
      <c r="D1353">
        <v>1337</v>
      </c>
      <c r="E1353">
        <f t="shared" si="81"/>
        <v>0</v>
      </c>
      <c r="F1353">
        <f t="shared" si="82"/>
        <v>0</v>
      </c>
      <c r="G1353" t="str">
        <f t="shared" si="83"/>
        <v>extra</v>
      </c>
      <c r="J1353">
        <v>1322</v>
      </c>
      <c r="K1353">
        <v>0.65637267359035567</v>
      </c>
    </row>
    <row r="1354" spans="1:11" x14ac:dyDescent="0.25">
      <c r="A1354" s="3">
        <v>39582</v>
      </c>
      <c r="B1354">
        <v>3975.78</v>
      </c>
      <c r="C1354">
        <f t="shared" si="80"/>
        <v>1.0322170268116073</v>
      </c>
      <c r="D1354">
        <v>1338</v>
      </c>
      <c r="E1354">
        <f t="shared" si="81"/>
        <v>0</v>
      </c>
      <c r="F1354">
        <f t="shared" si="82"/>
        <v>0</v>
      </c>
      <c r="G1354" t="str">
        <f t="shared" si="83"/>
        <v>extra</v>
      </c>
      <c r="J1354">
        <v>1323</v>
      </c>
      <c r="K1354">
        <v>0.65644182341921087</v>
      </c>
    </row>
    <row r="1355" spans="1:11" x14ac:dyDescent="0.25">
      <c r="A1355" s="3">
        <v>39581</v>
      </c>
      <c r="B1355">
        <v>3851.69</v>
      </c>
      <c r="C1355">
        <f t="shared" si="80"/>
        <v>0.98636847873964129</v>
      </c>
      <c r="D1355">
        <v>1339</v>
      </c>
      <c r="E1355">
        <f t="shared" si="81"/>
        <v>0</v>
      </c>
      <c r="F1355">
        <f t="shared" si="82"/>
        <v>0</v>
      </c>
      <c r="G1355" t="str">
        <f t="shared" si="83"/>
        <v>extra</v>
      </c>
      <c r="J1355">
        <v>1324</v>
      </c>
      <c r="K1355">
        <v>0.65670100776977403</v>
      </c>
    </row>
    <row r="1356" spans="1:11" x14ac:dyDescent="0.25">
      <c r="A1356" s="3">
        <v>39580</v>
      </c>
      <c r="B1356">
        <v>3904.92</v>
      </c>
      <c r="C1356">
        <f t="shared" si="80"/>
        <v>1.0067028966825817</v>
      </c>
      <c r="D1356">
        <v>1340</v>
      </c>
      <c r="E1356">
        <f t="shared" si="81"/>
        <v>0</v>
      </c>
      <c r="F1356">
        <f t="shared" si="82"/>
        <v>0</v>
      </c>
      <c r="G1356" t="str">
        <f t="shared" si="83"/>
        <v>extra</v>
      </c>
      <c r="J1356">
        <v>1325</v>
      </c>
      <c r="K1356">
        <v>0.65670709620603351</v>
      </c>
    </row>
    <row r="1357" spans="1:11" x14ac:dyDescent="0.25">
      <c r="A1357" s="3">
        <v>39577</v>
      </c>
      <c r="B1357">
        <v>3878.92</v>
      </c>
      <c r="C1357">
        <f t="shared" si="80"/>
        <v>0.98824980127591056</v>
      </c>
      <c r="D1357">
        <v>1341</v>
      </c>
      <c r="E1357">
        <f t="shared" si="81"/>
        <v>0</v>
      </c>
      <c r="F1357">
        <f t="shared" si="82"/>
        <v>0</v>
      </c>
      <c r="G1357" t="str">
        <f t="shared" si="83"/>
        <v>extra</v>
      </c>
      <c r="J1357">
        <v>1326</v>
      </c>
      <c r="K1357">
        <v>0.65672103654565761</v>
      </c>
    </row>
    <row r="1358" spans="1:11" x14ac:dyDescent="0.25">
      <c r="A1358" s="3">
        <v>39576</v>
      </c>
      <c r="B1358">
        <v>3925.04</v>
      </c>
      <c r="C1358">
        <f t="shared" si="80"/>
        <v>1.0271424533930682</v>
      </c>
      <c r="D1358">
        <v>1342</v>
      </c>
      <c r="E1358">
        <f t="shared" si="81"/>
        <v>0</v>
      </c>
      <c r="F1358">
        <f t="shared" si="82"/>
        <v>0</v>
      </c>
      <c r="G1358" t="str">
        <f t="shared" si="83"/>
        <v>extra</v>
      </c>
      <c r="J1358">
        <v>1327</v>
      </c>
      <c r="K1358">
        <v>0.65677958880371401</v>
      </c>
    </row>
    <row r="1359" spans="1:11" x14ac:dyDescent="0.25">
      <c r="A1359" s="3">
        <v>39575</v>
      </c>
      <c r="B1359">
        <v>3821.32</v>
      </c>
      <c r="C1359">
        <f t="shared" si="80"/>
        <v>0.95273617576148939</v>
      </c>
      <c r="D1359">
        <v>1343</v>
      </c>
      <c r="E1359">
        <f t="shared" si="81"/>
        <v>0</v>
      </c>
      <c r="F1359">
        <f t="shared" si="82"/>
        <v>0</v>
      </c>
      <c r="G1359" t="str">
        <f t="shared" si="83"/>
        <v>extra</v>
      </c>
      <c r="J1359">
        <v>1328</v>
      </c>
      <c r="K1359">
        <v>0.65729263291337758</v>
      </c>
    </row>
    <row r="1360" spans="1:11" x14ac:dyDescent="0.25">
      <c r="A1360" s="3">
        <v>39574</v>
      </c>
      <c r="B1360">
        <v>4010.89</v>
      </c>
      <c r="C1360">
        <f t="shared" si="80"/>
        <v>0.98893184541567825</v>
      </c>
      <c r="D1360">
        <v>1344</v>
      </c>
      <c r="E1360">
        <f t="shared" si="81"/>
        <v>0</v>
      </c>
      <c r="F1360">
        <f t="shared" si="82"/>
        <v>0</v>
      </c>
      <c r="G1360" t="str">
        <f t="shared" si="83"/>
        <v>extra</v>
      </c>
      <c r="J1360">
        <v>1329</v>
      </c>
      <c r="K1360">
        <v>0.65788559003441782</v>
      </c>
    </row>
    <row r="1361" spans="1:11" x14ac:dyDescent="0.25">
      <c r="A1361" s="3">
        <v>39573</v>
      </c>
      <c r="B1361">
        <v>4055.78</v>
      </c>
      <c r="C1361">
        <f t="shared" si="80"/>
        <v>1.0244145163571703</v>
      </c>
      <c r="D1361">
        <v>1345</v>
      </c>
      <c r="E1361">
        <f t="shared" si="81"/>
        <v>0</v>
      </c>
      <c r="F1361">
        <f t="shared" si="82"/>
        <v>0</v>
      </c>
      <c r="G1361" t="str">
        <f t="shared" si="83"/>
        <v>extra</v>
      </c>
      <c r="J1361">
        <v>1330</v>
      </c>
      <c r="K1361">
        <v>0.65790480865959233</v>
      </c>
    </row>
    <row r="1362" spans="1:11" x14ac:dyDescent="0.25">
      <c r="A1362" s="3">
        <v>39568</v>
      </c>
      <c r="B1362">
        <v>3959.12</v>
      </c>
      <c r="C1362">
        <f t="shared" ref="C1362:C1425" si="84">B1362/B1363</f>
        <v>1.0482348144264935</v>
      </c>
      <c r="D1362">
        <v>1346</v>
      </c>
      <c r="E1362">
        <f t="shared" ref="E1362:E1425" si="85">IF(D1362&gt;$B$6,0,LN(C1362))</f>
        <v>0</v>
      </c>
      <c r="F1362">
        <f t="shared" ref="F1362:F1425" si="86">IF(D1362&gt;$B$6,0,(E1362-$B$7)^2)</f>
        <v>0</v>
      </c>
      <c r="G1362" t="str">
        <f t="shared" ref="G1362:G1425" si="87">IF(D1362&lt;=$B$6,E1362,"extra")</f>
        <v>extra</v>
      </c>
      <c r="J1362">
        <v>1331</v>
      </c>
      <c r="K1362">
        <v>0.65867021955532901</v>
      </c>
    </row>
    <row r="1363" spans="1:11" x14ac:dyDescent="0.25">
      <c r="A1363" s="3">
        <v>39567</v>
      </c>
      <c r="B1363">
        <v>3776.94</v>
      </c>
      <c r="C1363">
        <f t="shared" si="84"/>
        <v>1.0128152528055991</v>
      </c>
      <c r="D1363">
        <v>1347</v>
      </c>
      <c r="E1363">
        <f t="shared" si="85"/>
        <v>0</v>
      </c>
      <c r="F1363">
        <f t="shared" si="86"/>
        <v>0</v>
      </c>
      <c r="G1363" t="str">
        <f t="shared" si="87"/>
        <v>extra</v>
      </c>
      <c r="J1363">
        <v>1332</v>
      </c>
      <c r="K1363">
        <v>0.65873826044814277</v>
      </c>
    </row>
    <row r="1364" spans="1:11" x14ac:dyDescent="0.25">
      <c r="A1364" s="3">
        <v>39566</v>
      </c>
      <c r="B1364">
        <v>3729.15</v>
      </c>
      <c r="C1364">
        <f t="shared" si="84"/>
        <v>0.98056307141335819</v>
      </c>
      <c r="D1364">
        <v>1348</v>
      </c>
      <c r="E1364">
        <f t="shared" si="85"/>
        <v>0</v>
      </c>
      <c r="F1364">
        <f t="shared" si="86"/>
        <v>0</v>
      </c>
      <c r="G1364" t="str">
        <f t="shared" si="87"/>
        <v>extra</v>
      </c>
      <c r="J1364">
        <v>1333</v>
      </c>
      <c r="K1364">
        <v>0.65900537914709001</v>
      </c>
    </row>
    <row r="1365" spans="1:11" x14ac:dyDescent="0.25">
      <c r="A1365" s="3">
        <v>39563</v>
      </c>
      <c r="B1365">
        <v>3803.07</v>
      </c>
      <c r="C1365">
        <f t="shared" si="84"/>
        <v>1.0075692144654922</v>
      </c>
      <c r="D1365">
        <v>1349</v>
      </c>
      <c r="E1365">
        <f t="shared" si="85"/>
        <v>0</v>
      </c>
      <c r="F1365">
        <f t="shared" si="86"/>
        <v>0</v>
      </c>
      <c r="G1365" t="str">
        <f t="shared" si="87"/>
        <v>extra</v>
      </c>
      <c r="J1365">
        <v>1334</v>
      </c>
      <c r="K1365">
        <v>0.65929767097409098</v>
      </c>
    </row>
    <row r="1366" spans="1:11" x14ac:dyDescent="0.25">
      <c r="A1366" s="3">
        <v>39562</v>
      </c>
      <c r="B1366">
        <v>3774.5</v>
      </c>
      <c r="C1366">
        <f t="shared" si="84"/>
        <v>1.0928763974022289</v>
      </c>
      <c r="D1366">
        <v>1350</v>
      </c>
      <c r="E1366">
        <f t="shared" si="85"/>
        <v>0</v>
      </c>
      <c r="F1366">
        <f t="shared" si="86"/>
        <v>0</v>
      </c>
      <c r="G1366" t="str">
        <f t="shared" si="87"/>
        <v>extra</v>
      </c>
      <c r="J1366">
        <v>1335</v>
      </c>
      <c r="K1366">
        <v>0.66142434839877551</v>
      </c>
    </row>
    <row r="1367" spans="1:11" x14ac:dyDescent="0.25">
      <c r="A1367" s="3">
        <v>39561</v>
      </c>
      <c r="B1367">
        <v>3453.73</v>
      </c>
      <c r="C1367">
        <f t="shared" si="84"/>
        <v>1.0477659664834298</v>
      </c>
      <c r="D1367">
        <v>1351</v>
      </c>
      <c r="E1367">
        <f t="shared" si="85"/>
        <v>0</v>
      </c>
      <c r="F1367">
        <f t="shared" si="86"/>
        <v>0</v>
      </c>
      <c r="G1367" t="str">
        <f t="shared" si="87"/>
        <v>extra</v>
      </c>
      <c r="J1367">
        <v>1336</v>
      </c>
      <c r="K1367">
        <v>0.66144471311019704</v>
      </c>
    </row>
    <row r="1368" spans="1:11" x14ac:dyDescent="0.25">
      <c r="A1368" s="3">
        <v>39560</v>
      </c>
      <c r="B1368">
        <v>3296.28</v>
      </c>
      <c r="C1368">
        <f t="shared" si="84"/>
        <v>1.0087925203898946</v>
      </c>
      <c r="D1368">
        <v>1352</v>
      </c>
      <c r="E1368">
        <f t="shared" si="85"/>
        <v>0</v>
      </c>
      <c r="F1368">
        <f t="shared" si="86"/>
        <v>0</v>
      </c>
      <c r="G1368" t="str">
        <f t="shared" si="87"/>
        <v>extra</v>
      </c>
      <c r="J1368">
        <v>1337</v>
      </c>
      <c r="K1368">
        <v>0.66144965599412897</v>
      </c>
    </row>
    <row r="1369" spans="1:11" x14ac:dyDescent="0.25">
      <c r="A1369" s="3">
        <v>39559</v>
      </c>
      <c r="B1369">
        <v>3267.55</v>
      </c>
      <c r="C1369">
        <f t="shared" si="84"/>
        <v>0.99848739495798322</v>
      </c>
      <c r="D1369">
        <v>1353</v>
      </c>
      <c r="E1369">
        <f t="shared" si="85"/>
        <v>0</v>
      </c>
      <c r="F1369">
        <f t="shared" si="86"/>
        <v>0</v>
      </c>
      <c r="G1369" t="str">
        <f t="shared" si="87"/>
        <v>extra</v>
      </c>
      <c r="J1369">
        <v>1338</v>
      </c>
      <c r="K1369">
        <v>0.66148224652117815</v>
      </c>
    </row>
    <row r="1370" spans="1:11" x14ac:dyDescent="0.25">
      <c r="A1370" s="3">
        <v>39556</v>
      </c>
      <c r="B1370">
        <v>3272.5</v>
      </c>
      <c r="C1370">
        <f t="shared" si="84"/>
        <v>0.96629983198636993</v>
      </c>
      <c r="D1370">
        <v>1354</v>
      </c>
      <c r="E1370">
        <f t="shared" si="85"/>
        <v>0</v>
      </c>
      <c r="F1370">
        <f t="shared" si="86"/>
        <v>0</v>
      </c>
      <c r="G1370" t="str">
        <f t="shared" si="87"/>
        <v>extra</v>
      </c>
      <c r="J1370">
        <v>1339</v>
      </c>
      <c r="K1370">
        <v>0.66226096123016331</v>
      </c>
    </row>
    <row r="1371" spans="1:11" x14ac:dyDescent="0.25">
      <c r="A1371" s="3">
        <v>39555</v>
      </c>
      <c r="B1371">
        <v>3386.63</v>
      </c>
      <c r="C1371">
        <f t="shared" si="84"/>
        <v>0.96926462928088564</v>
      </c>
      <c r="D1371">
        <v>1355</v>
      </c>
      <c r="E1371">
        <f t="shared" si="85"/>
        <v>0</v>
      </c>
      <c r="F1371">
        <f t="shared" si="86"/>
        <v>0</v>
      </c>
      <c r="G1371" t="str">
        <f t="shared" si="87"/>
        <v>extra</v>
      </c>
      <c r="J1371">
        <v>1340</v>
      </c>
      <c r="K1371">
        <v>0.66239536034979807</v>
      </c>
    </row>
    <row r="1372" spans="1:11" x14ac:dyDescent="0.25">
      <c r="A1372" s="3">
        <v>39554</v>
      </c>
      <c r="B1372">
        <v>3494.02</v>
      </c>
      <c r="C1372">
        <f t="shared" si="84"/>
        <v>0.97508441938994772</v>
      </c>
      <c r="D1372">
        <v>1356</v>
      </c>
      <c r="E1372">
        <f t="shared" si="85"/>
        <v>0</v>
      </c>
      <c r="F1372">
        <f t="shared" si="86"/>
        <v>0</v>
      </c>
      <c r="G1372" t="str">
        <f t="shared" si="87"/>
        <v>extra</v>
      </c>
      <c r="J1372">
        <v>1341</v>
      </c>
      <c r="K1372">
        <v>0.66243263720948975</v>
      </c>
    </row>
    <row r="1373" spans="1:11" x14ac:dyDescent="0.25">
      <c r="A1373" s="3">
        <v>39553</v>
      </c>
      <c r="B1373">
        <v>3583.3</v>
      </c>
      <c r="C1373">
        <f t="shared" si="84"/>
        <v>1.0132821314752867</v>
      </c>
      <c r="D1373">
        <v>1357</v>
      </c>
      <c r="E1373">
        <f t="shared" si="85"/>
        <v>0</v>
      </c>
      <c r="F1373">
        <f t="shared" si="86"/>
        <v>0</v>
      </c>
      <c r="G1373" t="str">
        <f t="shared" si="87"/>
        <v>extra</v>
      </c>
      <c r="J1373">
        <v>1342</v>
      </c>
      <c r="K1373">
        <v>0.66253122159416644</v>
      </c>
    </row>
    <row r="1374" spans="1:11" x14ac:dyDescent="0.25">
      <c r="A1374" s="3">
        <v>39552</v>
      </c>
      <c r="B1374">
        <v>3536.33</v>
      </c>
      <c r="C1374">
        <f t="shared" si="84"/>
        <v>0.93461478488158511</v>
      </c>
      <c r="D1374">
        <v>1358</v>
      </c>
      <c r="E1374">
        <f t="shared" si="85"/>
        <v>0</v>
      </c>
      <c r="F1374">
        <f t="shared" si="86"/>
        <v>0</v>
      </c>
      <c r="G1374" t="str">
        <f t="shared" si="87"/>
        <v>extra</v>
      </c>
      <c r="J1374">
        <v>1343</v>
      </c>
      <c r="K1374">
        <v>0.66308785673527582</v>
      </c>
    </row>
    <row r="1375" spans="1:11" x14ac:dyDescent="0.25">
      <c r="A1375" s="3">
        <v>39549</v>
      </c>
      <c r="B1375">
        <v>3783.73</v>
      </c>
      <c r="C1375">
        <f t="shared" si="84"/>
        <v>1.0077262751949547</v>
      </c>
      <c r="D1375">
        <v>1359</v>
      </c>
      <c r="E1375">
        <f t="shared" si="85"/>
        <v>0</v>
      </c>
      <c r="F1375">
        <f t="shared" si="86"/>
        <v>0</v>
      </c>
      <c r="G1375" t="str">
        <f t="shared" si="87"/>
        <v>extra</v>
      </c>
      <c r="J1375">
        <v>1344</v>
      </c>
      <c r="K1375">
        <v>0.66482782702835796</v>
      </c>
    </row>
    <row r="1376" spans="1:11" x14ac:dyDescent="0.25">
      <c r="A1376" s="3">
        <v>39548</v>
      </c>
      <c r="B1376">
        <v>3754.72</v>
      </c>
      <c r="C1376">
        <f t="shared" si="84"/>
        <v>1.0180552203962441</v>
      </c>
      <c r="D1376">
        <v>1360</v>
      </c>
      <c r="E1376">
        <f t="shared" si="85"/>
        <v>0</v>
      </c>
      <c r="F1376">
        <f t="shared" si="86"/>
        <v>0</v>
      </c>
      <c r="G1376" t="str">
        <f t="shared" si="87"/>
        <v>extra</v>
      </c>
      <c r="J1376">
        <v>1345</v>
      </c>
      <c r="K1376">
        <v>0.66491413884294481</v>
      </c>
    </row>
    <row r="1377" spans="1:11" x14ac:dyDescent="0.25">
      <c r="A1377" s="3">
        <v>39547</v>
      </c>
      <c r="B1377">
        <v>3688.13</v>
      </c>
      <c r="C1377">
        <f t="shared" si="84"/>
        <v>0.94784711620997886</v>
      </c>
      <c r="D1377">
        <v>1361</v>
      </c>
      <c r="E1377">
        <f t="shared" si="85"/>
        <v>0</v>
      </c>
      <c r="F1377">
        <f t="shared" si="86"/>
        <v>0</v>
      </c>
      <c r="G1377" t="str">
        <f t="shared" si="87"/>
        <v>extra</v>
      </c>
      <c r="J1377">
        <v>1346</v>
      </c>
      <c r="K1377">
        <v>0.66536632536676965</v>
      </c>
    </row>
    <row r="1378" spans="1:11" x14ac:dyDescent="0.25">
      <c r="A1378" s="3">
        <v>39546</v>
      </c>
      <c r="B1378">
        <v>3891.06</v>
      </c>
      <c r="C1378">
        <f t="shared" si="84"/>
        <v>1.0117634210649484</v>
      </c>
      <c r="D1378">
        <v>1362</v>
      </c>
      <c r="E1378">
        <f t="shared" si="85"/>
        <v>0</v>
      </c>
      <c r="F1378">
        <f t="shared" si="86"/>
        <v>0</v>
      </c>
      <c r="G1378" t="str">
        <f t="shared" si="87"/>
        <v>extra</v>
      </c>
      <c r="J1378">
        <v>1347</v>
      </c>
      <c r="K1378">
        <v>0.66706021308662677</v>
      </c>
    </row>
    <row r="1379" spans="1:11" x14ac:dyDescent="0.25">
      <c r="A1379" s="3">
        <v>39545</v>
      </c>
      <c r="B1379">
        <v>3845.82</v>
      </c>
      <c r="C1379">
        <f t="shared" si="84"/>
        <v>1.0534472840825049</v>
      </c>
      <c r="D1379">
        <v>1363</v>
      </c>
      <c r="E1379">
        <f t="shared" si="85"/>
        <v>0</v>
      </c>
      <c r="F1379">
        <f t="shared" si="86"/>
        <v>0</v>
      </c>
      <c r="G1379" t="str">
        <f t="shared" si="87"/>
        <v>extra</v>
      </c>
      <c r="J1379">
        <v>1348</v>
      </c>
      <c r="K1379">
        <v>0.66718828742646541</v>
      </c>
    </row>
    <row r="1380" spans="1:11" x14ac:dyDescent="0.25">
      <c r="A1380" s="3">
        <v>39541</v>
      </c>
      <c r="B1380">
        <v>3650.7</v>
      </c>
      <c r="C1380">
        <f t="shared" si="84"/>
        <v>1.0289516851842457</v>
      </c>
      <c r="D1380">
        <v>1364</v>
      </c>
      <c r="E1380">
        <f t="shared" si="85"/>
        <v>0</v>
      </c>
      <c r="F1380">
        <f t="shared" si="86"/>
        <v>0</v>
      </c>
      <c r="G1380" t="str">
        <f t="shared" si="87"/>
        <v>extra</v>
      </c>
      <c r="J1380">
        <v>1349</v>
      </c>
      <c r="K1380">
        <v>0.66746680507916445</v>
      </c>
    </row>
    <row r="1381" spans="1:11" x14ac:dyDescent="0.25">
      <c r="A1381" s="3">
        <v>39540</v>
      </c>
      <c r="B1381">
        <v>3547.98</v>
      </c>
      <c r="C1381">
        <f t="shared" si="84"/>
        <v>0.99026476055441737</v>
      </c>
      <c r="D1381">
        <v>1365</v>
      </c>
      <c r="E1381">
        <f t="shared" si="85"/>
        <v>0</v>
      </c>
      <c r="F1381">
        <f t="shared" si="86"/>
        <v>0</v>
      </c>
      <c r="G1381" t="str">
        <f t="shared" si="87"/>
        <v>extra</v>
      </c>
      <c r="J1381">
        <v>1350</v>
      </c>
      <c r="K1381">
        <v>0.667513194013449</v>
      </c>
    </row>
    <row r="1382" spans="1:11" x14ac:dyDescent="0.25">
      <c r="A1382" s="3">
        <v>39539</v>
      </c>
      <c r="B1382">
        <v>3582.86</v>
      </c>
      <c r="C1382">
        <f t="shared" si="84"/>
        <v>0.94521346619074376</v>
      </c>
      <c r="D1382">
        <v>1366</v>
      </c>
      <c r="E1382">
        <f t="shared" si="85"/>
        <v>0</v>
      </c>
      <c r="F1382">
        <f t="shared" si="86"/>
        <v>0</v>
      </c>
      <c r="G1382" t="str">
        <f t="shared" si="87"/>
        <v>extra</v>
      </c>
      <c r="J1382">
        <v>1351</v>
      </c>
      <c r="K1382">
        <v>0.67344599590117649</v>
      </c>
    </row>
    <row r="1383" spans="1:11" x14ac:dyDescent="0.25">
      <c r="A1383" s="3">
        <v>39538</v>
      </c>
      <c r="B1383">
        <v>3790.53</v>
      </c>
      <c r="C1383">
        <f t="shared" si="84"/>
        <v>0.96742603671110938</v>
      </c>
      <c r="D1383">
        <v>1367</v>
      </c>
      <c r="E1383">
        <f t="shared" si="85"/>
        <v>0</v>
      </c>
      <c r="F1383">
        <f t="shared" si="86"/>
        <v>0</v>
      </c>
      <c r="G1383" t="str">
        <f t="shared" si="87"/>
        <v>extra</v>
      </c>
      <c r="J1383">
        <v>1352</v>
      </c>
      <c r="K1383">
        <v>0.67508110478961714</v>
      </c>
    </row>
    <row r="1384" spans="1:11" x14ac:dyDescent="0.25">
      <c r="A1384" s="3">
        <v>39535</v>
      </c>
      <c r="B1384">
        <v>3918.16</v>
      </c>
      <c r="C1384">
        <f t="shared" si="84"/>
        <v>1.045143668043063</v>
      </c>
      <c r="D1384">
        <v>1368</v>
      </c>
      <c r="E1384">
        <f t="shared" si="85"/>
        <v>0</v>
      </c>
      <c r="F1384">
        <f t="shared" si="86"/>
        <v>0</v>
      </c>
      <c r="G1384" t="str">
        <f t="shared" si="87"/>
        <v>extra</v>
      </c>
      <c r="J1384">
        <v>1353</v>
      </c>
      <c r="K1384">
        <v>0.67514082746436099</v>
      </c>
    </row>
    <row r="1385" spans="1:11" x14ac:dyDescent="0.25">
      <c r="A1385" s="3">
        <v>39534</v>
      </c>
      <c r="B1385">
        <v>3748.92</v>
      </c>
      <c r="C1385">
        <f t="shared" si="84"/>
        <v>0.95773266196092866</v>
      </c>
      <c r="D1385">
        <v>1369</v>
      </c>
      <c r="E1385">
        <f t="shared" si="85"/>
        <v>0</v>
      </c>
      <c r="F1385">
        <f t="shared" si="86"/>
        <v>0</v>
      </c>
      <c r="G1385" t="str">
        <f t="shared" si="87"/>
        <v>extra</v>
      </c>
      <c r="J1385">
        <v>1354</v>
      </c>
      <c r="K1385">
        <v>0.67514165408696669</v>
      </c>
    </row>
    <row r="1386" spans="1:11" x14ac:dyDescent="0.25">
      <c r="A1386" s="3">
        <v>39533</v>
      </c>
      <c r="B1386">
        <v>3914.37</v>
      </c>
      <c r="C1386">
        <f t="shared" si="84"/>
        <v>1.0022018705658551</v>
      </c>
      <c r="D1386">
        <v>1370</v>
      </c>
      <c r="E1386">
        <f t="shared" si="85"/>
        <v>0</v>
      </c>
      <c r="F1386">
        <f t="shared" si="86"/>
        <v>0</v>
      </c>
      <c r="G1386" t="str">
        <f t="shared" si="87"/>
        <v>extra</v>
      </c>
      <c r="J1386">
        <v>1355</v>
      </c>
      <c r="K1386">
        <v>0.67599933486657848</v>
      </c>
    </row>
    <row r="1387" spans="1:11" x14ac:dyDescent="0.25">
      <c r="A1387" s="3">
        <v>39532</v>
      </c>
      <c r="B1387">
        <v>3905.77</v>
      </c>
      <c r="C1387">
        <f t="shared" si="84"/>
        <v>1.0126209136940025</v>
      </c>
      <c r="D1387">
        <v>1371</v>
      </c>
      <c r="E1387">
        <f t="shared" si="85"/>
        <v>0</v>
      </c>
      <c r="F1387">
        <f t="shared" si="86"/>
        <v>0</v>
      </c>
      <c r="G1387" t="str">
        <f t="shared" si="87"/>
        <v>extra</v>
      </c>
      <c r="J1387">
        <v>1356</v>
      </c>
      <c r="K1387">
        <v>0.67670753317408305</v>
      </c>
    </row>
    <row r="1388" spans="1:11" x14ac:dyDescent="0.25">
      <c r="A1388" s="3">
        <v>39531</v>
      </c>
      <c r="B1388">
        <v>3857.09</v>
      </c>
      <c r="C1388">
        <f t="shared" si="84"/>
        <v>0.95523833346128995</v>
      </c>
      <c r="D1388">
        <v>1372</v>
      </c>
      <c r="E1388">
        <f t="shared" si="85"/>
        <v>0</v>
      </c>
      <c r="F1388">
        <f t="shared" si="86"/>
        <v>0</v>
      </c>
      <c r="G1388" t="str">
        <f t="shared" si="87"/>
        <v>extra</v>
      </c>
      <c r="J1388">
        <v>1357</v>
      </c>
      <c r="K1388">
        <v>0.67716688207333531</v>
      </c>
    </row>
    <row r="1389" spans="1:11" x14ac:dyDescent="0.25">
      <c r="A1389" s="3">
        <v>39528</v>
      </c>
      <c r="B1389">
        <v>4037.83</v>
      </c>
      <c r="C1389">
        <f t="shared" si="84"/>
        <v>1.0089958843828948</v>
      </c>
      <c r="D1389">
        <v>1373</v>
      </c>
      <c r="E1389">
        <f t="shared" si="85"/>
        <v>0</v>
      </c>
      <c r="F1389">
        <f t="shared" si="86"/>
        <v>0</v>
      </c>
      <c r="G1389" t="str">
        <f t="shared" si="87"/>
        <v>extra</v>
      </c>
      <c r="J1389">
        <v>1358</v>
      </c>
      <c r="K1389">
        <v>0.67730127927308037</v>
      </c>
    </row>
    <row r="1390" spans="1:11" x14ac:dyDescent="0.25">
      <c r="A1390" s="3">
        <v>39527</v>
      </c>
      <c r="B1390">
        <v>4001.83</v>
      </c>
      <c r="C1390">
        <f t="shared" si="84"/>
        <v>1.0290496443687867</v>
      </c>
      <c r="D1390">
        <v>1374</v>
      </c>
      <c r="E1390">
        <f t="shared" si="85"/>
        <v>0</v>
      </c>
      <c r="F1390">
        <f t="shared" si="86"/>
        <v>0</v>
      </c>
      <c r="G1390" t="str">
        <f t="shared" si="87"/>
        <v>extra</v>
      </c>
      <c r="J1390">
        <v>1359</v>
      </c>
      <c r="K1390">
        <v>0.68064075030270887</v>
      </c>
    </row>
    <row r="1391" spans="1:11" x14ac:dyDescent="0.25">
      <c r="A1391" s="3">
        <v>39526</v>
      </c>
      <c r="B1391">
        <v>3888.86</v>
      </c>
      <c r="C1391">
        <f t="shared" si="84"/>
        <v>1.0331858818528408</v>
      </c>
      <c r="D1391">
        <v>1375</v>
      </c>
      <c r="E1391">
        <f t="shared" si="85"/>
        <v>0</v>
      </c>
      <c r="F1391">
        <f t="shared" si="86"/>
        <v>0</v>
      </c>
      <c r="G1391" t="str">
        <f t="shared" si="87"/>
        <v>extra</v>
      </c>
      <c r="J1391">
        <v>1360</v>
      </c>
      <c r="K1391">
        <v>0.68068798442376321</v>
      </c>
    </row>
    <row r="1392" spans="1:11" x14ac:dyDescent="0.25">
      <c r="A1392" s="3">
        <v>39525</v>
      </c>
      <c r="B1392">
        <v>3763.95</v>
      </c>
      <c r="C1392">
        <f t="shared" si="84"/>
        <v>0.94922678852439157</v>
      </c>
      <c r="D1392">
        <v>1376</v>
      </c>
      <c r="E1392">
        <f t="shared" si="85"/>
        <v>0</v>
      </c>
      <c r="F1392">
        <f t="shared" si="86"/>
        <v>0</v>
      </c>
      <c r="G1392" t="str">
        <f t="shared" si="87"/>
        <v>extra</v>
      </c>
      <c r="J1392">
        <v>1361</v>
      </c>
      <c r="K1392">
        <v>0.68093210168986185</v>
      </c>
    </row>
    <row r="1393" spans="1:11" x14ac:dyDescent="0.25">
      <c r="A1393" s="3">
        <v>39524</v>
      </c>
      <c r="B1393">
        <v>3965.28</v>
      </c>
      <c r="C1393">
        <f t="shared" si="84"/>
        <v>0.95368061050489805</v>
      </c>
      <c r="D1393">
        <v>1377</v>
      </c>
      <c r="E1393">
        <f t="shared" si="85"/>
        <v>0</v>
      </c>
      <c r="F1393">
        <f t="shared" si="86"/>
        <v>0</v>
      </c>
      <c r="G1393" t="str">
        <f t="shared" si="87"/>
        <v>extra</v>
      </c>
      <c r="J1393">
        <v>1362</v>
      </c>
      <c r="K1393">
        <v>0.68301071401961433</v>
      </c>
    </row>
    <row r="1394" spans="1:11" x14ac:dyDescent="0.25">
      <c r="A1394" s="3">
        <v>39521</v>
      </c>
      <c r="B1394">
        <v>4157.87</v>
      </c>
      <c r="C1394">
        <f t="shared" si="84"/>
        <v>0.99021424352696852</v>
      </c>
      <c r="D1394">
        <v>1378</v>
      </c>
      <c r="E1394">
        <f t="shared" si="85"/>
        <v>0</v>
      </c>
      <c r="F1394">
        <f t="shared" si="86"/>
        <v>0</v>
      </c>
      <c r="G1394" t="str">
        <f t="shared" si="87"/>
        <v>extra</v>
      </c>
      <c r="J1394">
        <v>1363</v>
      </c>
      <c r="K1394">
        <v>0.68311697719053655</v>
      </c>
    </row>
    <row r="1395" spans="1:11" x14ac:dyDescent="0.25">
      <c r="A1395" s="3">
        <v>39520</v>
      </c>
      <c r="B1395">
        <v>4198.96</v>
      </c>
      <c r="C1395">
        <f t="shared" si="84"/>
        <v>0.97431577970368832</v>
      </c>
      <c r="D1395">
        <v>1379</v>
      </c>
      <c r="E1395">
        <f t="shared" si="85"/>
        <v>0</v>
      </c>
      <c r="F1395">
        <f t="shared" si="86"/>
        <v>0</v>
      </c>
      <c r="G1395" t="str">
        <f t="shared" si="87"/>
        <v>extra</v>
      </c>
      <c r="J1395">
        <v>1364</v>
      </c>
      <c r="K1395">
        <v>0.68512710802247467</v>
      </c>
    </row>
    <row r="1396" spans="1:11" x14ac:dyDescent="0.25">
      <c r="A1396" s="3">
        <v>39519</v>
      </c>
      <c r="B1396">
        <v>4309.6499999999996</v>
      </c>
      <c r="C1396">
        <f t="shared" si="84"/>
        <v>0.97038399704583</v>
      </c>
      <c r="D1396">
        <v>1380</v>
      </c>
      <c r="E1396">
        <f t="shared" si="85"/>
        <v>0</v>
      </c>
      <c r="F1396">
        <f t="shared" si="86"/>
        <v>0</v>
      </c>
      <c r="G1396" t="str">
        <f t="shared" si="87"/>
        <v>extra</v>
      </c>
      <c r="J1396">
        <v>1365</v>
      </c>
      <c r="K1396">
        <v>0.68573490458609099</v>
      </c>
    </row>
    <row r="1397" spans="1:11" x14ac:dyDescent="0.25">
      <c r="A1397" s="3">
        <v>39518</v>
      </c>
      <c r="B1397">
        <v>4441.18</v>
      </c>
      <c r="C1397">
        <f t="shared" si="84"/>
        <v>1.0021640088546098</v>
      </c>
      <c r="D1397">
        <v>1381</v>
      </c>
      <c r="E1397">
        <f t="shared" si="85"/>
        <v>0</v>
      </c>
      <c r="F1397">
        <f t="shared" si="86"/>
        <v>0</v>
      </c>
      <c r="G1397" t="str">
        <f t="shared" si="87"/>
        <v>extra</v>
      </c>
      <c r="J1397">
        <v>1366</v>
      </c>
      <c r="K1397">
        <v>0.68580012546818314</v>
      </c>
    </row>
    <row r="1398" spans="1:11" x14ac:dyDescent="0.25">
      <c r="A1398" s="3">
        <v>39517</v>
      </c>
      <c r="B1398">
        <v>4431.59</v>
      </c>
      <c r="C1398">
        <f t="shared" si="84"/>
        <v>0.95886786002522895</v>
      </c>
      <c r="D1398">
        <v>1382</v>
      </c>
      <c r="E1398">
        <f t="shared" si="85"/>
        <v>0</v>
      </c>
      <c r="F1398">
        <f t="shared" si="86"/>
        <v>0</v>
      </c>
      <c r="G1398" t="str">
        <f t="shared" si="87"/>
        <v>extra</v>
      </c>
      <c r="J1398">
        <v>1367</v>
      </c>
      <c r="K1398">
        <v>0.68808692095277213</v>
      </c>
    </row>
    <row r="1399" spans="1:11" x14ac:dyDescent="0.25">
      <c r="A1399" s="3">
        <v>39514</v>
      </c>
      <c r="B1399">
        <v>4621.6899999999996</v>
      </c>
      <c r="C1399">
        <f t="shared" si="84"/>
        <v>0.98648034270858453</v>
      </c>
      <c r="D1399">
        <v>1383</v>
      </c>
      <c r="E1399">
        <f t="shared" si="85"/>
        <v>0</v>
      </c>
      <c r="F1399">
        <f t="shared" si="86"/>
        <v>0</v>
      </c>
      <c r="G1399" t="str">
        <f t="shared" si="87"/>
        <v>extra</v>
      </c>
      <c r="J1399">
        <v>1368</v>
      </c>
      <c r="K1399">
        <v>0.68886684865301184</v>
      </c>
    </row>
    <row r="1400" spans="1:11" x14ac:dyDescent="0.25">
      <c r="A1400" s="3">
        <v>39513</v>
      </c>
      <c r="B1400">
        <v>4685.03</v>
      </c>
      <c r="C1400">
        <f t="shared" si="84"/>
        <v>1.0121653502480166</v>
      </c>
      <c r="D1400">
        <v>1384</v>
      </c>
      <c r="E1400">
        <f t="shared" si="85"/>
        <v>0</v>
      </c>
      <c r="F1400">
        <f t="shared" si="86"/>
        <v>0</v>
      </c>
      <c r="G1400" t="str">
        <f t="shared" si="87"/>
        <v>extra</v>
      </c>
      <c r="J1400">
        <v>1369</v>
      </c>
      <c r="K1400">
        <v>0.6903051702553118</v>
      </c>
    </row>
    <row r="1401" spans="1:11" x14ac:dyDescent="0.25">
      <c r="A1401" s="3">
        <v>39512</v>
      </c>
      <c r="B1401">
        <v>4628.72</v>
      </c>
      <c r="C1401">
        <f t="shared" si="84"/>
        <v>0.9909165837106495</v>
      </c>
      <c r="D1401">
        <v>1385</v>
      </c>
      <c r="E1401">
        <f t="shared" si="85"/>
        <v>0</v>
      </c>
      <c r="F1401">
        <f t="shared" si="86"/>
        <v>0</v>
      </c>
      <c r="G1401" t="str">
        <f t="shared" si="87"/>
        <v>extra</v>
      </c>
      <c r="J1401">
        <v>1370</v>
      </c>
      <c r="K1401">
        <v>0.69163414427250858</v>
      </c>
    </row>
    <row r="1402" spans="1:11" x14ac:dyDescent="0.25">
      <c r="A1402" s="3">
        <v>39511</v>
      </c>
      <c r="B1402">
        <v>4671.1499999999996</v>
      </c>
      <c r="C1402">
        <f t="shared" si="84"/>
        <v>0.97503725937955299</v>
      </c>
      <c r="D1402">
        <v>1386</v>
      </c>
      <c r="E1402">
        <f t="shared" si="85"/>
        <v>0</v>
      </c>
      <c r="F1402">
        <f t="shared" si="86"/>
        <v>0</v>
      </c>
      <c r="G1402" t="str">
        <f t="shared" si="87"/>
        <v>extra</v>
      </c>
      <c r="J1402">
        <v>1371</v>
      </c>
      <c r="K1402">
        <v>0.69163856101604526</v>
      </c>
    </row>
    <row r="1403" spans="1:11" x14ac:dyDescent="0.25">
      <c r="A1403" s="3">
        <v>39510</v>
      </c>
      <c r="B1403">
        <v>4790.74</v>
      </c>
      <c r="C1403">
        <f t="shared" si="84"/>
        <v>1.0248558684793188</v>
      </c>
      <c r="D1403">
        <v>1387</v>
      </c>
      <c r="E1403">
        <f t="shared" si="85"/>
        <v>0</v>
      </c>
      <c r="F1403">
        <f t="shared" si="86"/>
        <v>0</v>
      </c>
      <c r="G1403" t="str">
        <f t="shared" si="87"/>
        <v>extra</v>
      </c>
      <c r="J1403">
        <v>1372</v>
      </c>
      <c r="K1403">
        <v>0.69175880550531443</v>
      </c>
    </row>
    <row r="1404" spans="1:11" x14ac:dyDescent="0.25">
      <c r="A1404" s="3">
        <v>39507</v>
      </c>
      <c r="B1404">
        <v>4674.55</v>
      </c>
      <c r="C1404">
        <f t="shared" si="84"/>
        <v>1.0113564081816333</v>
      </c>
      <c r="D1404">
        <v>1388</v>
      </c>
      <c r="E1404">
        <f t="shared" si="85"/>
        <v>0</v>
      </c>
      <c r="F1404">
        <f t="shared" si="86"/>
        <v>0</v>
      </c>
      <c r="G1404" t="str">
        <f t="shared" si="87"/>
        <v>extra</v>
      </c>
      <c r="J1404">
        <v>1373</v>
      </c>
      <c r="K1404">
        <v>0.69324989584226115</v>
      </c>
    </row>
    <row r="1405" spans="1:11" x14ac:dyDescent="0.25">
      <c r="A1405" s="3">
        <v>39506</v>
      </c>
      <c r="B1405">
        <v>4622.0600000000004</v>
      </c>
      <c r="C1405">
        <f t="shared" si="84"/>
        <v>0.99618300045045338</v>
      </c>
      <c r="D1405">
        <v>1389</v>
      </c>
      <c r="E1405">
        <f t="shared" si="85"/>
        <v>0</v>
      </c>
      <c r="F1405">
        <f t="shared" si="86"/>
        <v>0</v>
      </c>
      <c r="G1405" t="str">
        <f t="shared" si="87"/>
        <v>extra</v>
      </c>
      <c r="J1405">
        <v>1374</v>
      </c>
      <c r="K1405">
        <v>0.69331262308497221</v>
      </c>
    </row>
    <row r="1406" spans="1:11" x14ac:dyDescent="0.25">
      <c r="A1406" s="3">
        <v>39505</v>
      </c>
      <c r="B1406">
        <v>4639.7700000000004</v>
      </c>
      <c r="C1406">
        <f t="shared" si="84"/>
        <v>1.0275139352412674</v>
      </c>
      <c r="D1406">
        <v>1390</v>
      </c>
      <c r="E1406">
        <f t="shared" si="85"/>
        <v>0</v>
      </c>
      <c r="F1406">
        <f t="shared" si="86"/>
        <v>0</v>
      </c>
      <c r="G1406" t="str">
        <f t="shared" si="87"/>
        <v>extra</v>
      </c>
      <c r="J1406">
        <v>1375</v>
      </c>
      <c r="K1406">
        <v>0.69391991071602677</v>
      </c>
    </row>
    <row r="1407" spans="1:11" x14ac:dyDescent="0.25">
      <c r="A1407" s="3">
        <v>39504</v>
      </c>
      <c r="B1407">
        <v>4515.53</v>
      </c>
      <c r="C1407">
        <f t="shared" si="84"/>
        <v>0.99905968874591244</v>
      </c>
      <c r="D1407">
        <v>1391</v>
      </c>
      <c r="E1407">
        <f t="shared" si="85"/>
        <v>0</v>
      </c>
      <c r="F1407">
        <f t="shared" si="86"/>
        <v>0</v>
      </c>
      <c r="G1407" t="str">
        <f t="shared" si="87"/>
        <v>extra</v>
      </c>
      <c r="J1407">
        <v>1376</v>
      </c>
      <c r="K1407">
        <v>0.69470498461067964</v>
      </c>
    </row>
    <row r="1408" spans="1:11" x14ac:dyDescent="0.25">
      <c r="A1408" s="3">
        <v>39503</v>
      </c>
      <c r="B1408">
        <v>4519.78</v>
      </c>
      <c r="C1408">
        <f t="shared" si="84"/>
        <v>0.96119721664568381</v>
      </c>
      <c r="D1408">
        <v>1392</v>
      </c>
      <c r="E1408">
        <f t="shared" si="85"/>
        <v>0</v>
      </c>
      <c r="F1408">
        <f t="shared" si="86"/>
        <v>0</v>
      </c>
      <c r="G1408" t="str">
        <f t="shared" si="87"/>
        <v>extra</v>
      </c>
      <c r="J1408">
        <v>1377</v>
      </c>
      <c r="K1408">
        <v>0.69663195887855622</v>
      </c>
    </row>
    <row r="1409" spans="1:11" x14ac:dyDescent="0.25">
      <c r="A1409" s="3">
        <v>39500</v>
      </c>
      <c r="B1409">
        <v>4702.24</v>
      </c>
      <c r="C1409">
        <f t="shared" si="84"/>
        <v>0.96435829968232356</v>
      </c>
      <c r="D1409">
        <v>1393</v>
      </c>
      <c r="E1409">
        <f t="shared" si="85"/>
        <v>0</v>
      </c>
      <c r="F1409">
        <f t="shared" si="86"/>
        <v>0</v>
      </c>
      <c r="G1409" t="str">
        <f t="shared" si="87"/>
        <v>extra</v>
      </c>
      <c r="J1409">
        <v>1378</v>
      </c>
      <c r="K1409">
        <v>0.69821955863249541</v>
      </c>
    </row>
    <row r="1410" spans="1:11" x14ac:dyDescent="0.25">
      <c r="A1410" s="3">
        <v>39499</v>
      </c>
      <c r="B1410">
        <v>4876.03</v>
      </c>
      <c r="C1410">
        <f t="shared" si="84"/>
        <v>0.99334042275786749</v>
      </c>
      <c r="D1410">
        <v>1394</v>
      </c>
      <c r="E1410">
        <f t="shared" si="85"/>
        <v>0</v>
      </c>
      <c r="F1410">
        <f t="shared" si="86"/>
        <v>0</v>
      </c>
      <c r="G1410" t="str">
        <f t="shared" si="87"/>
        <v>extra</v>
      </c>
      <c r="J1410">
        <v>1379</v>
      </c>
      <c r="K1410">
        <v>0.69828277608178857</v>
      </c>
    </row>
    <row r="1411" spans="1:11" x14ac:dyDescent="0.25">
      <c r="A1411" s="3">
        <v>39498</v>
      </c>
      <c r="B1411">
        <v>4908.72</v>
      </c>
      <c r="C1411">
        <f t="shared" si="84"/>
        <v>0.97768660060747903</v>
      </c>
      <c r="D1411">
        <v>1395</v>
      </c>
      <c r="E1411">
        <f t="shared" si="85"/>
        <v>0</v>
      </c>
      <c r="F1411">
        <f t="shared" si="86"/>
        <v>0</v>
      </c>
      <c r="G1411" t="str">
        <f t="shared" si="87"/>
        <v>extra</v>
      </c>
      <c r="J1411">
        <v>1380</v>
      </c>
      <c r="K1411">
        <v>0.6987518142422785</v>
      </c>
    </row>
    <row r="1412" spans="1:11" x14ac:dyDescent="0.25">
      <c r="A1412" s="3">
        <v>39497</v>
      </c>
      <c r="B1412">
        <v>5020.75</v>
      </c>
      <c r="C1412">
        <f t="shared" si="84"/>
        <v>1.0223498724289808</v>
      </c>
      <c r="D1412">
        <v>1396</v>
      </c>
      <c r="E1412">
        <f t="shared" si="85"/>
        <v>0</v>
      </c>
      <c r="F1412">
        <f t="shared" si="86"/>
        <v>0</v>
      </c>
      <c r="G1412" t="str">
        <f t="shared" si="87"/>
        <v>extra</v>
      </c>
      <c r="J1412">
        <v>1381</v>
      </c>
      <c r="K1412">
        <v>0.69937957812654494</v>
      </c>
    </row>
    <row r="1413" spans="1:11" x14ac:dyDescent="0.25">
      <c r="A1413" s="3">
        <v>39496</v>
      </c>
      <c r="B1413">
        <v>4910.99</v>
      </c>
      <c r="C1413">
        <f t="shared" si="84"/>
        <v>1.020293727185658</v>
      </c>
      <c r="D1413">
        <v>1397</v>
      </c>
      <c r="E1413">
        <f t="shared" si="85"/>
        <v>0</v>
      </c>
      <c r="F1413">
        <f t="shared" si="86"/>
        <v>0</v>
      </c>
      <c r="G1413" t="str">
        <f t="shared" si="87"/>
        <v>extra</v>
      </c>
      <c r="J1413">
        <v>1382</v>
      </c>
      <c r="K1413">
        <v>0.69938413223569162</v>
      </c>
    </row>
    <row r="1414" spans="1:11" x14ac:dyDescent="0.25">
      <c r="A1414" s="3">
        <v>39493</v>
      </c>
      <c r="B1414">
        <v>4813.3100000000004</v>
      </c>
      <c r="C1414">
        <f t="shared" si="84"/>
        <v>0.98628348957532919</v>
      </c>
      <c r="D1414">
        <v>1398</v>
      </c>
      <c r="E1414">
        <f t="shared" si="85"/>
        <v>0</v>
      </c>
      <c r="F1414">
        <f t="shared" si="86"/>
        <v>0</v>
      </c>
      <c r="G1414" t="str">
        <f t="shared" si="87"/>
        <v>extra</v>
      </c>
      <c r="J1414">
        <v>1383</v>
      </c>
      <c r="K1414">
        <v>0.70061737951608016</v>
      </c>
    </row>
    <row r="1415" spans="1:11" x14ac:dyDescent="0.25">
      <c r="A1415" s="3">
        <v>39492</v>
      </c>
      <c r="B1415">
        <v>4880.25</v>
      </c>
      <c r="C1415">
        <f t="shared" si="84"/>
        <v>1.0133241142173719</v>
      </c>
      <c r="D1415">
        <v>1399</v>
      </c>
      <c r="E1415">
        <f t="shared" si="85"/>
        <v>0</v>
      </c>
      <c r="F1415">
        <f t="shared" si="86"/>
        <v>0</v>
      </c>
      <c r="G1415" t="str">
        <f t="shared" si="87"/>
        <v>extra</v>
      </c>
      <c r="J1415">
        <v>1384</v>
      </c>
      <c r="K1415">
        <v>0.70073998661467074</v>
      </c>
    </row>
    <row r="1416" spans="1:11" x14ac:dyDescent="0.25">
      <c r="A1416" s="3">
        <v>39491</v>
      </c>
      <c r="B1416">
        <v>4816.08</v>
      </c>
      <c r="C1416">
        <f t="shared" si="84"/>
        <v>0.97851408927167338</v>
      </c>
      <c r="D1416">
        <v>1400</v>
      </c>
      <c r="E1416">
        <f t="shared" si="85"/>
        <v>0</v>
      </c>
      <c r="F1416">
        <f t="shared" si="86"/>
        <v>0</v>
      </c>
      <c r="G1416" t="str">
        <f t="shared" si="87"/>
        <v>extra</v>
      </c>
      <c r="J1416">
        <v>1385</v>
      </c>
      <c r="K1416">
        <v>0.70085280457472654</v>
      </c>
    </row>
    <row r="1417" spans="1:11" x14ac:dyDescent="0.25">
      <c r="A1417" s="3">
        <v>39483</v>
      </c>
      <c r="B1417">
        <v>4921.83</v>
      </c>
      <c r="C1417">
        <f t="shared" si="84"/>
        <v>0.99428498703061741</v>
      </c>
      <c r="D1417">
        <v>1401</v>
      </c>
      <c r="E1417">
        <f t="shared" si="85"/>
        <v>0</v>
      </c>
      <c r="F1417">
        <f t="shared" si="86"/>
        <v>0</v>
      </c>
      <c r="G1417" t="str">
        <f t="shared" si="87"/>
        <v>extra</v>
      </c>
      <c r="J1417">
        <v>1386</v>
      </c>
      <c r="K1417">
        <v>0.70090567443239449</v>
      </c>
    </row>
    <row r="1418" spans="1:11" x14ac:dyDescent="0.25">
      <c r="A1418" s="3">
        <v>39482</v>
      </c>
      <c r="B1418">
        <v>4950.12</v>
      </c>
      <c r="C1418">
        <f t="shared" si="84"/>
        <v>1.0827152527914785</v>
      </c>
      <c r="D1418">
        <v>1402</v>
      </c>
      <c r="E1418">
        <f t="shared" si="85"/>
        <v>0</v>
      </c>
      <c r="F1418">
        <f t="shared" si="86"/>
        <v>0</v>
      </c>
      <c r="G1418" t="str">
        <f t="shared" si="87"/>
        <v>extra</v>
      </c>
      <c r="J1418">
        <v>1387</v>
      </c>
      <c r="K1418">
        <v>0.70134366209046206</v>
      </c>
    </row>
    <row r="1419" spans="1:11" x14ac:dyDescent="0.25">
      <c r="A1419" s="3">
        <v>39479</v>
      </c>
      <c r="B1419">
        <v>4571.95</v>
      </c>
      <c r="C1419">
        <f t="shared" si="84"/>
        <v>0.98951389490087438</v>
      </c>
      <c r="D1419">
        <v>1403</v>
      </c>
      <c r="E1419">
        <f t="shared" si="85"/>
        <v>0</v>
      </c>
      <c r="F1419">
        <f t="shared" si="86"/>
        <v>0</v>
      </c>
      <c r="G1419" t="str">
        <f t="shared" si="87"/>
        <v>extra</v>
      </c>
      <c r="J1419">
        <v>1388</v>
      </c>
      <c r="K1419">
        <v>0.70179139434816817</v>
      </c>
    </row>
    <row r="1420" spans="1:11" x14ac:dyDescent="0.25">
      <c r="A1420" s="3">
        <v>39478</v>
      </c>
      <c r="B1420">
        <v>4620.3999999999996</v>
      </c>
      <c r="C1420">
        <f t="shared" si="84"/>
        <v>0.9808412851729591</v>
      </c>
      <c r="D1420">
        <v>1404</v>
      </c>
      <c r="E1420">
        <f t="shared" si="85"/>
        <v>0</v>
      </c>
      <c r="F1420">
        <f t="shared" si="86"/>
        <v>0</v>
      </c>
      <c r="G1420" t="str">
        <f t="shared" si="87"/>
        <v>extra</v>
      </c>
      <c r="J1420">
        <v>1389</v>
      </c>
      <c r="K1420">
        <v>0.7018900960557225</v>
      </c>
    </row>
    <row r="1421" spans="1:11" x14ac:dyDescent="0.25">
      <c r="A1421" s="3">
        <v>39477</v>
      </c>
      <c r="B1421">
        <v>4710.6499999999996</v>
      </c>
      <c r="C1421">
        <f t="shared" si="84"/>
        <v>0.98920009743641424</v>
      </c>
      <c r="D1421">
        <v>1405</v>
      </c>
      <c r="E1421">
        <f t="shared" si="85"/>
        <v>0</v>
      </c>
      <c r="F1421">
        <f t="shared" si="86"/>
        <v>0</v>
      </c>
      <c r="G1421" t="str">
        <f t="shared" si="87"/>
        <v>extra</v>
      </c>
      <c r="J1421">
        <v>1390</v>
      </c>
      <c r="K1421">
        <v>0.70189767111847401</v>
      </c>
    </row>
    <row r="1422" spans="1:11" x14ac:dyDescent="0.25">
      <c r="A1422" s="3">
        <v>39476</v>
      </c>
      <c r="B1422">
        <v>4762.08</v>
      </c>
      <c r="C1422">
        <f t="shared" si="84"/>
        <v>1.0063822413078944</v>
      </c>
      <c r="D1422">
        <v>1406</v>
      </c>
      <c r="E1422">
        <f t="shared" si="85"/>
        <v>0</v>
      </c>
      <c r="F1422">
        <f t="shared" si="86"/>
        <v>0</v>
      </c>
      <c r="G1422" t="str">
        <f t="shared" si="87"/>
        <v>extra</v>
      </c>
      <c r="J1422">
        <v>1391</v>
      </c>
      <c r="K1422">
        <v>0.70244138052941751</v>
      </c>
    </row>
    <row r="1423" spans="1:11" x14ac:dyDescent="0.25">
      <c r="A1423" s="3">
        <v>39475</v>
      </c>
      <c r="B1423">
        <v>4731.88</v>
      </c>
      <c r="C1423">
        <f t="shared" si="84"/>
        <v>0.93194391650894248</v>
      </c>
      <c r="D1423">
        <v>1407</v>
      </c>
      <c r="E1423">
        <f t="shared" si="85"/>
        <v>0</v>
      </c>
      <c r="F1423">
        <f t="shared" si="86"/>
        <v>0</v>
      </c>
      <c r="G1423" t="str">
        <f t="shared" si="87"/>
        <v>extra</v>
      </c>
      <c r="J1423">
        <v>1392</v>
      </c>
      <c r="K1423">
        <v>0.70244117532540251</v>
      </c>
    </row>
    <row r="1424" spans="1:11" x14ac:dyDescent="0.25">
      <c r="A1424" s="3">
        <v>39472</v>
      </c>
      <c r="B1424">
        <v>5077.43</v>
      </c>
      <c r="C1424">
        <f t="shared" si="84"/>
        <v>1.0099896363987182</v>
      </c>
      <c r="D1424">
        <v>1408</v>
      </c>
      <c r="E1424">
        <f t="shared" si="85"/>
        <v>0</v>
      </c>
      <c r="F1424">
        <f t="shared" si="86"/>
        <v>0</v>
      </c>
      <c r="G1424" t="str">
        <f t="shared" si="87"/>
        <v>extra</v>
      </c>
      <c r="J1424">
        <v>1393</v>
      </c>
      <c r="K1424">
        <v>0.70352928088037836</v>
      </c>
    </row>
    <row r="1425" spans="1:11" x14ac:dyDescent="0.25">
      <c r="A1425" s="3">
        <v>39471</v>
      </c>
      <c r="B1425">
        <v>5027.21</v>
      </c>
      <c r="C1425">
        <f t="shared" si="84"/>
        <v>1.0104721302644566</v>
      </c>
      <c r="D1425">
        <v>1409</v>
      </c>
      <c r="E1425">
        <f t="shared" si="85"/>
        <v>0</v>
      </c>
      <c r="F1425">
        <f t="shared" si="86"/>
        <v>0</v>
      </c>
      <c r="G1425" t="str">
        <f t="shared" si="87"/>
        <v>extra</v>
      </c>
      <c r="J1425">
        <v>1394</v>
      </c>
      <c r="K1425">
        <v>0.70443955771642719</v>
      </c>
    </row>
    <row r="1426" spans="1:11" x14ac:dyDescent="0.25">
      <c r="A1426" s="3">
        <v>39470</v>
      </c>
      <c r="B1426">
        <v>4975.1099999999997</v>
      </c>
      <c r="C1426">
        <f t="shared" ref="C1426:C1489" si="88">B1426/B1427</f>
        <v>1.046538925128369</v>
      </c>
      <c r="D1426">
        <v>1410</v>
      </c>
      <c r="E1426">
        <f t="shared" ref="E1426:E1489" si="89">IF(D1426&gt;$B$6,0,LN(C1426))</f>
        <v>0</v>
      </c>
      <c r="F1426">
        <f t="shared" ref="F1426:F1489" si="90">IF(D1426&gt;$B$6,0,(E1426-$B$7)^2)</f>
        <v>0</v>
      </c>
      <c r="G1426" t="str">
        <f t="shared" ref="G1426:G1489" si="91">IF(D1426&lt;=$B$6,E1426,"extra")</f>
        <v>extra</v>
      </c>
      <c r="J1426">
        <v>1395</v>
      </c>
      <c r="K1426">
        <v>0.70446613020101012</v>
      </c>
    </row>
    <row r="1427" spans="1:11" x14ac:dyDescent="0.25">
      <c r="A1427" s="3">
        <v>39469</v>
      </c>
      <c r="B1427">
        <v>4753.87</v>
      </c>
      <c r="C1427">
        <f t="shared" si="88"/>
        <v>0.92384753961051203</v>
      </c>
      <c r="D1427">
        <v>1411</v>
      </c>
      <c r="E1427">
        <f t="shared" si="89"/>
        <v>0</v>
      </c>
      <c r="F1427">
        <f t="shared" si="90"/>
        <v>0</v>
      </c>
      <c r="G1427" t="str">
        <f t="shared" si="91"/>
        <v>extra</v>
      </c>
      <c r="J1427">
        <v>1396</v>
      </c>
      <c r="K1427">
        <v>0.70481063878871286</v>
      </c>
    </row>
    <row r="1428" spans="1:11" x14ac:dyDescent="0.25">
      <c r="A1428" s="3">
        <v>39468</v>
      </c>
      <c r="B1428">
        <v>5145.7299999999996</v>
      </c>
      <c r="C1428">
        <f t="shared" si="88"/>
        <v>0.95036633317757768</v>
      </c>
      <c r="D1428">
        <v>1412</v>
      </c>
      <c r="E1428">
        <f t="shared" si="89"/>
        <v>0</v>
      </c>
      <c r="F1428">
        <f t="shared" si="90"/>
        <v>0</v>
      </c>
      <c r="G1428" t="str">
        <f t="shared" si="91"/>
        <v>extra</v>
      </c>
      <c r="J1428">
        <v>1397</v>
      </c>
      <c r="K1428">
        <v>0.705174315052984</v>
      </c>
    </row>
    <row r="1429" spans="1:11" x14ac:dyDescent="0.25">
      <c r="A1429" s="3">
        <v>39465</v>
      </c>
      <c r="B1429">
        <v>5414.47</v>
      </c>
      <c r="C1429">
        <f t="shared" si="88"/>
        <v>1.0091042600855074</v>
      </c>
      <c r="D1429">
        <v>1413</v>
      </c>
      <c r="E1429">
        <f t="shared" si="89"/>
        <v>0</v>
      </c>
      <c r="F1429">
        <f t="shared" si="90"/>
        <v>0</v>
      </c>
      <c r="G1429" t="str">
        <f t="shared" si="91"/>
        <v>extra</v>
      </c>
      <c r="J1429">
        <v>1398</v>
      </c>
      <c r="K1429">
        <v>0.70547553019955866</v>
      </c>
    </row>
    <row r="1430" spans="1:11" x14ac:dyDescent="0.25">
      <c r="A1430" s="3">
        <v>39464</v>
      </c>
      <c r="B1430">
        <v>5365.62</v>
      </c>
      <c r="C1430">
        <f t="shared" si="88"/>
        <v>0.97455373684095803</v>
      </c>
      <c r="D1430">
        <v>1414</v>
      </c>
      <c r="E1430">
        <f t="shared" si="89"/>
        <v>0</v>
      </c>
      <c r="F1430">
        <f t="shared" si="90"/>
        <v>0</v>
      </c>
      <c r="G1430" t="str">
        <f t="shared" si="91"/>
        <v>extra</v>
      </c>
      <c r="J1430">
        <v>1399</v>
      </c>
      <c r="K1430">
        <v>0.70560058770785927</v>
      </c>
    </row>
    <row r="1431" spans="1:11" x14ac:dyDescent="0.25">
      <c r="A1431" s="3">
        <v>39463</v>
      </c>
      <c r="B1431">
        <v>5505.72</v>
      </c>
      <c r="C1431">
        <f t="shared" si="88"/>
        <v>0.9665177435069211</v>
      </c>
      <c r="D1431">
        <v>1415</v>
      </c>
      <c r="E1431">
        <f t="shared" si="89"/>
        <v>0</v>
      </c>
      <c r="F1431">
        <f t="shared" si="90"/>
        <v>0</v>
      </c>
      <c r="G1431" t="str">
        <f t="shared" si="91"/>
        <v>extra</v>
      </c>
      <c r="J1431">
        <v>1400</v>
      </c>
      <c r="K1431">
        <v>0.70573445128903256</v>
      </c>
    </row>
    <row r="1432" spans="1:11" x14ac:dyDescent="0.25">
      <c r="A1432" s="3">
        <v>39462</v>
      </c>
      <c r="B1432">
        <v>5696.45</v>
      </c>
      <c r="C1432">
        <f t="shared" si="88"/>
        <v>0.99383958853824994</v>
      </c>
      <c r="D1432">
        <v>1416</v>
      </c>
      <c r="E1432">
        <f t="shared" si="89"/>
        <v>0</v>
      </c>
      <c r="F1432">
        <f t="shared" si="90"/>
        <v>0</v>
      </c>
      <c r="G1432" t="str">
        <f t="shared" si="91"/>
        <v>extra</v>
      </c>
      <c r="J1432">
        <v>1401</v>
      </c>
      <c r="K1432">
        <v>0.70605288961446477</v>
      </c>
    </row>
    <row r="1433" spans="1:11" x14ac:dyDescent="0.25">
      <c r="A1433" s="3">
        <v>39461</v>
      </c>
      <c r="B1433">
        <v>5731.76</v>
      </c>
      <c r="C1433">
        <f t="shared" si="88"/>
        <v>1.0057219058982481</v>
      </c>
      <c r="D1433">
        <v>1417</v>
      </c>
      <c r="E1433">
        <f t="shared" si="89"/>
        <v>0</v>
      </c>
      <c r="F1433">
        <f t="shared" si="90"/>
        <v>0</v>
      </c>
      <c r="G1433" t="str">
        <f t="shared" si="91"/>
        <v>extra</v>
      </c>
      <c r="J1433">
        <v>1402</v>
      </c>
      <c r="K1433">
        <v>0.70607171816978187</v>
      </c>
    </row>
    <row r="1434" spans="1:11" x14ac:dyDescent="0.25">
      <c r="A1434" s="3">
        <v>39458</v>
      </c>
      <c r="B1434">
        <v>5699.15</v>
      </c>
      <c r="C1434">
        <f t="shared" si="88"/>
        <v>1.0047600997857955</v>
      </c>
      <c r="D1434">
        <v>1418</v>
      </c>
      <c r="E1434">
        <f t="shared" si="89"/>
        <v>0</v>
      </c>
      <c r="F1434">
        <f t="shared" si="90"/>
        <v>0</v>
      </c>
      <c r="G1434" t="str">
        <f t="shared" si="91"/>
        <v>extra</v>
      </c>
      <c r="J1434">
        <v>1403</v>
      </c>
      <c r="K1434">
        <v>0.71059263755609026</v>
      </c>
    </row>
    <row r="1435" spans="1:11" x14ac:dyDescent="0.25">
      <c r="A1435" s="3">
        <v>39457</v>
      </c>
      <c r="B1435">
        <v>5672.15</v>
      </c>
      <c r="C1435">
        <f t="shared" si="88"/>
        <v>1.010401228410192</v>
      </c>
      <c r="D1435">
        <v>1419</v>
      </c>
      <c r="E1435">
        <f t="shared" si="89"/>
        <v>0</v>
      </c>
      <c r="F1435">
        <f t="shared" si="90"/>
        <v>0</v>
      </c>
      <c r="G1435" t="str">
        <f t="shared" si="91"/>
        <v>extra</v>
      </c>
      <c r="J1435">
        <v>1404</v>
      </c>
      <c r="K1435">
        <v>0.71066363336997018</v>
      </c>
    </row>
    <row r="1436" spans="1:11" x14ac:dyDescent="0.25">
      <c r="A1436" s="3">
        <v>39456</v>
      </c>
      <c r="B1436">
        <v>5613.76</v>
      </c>
      <c r="C1436">
        <f t="shared" si="88"/>
        <v>1.0155045630918678</v>
      </c>
      <c r="D1436">
        <v>1420</v>
      </c>
      <c r="E1436">
        <f t="shared" si="89"/>
        <v>0</v>
      </c>
      <c r="F1436">
        <f t="shared" si="90"/>
        <v>0</v>
      </c>
      <c r="G1436" t="str">
        <f t="shared" si="91"/>
        <v>extra</v>
      </c>
      <c r="J1436">
        <v>1405</v>
      </c>
      <c r="K1436">
        <v>0.71091374449711697</v>
      </c>
    </row>
    <row r="1437" spans="1:11" x14ac:dyDescent="0.25">
      <c r="A1437" s="3">
        <v>39455</v>
      </c>
      <c r="B1437">
        <v>5528.05</v>
      </c>
      <c r="C1437">
        <f t="shared" si="88"/>
        <v>0.99486375636856417</v>
      </c>
      <c r="D1437">
        <v>1421</v>
      </c>
      <c r="E1437">
        <f t="shared" si="89"/>
        <v>0</v>
      </c>
      <c r="F1437">
        <f t="shared" si="90"/>
        <v>0</v>
      </c>
      <c r="G1437" t="str">
        <f t="shared" si="91"/>
        <v>extra</v>
      </c>
      <c r="J1437">
        <v>1406</v>
      </c>
      <c r="K1437">
        <v>0.71098897284573137</v>
      </c>
    </row>
    <row r="1438" spans="1:11" x14ac:dyDescent="0.25">
      <c r="A1438" s="3">
        <v>39454</v>
      </c>
      <c r="B1438">
        <v>5556.59</v>
      </c>
      <c r="C1438">
        <f t="shared" si="88"/>
        <v>1.0133013594959563</v>
      </c>
      <c r="D1438">
        <v>1422</v>
      </c>
      <c r="E1438">
        <f t="shared" si="89"/>
        <v>0</v>
      </c>
      <c r="F1438">
        <f t="shared" si="90"/>
        <v>0</v>
      </c>
      <c r="G1438" t="str">
        <f t="shared" si="91"/>
        <v>extra</v>
      </c>
      <c r="J1438">
        <v>1407</v>
      </c>
      <c r="K1438">
        <v>0.71102177289332169</v>
      </c>
    </row>
    <row r="1439" spans="1:11" x14ac:dyDescent="0.25">
      <c r="A1439" s="3">
        <v>39451</v>
      </c>
      <c r="B1439">
        <v>5483.65</v>
      </c>
      <c r="C1439">
        <f t="shared" si="88"/>
        <v>1.0113647471518969</v>
      </c>
      <c r="D1439">
        <v>1423</v>
      </c>
      <c r="E1439">
        <f t="shared" si="89"/>
        <v>0</v>
      </c>
      <c r="F1439">
        <f t="shared" si="90"/>
        <v>0</v>
      </c>
      <c r="G1439" t="str">
        <f t="shared" si="91"/>
        <v>extra</v>
      </c>
      <c r="J1439">
        <v>1408</v>
      </c>
      <c r="K1439">
        <v>0.71445982422707421</v>
      </c>
    </row>
    <row r="1440" spans="1:11" x14ac:dyDescent="0.25">
      <c r="A1440" s="3">
        <v>39450</v>
      </c>
      <c r="B1440">
        <v>5422.03</v>
      </c>
      <c r="C1440">
        <f t="shared" si="88"/>
        <v>1.0068578113684052</v>
      </c>
      <c r="D1440">
        <v>1424</v>
      </c>
      <c r="E1440">
        <f t="shared" si="89"/>
        <v>0</v>
      </c>
      <c r="F1440">
        <f t="shared" si="90"/>
        <v>0</v>
      </c>
      <c r="G1440" t="str">
        <f t="shared" si="91"/>
        <v>extra</v>
      </c>
      <c r="J1440">
        <v>1409</v>
      </c>
      <c r="K1440">
        <v>0.71453648511544854</v>
      </c>
    </row>
    <row r="1441" spans="1:11" x14ac:dyDescent="0.25">
      <c r="A1441" s="3">
        <v>39449</v>
      </c>
      <c r="B1441">
        <v>5385.1</v>
      </c>
      <c r="C1441">
        <f t="shared" si="88"/>
        <v>1.0087706152543516</v>
      </c>
      <c r="D1441">
        <v>1425</v>
      </c>
      <c r="E1441">
        <f t="shared" si="89"/>
        <v>0</v>
      </c>
      <c r="F1441">
        <f t="shared" si="90"/>
        <v>0</v>
      </c>
      <c r="G1441" t="str">
        <f t="shared" si="91"/>
        <v>extra</v>
      </c>
      <c r="J1441">
        <v>1410</v>
      </c>
      <c r="K1441">
        <v>0.71462019768699503</v>
      </c>
    </row>
    <row r="1442" spans="1:11" x14ac:dyDescent="0.25">
      <c r="A1442" s="3">
        <v>39444</v>
      </c>
      <c r="B1442">
        <v>5338.28</v>
      </c>
      <c r="C1442">
        <f t="shared" si="88"/>
        <v>0.99455056608905767</v>
      </c>
      <c r="D1442">
        <v>1426</v>
      </c>
      <c r="E1442">
        <f t="shared" si="89"/>
        <v>0</v>
      </c>
      <c r="F1442">
        <f t="shared" si="90"/>
        <v>0</v>
      </c>
      <c r="G1442" t="str">
        <f t="shared" si="91"/>
        <v>extra</v>
      </c>
      <c r="J1442">
        <v>1411</v>
      </c>
      <c r="K1442">
        <v>0.71610118429276515</v>
      </c>
    </row>
    <row r="1443" spans="1:11" x14ac:dyDescent="0.25">
      <c r="A1443" s="3">
        <v>39443</v>
      </c>
      <c r="B1443">
        <v>5367.53</v>
      </c>
      <c r="C1443">
        <f t="shared" si="88"/>
        <v>1.0194680752056493</v>
      </c>
      <c r="D1443">
        <v>1427</v>
      </c>
      <c r="E1443">
        <f t="shared" si="89"/>
        <v>0</v>
      </c>
      <c r="F1443">
        <f t="shared" si="90"/>
        <v>0</v>
      </c>
      <c r="G1443" t="str">
        <f t="shared" si="91"/>
        <v>extra</v>
      </c>
      <c r="J1443">
        <v>1412</v>
      </c>
      <c r="K1443">
        <v>0.72041644270811789</v>
      </c>
    </row>
    <row r="1444" spans="1:11" x14ac:dyDescent="0.25">
      <c r="A1444" s="3">
        <v>39442</v>
      </c>
      <c r="B1444">
        <v>5265.03</v>
      </c>
      <c r="C1444">
        <f t="shared" si="88"/>
        <v>1.0092431965128112</v>
      </c>
      <c r="D1444">
        <v>1428</v>
      </c>
      <c r="E1444">
        <f t="shared" si="89"/>
        <v>0</v>
      </c>
      <c r="F1444">
        <f t="shared" si="90"/>
        <v>0</v>
      </c>
      <c r="G1444" t="str">
        <f t="shared" si="91"/>
        <v>extra</v>
      </c>
      <c r="J1444">
        <v>1413</v>
      </c>
      <c r="K1444">
        <v>0.72217484131985188</v>
      </c>
    </row>
    <row r="1445" spans="1:11" x14ac:dyDescent="0.25">
      <c r="A1445" s="3">
        <v>39441</v>
      </c>
      <c r="B1445">
        <v>5216.8100000000004</v>
      </c>
      <c r="C1445">
        <f t="shared" si="88"/>
        <v>1.0018589895009344</v>
      </c>
      <c r="D1445">
        <v>1429</v>
      </c>
      <c r="E1445">
        <f t="shared" si="89"/>
        <v>0</v>
      </c>
      <c r="F1445">
        <f t="shared" si="90"/>
        <v>0</v>
      </c>
      <c r="G1445" t="str">
        <f t="shared" si="91"/>
        <v>extra</v>
      </c>
      <c r="J1445">
        <v>1414</v>
      </c>
      <c r="K1445">
        <v>0.72223904881263146</v>
      </c>
    </row>
    <row r="1446" spans="1:11" x14ac:dyDescent="0.25">
      <c r="A1446" s="3">
        <v>39440</v>
      </c>
      <c r="B1446">
        <v>5207.13</v>
      </c>
      <c r="C1446">
        <f t="shared" si="88"/>
        <v>1.0206356517733763</v>
      </c>
      <c r="D1446">
        <v>1430</v>
      </c>
      <c r="E1446">
        <f t="shared" si="89"/>
        <v>0</v>
      </c>
      <c r="F1446">
        <f t="shared" si="90"/>
        <v>0</v>
      </c>
      <c r="G1446" t="str">
        <f t="shared" si="91"/>
        <v>extra</v>
      </c>
      <c r="J1446">
        <v>1415</v>
      </c>
      <c r="K1446">
        <v>0.72267820264298788</v>
      </c>
    </row>
    <row r="1447" spans="1:11" x14ac:dyDescent="0.25">
      <c r="A1447" s="3">
        <v>39437</v>
      </c>
      <c r="B1447">
        <v>5101.8500000000004</v>
      </c>
      <c r="C1447">
        <f t="shared" si="88"/>
        <v>1.0128345112364012</v>
      </c>
      <c r="D1447">
        <v>1431</v>
      </c>
      <c r="E1447">
        <f t="shared" si="89"/>
        <v>0</v>
      </c>
      <c r="F1447">
        <f t="shared" si="90"/>
        <v>0</v>
      </c>
      <c r="G1447" t="str">
        <f t="shared" si="91"/>
        <v>extra</v>
      </c>
      <c r="J1447">
        <v>1416</v>
      </c>
      <c r="K1447">
        <v>0.72345228324996469</v>
      </c>
    </row>
    <row r="1448" spans="1:11" x14ac:dyDescent="0.25">
      <c r="A1448" s="3">
        <v>39436</v>
      </c>
      <c r="B1448">
        <v>5037.2</v>
      </c>
      <c r="C1448">
        <f t="shared" si="88"/>
        <v>1.0183794318570079</v>
      </c>
      <c r="D1448">
        <v>1432</v>
      </c>
      <c r="E1448">
        <f t="shared" si="89"/>
        <v>0</v>
      </c>
      <c r="F1448">
        <f t="shared" si="90"/>
        <v>0</v>
      </c>
      <c r="G1448" t="str">
        <f t="shared" si="91"/>
        <v>extra</v>
      </c>
      <c r="J1448">
        <v>1417</v>
      </c>
      <c r="K1448">
        <v>0.7234732557231538</v>
      </c>
    </row>
    <row r="1449" spans="1:11" x14ac:dyDescent="0.25">
      <c r="A1449" s="3">
        <v>39435</v>
      </c>
      <c r="B1449">
        <v>4946.29</v>
      </c>
      <c r="C1449">
        <f t="shared" si="88"/>
        <v>1.0240956870831961</v>
      </c>
      <c r="D1449">
        <v>1433</v>
      </c>
      <c r="E1449">
        <f t="shared" si="89"/>
        <v>0</v>
      </c>
      <c r="F1449">
        <f t="shared" si="90"/>
        <v>0</v>
      </c>
      <c r="G1449" t="str">
        <f t="shared" si="91"/>
        <v>extra</v>
      </c>
      <c r="J1449">
        <v>1418</v>
      </c>
      <c r="K1449">
        <v>0.72350065040504441</v>
      </c>
    </row>
    <row r="1450" spans="1:11" x14ac:dyDescent="0.25">
      <c r="A1450" s="3">
        <v>39434</v>
      </c>
      <c r="B1450">
        <v>4829.91</v>
      </c>
      <c r="C1450">
        <f t="shared" si="88"/>
        <v>0.99436311194102056</v>
      </c>
      <c r="D1450">
        <v>1434</v>
      </c>
      <c r="E1450">
        <f t="shared" si="89"/>
        <v>0</v>
      </c>
      <c r="F1450">
        <f t="shared" si="90"/>
        <v>0</v>
      </c>
      <c r="G1450" t="str">
        <f t="shared" si="91"/>
        <v>extra</v>
      </c>
      <c r="J1450">
        <v>1419</v>
      </c>
      <c r="K1450">
        <v>0.72352026095350885</v>
      </c>
    </row>
    <row r="1451" spans="1:11" x14ac:dyDescent="0.25">
      <c r="A1451" s="3">
        <v>39433</v>
      </c>
      <c r="B1451">
        <v>4857.29</v>
      </c>
      <c r="C1451">
        <f t="shared" si="88"/>
        <v>0.97581991502014009</v>
      </c>
      <c r="D1451">
        <v>1435</v>
      </c>
      <c r="E1451">
        <f t="shared" si="89"/>
        <v>0</v>
      </c>
      <c r="F1451">
        <f t="shared" si="90"/>
        <v>0</v>
      </c>
      <c r="G1451" t="str">
        <f t="shared" si="91"/>
        <v>extra</v>
      </c>
      <c r="J1451">
        <v>1420</v>
      </c>
      <c r="K1451">
        <v>0.72360309889268293</v>
      </c>
    </row>
    <row r="1452" spans="1:11" x14ac:dyDescent="0.25">
      <c r="A1452" s="3">
        <v>39430</v>
      </c>
      <c r="B1452">
        <v>4977.6499999999996</v>
      </c>
      <c r="C1452">
        <f t="shared" si="88"/>
        <v>1.0191122576418319</v>
      </c>
      <c r="D1452">
        <v>1436</v>
      </c>
      <c r="E1452">
        <f t="shared" si="89"/>
        <v>0</v>
      </c>
      <c r="F1452">
        <f t="shared" si="90"/>
        <v>0</v>
      </c>
      <c r="G1452" t="str">
        <f t="shared" si="91"/>
        <v>extra</v>
      </c>
      <c r="J1452">
        <v>1421</v>
      </c>
      <c r="K1452">
        <v>0.72377971437681154</v>
      </c>
    </row>
    <row r="1453" spans="1:11" x14ac:dyDescent="0.25">
      <c r="A1453" s="3">
        <v>39429</v>
      </c>
      <c r="B1453">
        <v>4884.3</v>
      </c>
      <c r="C1453">
        <f t="shared" si="88"/>
        <v>0.96197061876278955</v>
      </c>
      <c r="D1453">
        <v>1437</v>
      </c>
      <c r="E1453">
        <f t="shared" si="89"/>
        <v>0</v>
      </c>
      <c r="F1453">
        <f t="shared" si="90"/>
        <v>0</v>
      </c>
      <c r="G1453" t="str">
        <f t="shared" si="91"/>
        <v>extra</v>
      </c>
      <c r="J1453">
        <v>1422</v>
      </c>
      <c r="K1453">
        <v>0.72379365022744235</v>
      </c>
    </row>
    <row r="1454" spans="1:11" x14ac:dyDescent="0.25">
      <c r="A1454" s="3">
        <v>39428</v>
      </c>
      <c r="B1454">
        <v>5077.3900000000003</v>
      </c>
      <c r="C1454">
        <f t="shared" si="88"/>
        <v>0.98781906614785997</v>
      </c>
      <c r="D1454">
        <v>1438</v>
      </c>
      <c r="E1454">
        <f t="shared" si="89"/>
        <v>0</v>
      </c>
      <c r="F1454">
        <f t="shared" si="90"/>
        <v>0</v>
      </c>
      <c r="G1454" t="str">
        <f t="shared" si="91"/>
        <v>extra</v>
      </c>
      <c r="J1454">
        <v>1423</v>
      </c>
      <c r="K1454">
        <v>0.72392529336899158</v>
      </c>
    </row>
    <row r="1455" spans="1:11" x14ac:dyDescent="0.25">
      <c r="A1455" s="3">
        <v>39427</v>
      </c>
      <c r="B1455">
        <v>5140</v>
      </c>
      <c r="C1455">
        <f t="shared" si="88"/>
        <v>1.0012544900614777</v>
      </c>
      <c r="D1455">
        <v>1439</v>
      </c>
      <c r="E1455">
        <f t="shared" si="89"/>
        <v>0</v>
      </c>
      <c r="F1455">
        <f t="shared" si="90"/>
        <v>0</v>
      </c>
      <c r="G1455" t="str">
        <f t="shared" si="91"/>
        <v>extra</v>
      </c>
      <c r="J1455">
        <v>1424</v>
      </c>
      <c r="K1455">
        <v>0.72402274439787295</v>
      </c>
    </row>
    <row r="1456" spans="1:11" x14ac:dyDescent="0.25">
      <c r="A1456" s="3">
        <v>39426</v>
      </c>
      <c r="B1456">
        <v>5133.5600000000004</v>
      </c>
      <c r="C1456">
        <f t="shared" si="88"/>
        <v>1.0182907356164519</v>
      </c>
      <c r="D1456">
        <v>1440</v>
      </c>
      <c r="E1456">
        <f t="shared" si="89"/>
        <v>0</v>
      </c>
      <c r="F1456">
        <f t="shared" si="90"/>
        <v>0</v>
      </c>
      <c r="G1456" t="str">
        <f t="shared" si="91"/>
        <v>extra</v>
      </c>
      <c r="J1456">
        <v>1425</v>
      </c>
      <c r="K1456">
        <v>0.72406045158527288</v>
      </c>
    </row>
    <row r="1457" spans="1:11" x14ac:dyDescent="0.25">
      <c r="A1457" s="3">
        <v>39423</v>
      </c>
      <c r="B1457">
        <v>5041.3500000000004</v>
      </c>
      <c r="C1457">
        <f t="shared" si="88"/>
        <v>1.0141398414020351</v>
      </c>
      <c r="D1457">
        <v>1441</v>
      </c>
      <c r="E1457">
        <f t="shared" si="89"/>
        <v>0</v>
      </c>
      <c r="F1457">
        <f t="shared" si="90"/>
        <v>0</v>
      </c>
      <c r="G1457" t="str">
        <f t="shared" si="91"/>
        <v>extra</v>
      </c>
      <c r="J1457">
        <v>1426</v>
      </c>
      <c r="K1457">
        <v>0.72412004611607284</v>
      </c>
    </row>
    <row r="1458" spans="1:11" x14ac:dyDescent="0.25">
      <c r="A1458" s="3">
        <v>39422</v>
      </c>
      <c r="B1458">
        <v>4971.0600000000004</v>
      </c>
      <c r="C1458">
        <f t="shared" si="88"/>
        <v>1.0010290075413568</v>
      </c>
      <c r="D1458">
        <v>1442</v>
      </c>
      <c r="E1458">
        <f t="shared" si="89"/>
        <v>0</v>
      </c>
      <c r="F1458">
        <f t="shared" si="90"/>
        <v>0</v>
      </c>
      <c r="G1458" t="str">
        <f t="shared" si="91"/>
        <v>extra</v>
      </c>
      <c r="J1458">
        <v>1427</v>
      </c>
      <c r="K1458">
        <v>0.72413620401784984</v>
      </c>
    </row>
    <row r="1459" spans="1:11" x14ac:dyDescent="0.25">
      <c r="A1459" s="3">
        <v>39421</v>
      </c>
      <c r="B1459">
        <v>4965.95</v>
      </c>
      <c r="C1459">
        <f t="shared" si="88"/>
        <v>1.0283151902692158</v>
      </c>
      <c r="D1459">
        <v>1443</v>
      </c>
      <c r="E1459">
        <f t="shared" si="89"/>
        <v>0</v>
      </c>
      <c r="F1459">
        <f t="shared" si="90"/>
        <v>0</v>
      </c>
      <c r="G1459" t="str">
        <f t="shared" si="91"/>
        <v>extra</v>
      </c>
      <c r="J1459">
        <v>1428</v>
      </c>
      <c r="K1459">
        <v>0.72440832553677281</v>
      </c>
    </row>
    <row r="1460" spans="1:11" x14ac:dyDescent="0.25">
      <c r="A1460" s="3">
        <v>39420</v>
      </c>
      <c r="B1460">
        <v>4829.21</v>
      </c>
      <c r="C1460">
        <f t="shared" si="88"/>
        <v>1.0118466183498964</v>
      </c>
      <c r="D1460">
        <v>1444</v>
      </c>
      <c r="E1460">
        <f t="shared" si="89"/>
        <v>0</v>
      </c>
      <c r="F1460">
        <f t="shared" si="90"/>
        <v>0</v>
      </c>
      <c r="G1460" t="str">
        <f t="shared" si="91"/>
        <v>extra</v>
      </c>
      <c r="J1460">
        <v>1429</v>
      </c>
      <c r="K1460">
        <v>0.72447384008586335</v>
      </c>
    </row>
    <row r="1461" spans="1:11" x14ac:dyDescent="0.25">
      <c r="A1461" s="3">
        <v>39419</v>
      </c>
      <c r="B1461">
        <v>4772.67</v>
      </c>
      <c r="C1461">
        <f t="shared" si="88"/>
        <v>1.00744288545851</v>
      </c>
      <c r="D1461">
        <v>1445</v>
      </c>
      <c r="E1461">
        <f t="shared" si="89"/>
        <v>0</v>
      </c>
      <c r="F1461">
        <f t="shared" si="90"/>
        <v>0</v>
      </c>
      <c r="G1461" t="str">
        <f t="shared" si="91"/>
        <v>extra</v>
      </c>
      <c r="J1461">
        <v>1430</v>
      </c>
      <c r="K1461">
        <v>0.72447751467611754</v>
      </c>
    </row>
    <row r="1462" spans="1:11" x14ac:dyDescent="0.25">
      <c r="A1462" s="3">
        <v>39416</v>
      </c>
      <c r="B1462">
        <v>4737.41</v>
      </c>
      <c r="C1462">
        <f t="shared" si="88"/>
        <v>0.97838527737104175</v>
      </c>
      <c r="D1462">
        <v>1446</v>
      </c>
      <c r="E1462">
        <f t="shared" si="89"/>
        <v>0</v>
      </c>
      <c r="F1462">
        <f t="shared" si="90"/>
        <v>0</v>
      </c>
      <c r="G1462" t="str">
        <f t="shared" si="91"/>
        <v>extra</v>
      </c>
      <c r="J1462">
        <v>1431</v>
      </c>
      <c r="K1462">
        <v>0.72478114954737072</v>
      </c>
    </row>
    <row r="1463" spans="1:11" x14ac:dyDescent="0.25">
      <c r="A1463" s="3">
        <v>39415</v>
      </c>
      <c r="B1463">
        <v>4842.07</v>
      </c>
      <c r="C1463">
        <f t="shared" si="88"/>
        <v>1.0415853724119386</v>
      </c>
      <c r="D1463">
        <v>1447</v>
      </c>
      <c r="E1463">
        <f t="shared" si="89"/>
        <v>0</v>
      </c>
      <c r="F1463">
        <f t="shared" si="90"/>
        <v>0</v>
      </c>
      <c r="G1463" t="str">
        <f t="shared" si="91"/>
        <v>extra</v>
      </c>
      <c r="J1463">
        <v>1432</v>
      </c>
      <c r="K1463">
        <v>0.72490280341332169</v>
      </c>
    </row>
    <row r="1464" spans="1:11" x14ac:dyDescent="0.25">
      <c r="A1464" s="3">
        <v>39414</v>
      </c>
      <c r="B1464">
        <v>4648.75</v>
      </c>
      <c r="C1464">
        <f t="shared" si="88"/>
        <v>0.9867548263162923</v>
      </c>
      <c r="D1464">
        <v>1448</v>
      </c>
      <c r="E1464">
        <f t="shared" si="89"/>
        <v>0</v>
      </c>
      <c r="F1464">
        <f t="shared" si="90"/>
        <v>0</v>
      </c>
      <c r="G1464" t="str">
        <f t="shared" si="91"/>
        <v>extra</v>
      </c>
      <c r="J1464">
        <v>1433</v>
      </c>
      <c r="K1464">
        <v>0.7251449425289368</v>
      </c>
    </row>
    <row r="1465" spans="1:11" x14ac:dyDescent="0.25">
      <c r="A1465" s="3">
        <v>39413</v>
      </c>
      <c r="B1465">
        <v>4711.1499999999996</v>
      </c>
      <c r="C1465">
        <f t="shared" si="88"/>
        <v>0.98147322544624249</v>
      </c>
      <c r="D1465">
        <v>1449</v>
      </c>
      <c r="E1465">
        <f t="shared" si="89"/>
        <v>0</v>
      </c>
      <c r="F1465">
        <f t="shared" si="90"/>
        <v>0</v>
      </c>
      <c r="G1465" t="str">
        <f t="shared" si="91"/>
        <v>extra</v>
      </c>
      <c r="J1465">
        <v>1434</v>
      </c>
      <c r="K1465">
        <v>0.72555290005709649</v>
      </c>
    </row>
    <row r="1466" spans="1:11" x14ac:dyDescent="0.25">
      <c r="A1466" s="3">
        <v>39412</v>
      </c>
      <c r="B1466">
        <v>4800.08</v>
      </c>
      <c r="C1466">
        <f t="shared" si="88"/>
        <v>0.98845178083094465</v>
      </c>
      <c r="D1466">
        <v>1450</v>
      </c>
      <c r="E1466">
        <f t="shared" si="89"/>
        <v>0</v>
      </c>
      <c r="F1466">
        <f t="shared" si="90"/>
        <v>0</v>
      </c>
      <c r="G1466" t="str">
        <f t="shared" si="91"/>
        <v>extra</v>
      </c>
      <c r="J1466">
        <v>1435</v>
      </c>
      <c r="K1466">
        <v>0.72557083922639254</v>
      </c>
    </row>
    <row r="1467" spans="1:11" x14ac:dyDescent="0.25">
      <c r="A1467" s="3">
        <v>39409</v>
      </c>
      <c r="B1467">
        <v>4856.16</v>
      </c>
      <c r="C1467">
        <f t="shared" si="88"/>
        <v>1.0175040124711374</v>
      </c>
      <c r="D1467">
        <v>1451</v>
      </c>
      <c r="E1467">
        <f t="shared" si="89"/>
        <v>0</v>
      </c>
      <c r="F1467">
        <f t="shared" si="90"/>
        <v>0</v>
      </c>
      <c r="G1467" t="str">
        <f t="shared" si="91"/>
        <v>extra</v>
      </c>
      <c r="J1467">
        <v>1436</v>
      </c>
      <c r="K1467">
        <v>0.72596662869755757</v>
      </c>
    </row>
    <row r="1468" spans="1:11" x14ac:dyDescent="0.25">
      <c r="A1468" s="3">
        <v>39408</v>
      </c>
      <c r="B1468">
        <v>4772.62</v>
      </c>
      <c r="C1468">
        <f t="shared" si="88"/>
        <v>0.95497856979922446</v>
      </c>
      <c r="D1468">
        <v>1452</v>
      </c>
      <c r="E1468">
        <f t="shared" si="89"/>
        <v>0</v>
      </c>
      <c r="F1468">
        <f t="shared" si="90"/>
        <v>0</v>
      </c>
      <c r="G1468" t="str">
        <f t="shared" si="91"/>
        <v>extra</v>
      </c>
      <c r="J1468">
        <v>1437</v>
      </c>
      <c r="K1468">
        <v>0.72622708863251029</v>
      </c>
    </row>
    <row r="1469" spans="1:11" x14ac:dyDescent="0.25">
      <c r="A1469" s="3">
        <v>39407</v>
      </c>
      <c r="B1469">
        <v>4997.62</v>
      </c>
      <c r="C1469">
        <f t="shared" si="88"/>
        <v>0.98584442278937456</v>
      </c>
      <c r="D1469">
        <v>1453</v>
      </c>
      <c r="E1469">
        <f t="shared" si="89"/>
        <v>0</v>
      </c>
      <c r="F1469">
        <f t="shared" si="90"/>
        <v>0</v>
      </c>
      <c r="G1469" t="str">
        <f t="shared" si="91"/>
        <v>extra</v>
      </c>
      <c r="J1469">
        <v>1438</v>
      </c>
      <c r="K1469">
        <v>0.72723468071966924</v>
      </c>
    </row>
    <row r="1470" spans="1:11" x14ac:dyDescent="0.25">
      <c r="A1470" s="3">
        <v>39406</v>
      </c>
      <c r="B1470">
        <v>5069.38</v>
      </c>
      <c r="C1470">
        <f t="shared" si="88"/>
        <v>1.0150087497647375</v>
      </c>
      <c r="D1470">
        <v>1454</v>
      </c>
      <c r="E1470">
        <f t="shared" si="89"/>
        <v>0</v>
      </c>
      <c r="F1470">
        <f t="shared" si="90"/>
        <v>0</v>
      </c>
      <c r="G1470" t="str">
        <f t="shared" si="91"/>
        <v>extra</v>
      </c>
      <c r="J1470">
        <v>1439</v>
      </c>
      <c r="K1470">
        <v>0.72732882464666271</v>
      </c>
    </row>
    <row r="1471" spans="1:11" x14ac:dyDescent="0.25">
      <c r="A1471" s="3">
        <v>39405</v>
      </c>
      <c r="B1471">
        <v>4994.42</v>
      </c>
      <c r="C1471">
        <f t="shared" si="88"/>
        <v>0.99735605053058718</v>
      </c>
      <c r="D1471">
        <v>1455</v>
      </c>
      <c r="E1471">
        <f t="shared" si="89"/>
        <v>0</v>
      </c>
      <c r="F1471">
        <f t="shared" si="90"/>
        <v>0</v>
      </c>
      <c r="G1471" t="str">
        <f t="shared" si="91"/>
        <v>extra</v>
      </c>
      <c r="J1471">
        <v>1440</v>
      </c>
      <c r="K1471">
        <v>0.72733069644379755</v>
      </c>
    </row>
    <row r="1472" spans="1:11" x14ac:dyDescent="0.25">
      <c r="A1472" s="3">
        <v>39402</v>
      </c>
      <c r="B1472">
        <v>5007.66</v>
      </c>
      <c r="C1472">
        <f t="shared" si="88"/>
        <v>0.98554449716695769</v>
      </c>
      <c r="D1472">
        <v>1456</v>
      </c>
      <c r="E1472">
        <f t="shared" si="89"/>
        <v>0</v>
      </c>
      <c r="F1472">
        <f t="shared" si="90"/>
        <v>0</v>
      </c>
      <c r="G1472" t="str">
        <f t="shared" si="91"/>
        <v>extra</v>
      </c>
      <c r="J1472">
        <v>1441</v>
      </c>
      <c r="K1472">
        <v>0.72757004982264806</v>
      </c>
    </row>
    <row r="1473" spans="1:11" x14ac:dyDescent="0.25">
      <c r="A1473" s="3">
        <v>39401</v>
      </c>
      <c r="B1473">
        <v>5081.1099999999997</v>
      </c>
      <c r="C1473">
        <f t="shared" si="88"/>
        <v>0.9874113127175278</v>
      </c>
      <c r="D1473">
        <v>1457</v>
      </c>
      <c r="E1473">
        <f t="shared" si="89"/>
        <v>0</v>
      </c>
      <c r="F1473">
        <f t="shared" si="90"/>
        <v>0</v>
      </c>
      <c r="G1473" t="str">
        <f t="shared" si="91"/>
        <v>extra</v>
      </c>
      <c r="J1473">
        <v>1442</v>
      </c>
      <c r="K1473">
        <v>0.72771568473622306</v>
      </c>
    </row>
    <row r="1474" spans="1:11" x14ac:dyDescent="0.25">
      <c r="A1474" s="3">
        <v>39400</v>
      </c>
      <c r="B1474">
        <v>5145.8900000000003</v>
      </c>
      <c r="C1474">
        <f t="shared" si="88"/>
        <v>1.0418384204857429</v>
      </c>
      <c r="D1474">
        <v>1458</v>
      </c>
      <c r="E1474">
        <f t="shared" si="89"/>
        <v>0</v>
      </c>
      <c r="F1474">
        <f t="shared" si="90"/>
        <v>0</v>
      </c>
      <c r="G1474" t="str">
        <f t="shared" si="91"/>
        <v>extra</v>
      </c>
      <c r="J1474">
        <v>1443</v>
      </c>
      <c r="K1474">
        <v>0.72771698252858286</v>
      </c>
    </row>
    <row r="1475" spans="1:11" x14ac:dyDescent="0.25">
      <c r="A1475" s="3">
        <v>39399</v>
      </c>
      <c r="B1475">
        <v>4939.24</v>
      </c>
      <c r="C1475">
        <f t="shared" si="88"/>
        <v>0.99216391302164408</v>
      </c>
      <c r="D1475">
        <v>1459</v>
      </c>
      <c r="E1475">
        <f t="shared" si="89"/>
        <v>0</v>
      </c>
      <c r="F1475">
        <f t="shared" si="90"/>
        <v>0</v>
      </c>
      <c r="G1475" t="str">
        <f t="shared" si="91"/>
        <v>extra</v>
      </c>
      <c r="J1475">
        <v>1444</v>
      </c>
      <c r="K1475">
        <v>0.72827255376351119</v>
      </c>
    </row>
    <row r="1476" spans="1:11" x14ac:dyDescent="0.25">
      <c r="A1476" s="3">
        <v>39398</v>
      </c>
      <c r="B1476">
        <v>4978.25</v>
      </c>
      <c r="C1476">
        <f t="shared" si="88"/>
        <v>0.98764611587693329</v>
      </c>
      <c r="D1476">
        <v>1460</v>
      </c>
      <c r="E1476">
        <f t="shared" si="89"/>
        <v>0</v>
      </c>
      <c r="F1476">
        <f t="shared" si="90"/>
        <v>0</v>
      </c>
      <c r="G1476" t="str">
        <f t="shared" si="91"/>
        <v>extra</v>
      </c>
      <c r="J1476">
        <v>1445</v>
      </c>
      <c r="K1476">
        <v>0.72837573149902179</v>
      </c>
    </row>
    <row r="1477" spans="1:11" x14ac:dyDescent="0.25">
      <c r="A1477" s="3">
        <v>39395</v>
      </c>
      <c r="B1477">
        <v>5040.5200000000004</v>
      </c>
      <c r="C1477">
        <f t="shared" si="88"/>
        <v>0.98956548029220592</v>
      </c>
      <c r="D1477">
        <v>1461</v>
      </c>
      <c r="E1477">
        <f t="shared" si="89"/>
        <v>0</v>
      </c>
      <c r="F1477">
        <f t="shared" si="90"/>
        <v>0</v>
      </c>
      <c r="G1477" t="str">
        <f t="shared" si="91"/>
        <v>extra</v>
      </c>
      <c r="J1477">
        <v>1446</v>
      </c>
      <c r="K1477">
        <v>0.72841831519140643</v>
      </c>
    </row>
    <row r="1478" spans="1:11" x14ac:dyDescent="0.25">
      <c r="A1478" s="3">
        <v>39394</v>
      </c>
      <c r="B1478">
        <v>5093.67</v>
      </c>
      <c r="C1478">
        <f t="shared" si="88"/>
        <v>0.95197574865015899</v>
      </c>
      <c r="D1478">
        <v>1462</v>
      </c>
      <c r="E1478">
        <f t="shared" si="89"/>
        <v>0</v>
      </c>
      <c r="F1478">
        <f t="shared" si="90"/>
        <v>0</v>
      </c>
      <c r="G1478" t="str">
        <f t="shared" si="91"/>
        <v>extra</v>
      </c>
      <c r="J1478">
        <v>1447</v>
      </c>
      <c r="K1478">
        <v>0.72873149322855524</v>
      </c>
    </row>
    <row r="1479" spans="1:11" x14ac:dyDescent="0.25">
      <c r="A1479" s="3">
        <v>39393</v>
      </c>
      <c r="B1479">
        <v>5350.63</v>
      </c>
      <c r="C1479">
        <f t="shared" si="88"/>
        <v>1.0062209100055477</v>
      </c>
      <c r="D1479">
        <v>1463</v>
      </c>
      <c r="E1479">
        <f t="shared" si="89"/>
        <v>0</v>
      </c>
      <c r="F1479">
        <f t="shared" si="90"/>
        <v>0</v>
      </c>
      <c r="G1479" t="str">
        <f t="shared" si="91"/>
        <v>extra</v>
      </c>
      <c r="J1479">
        <v>1448</v>
      </c>
      <c r="K1479">
        <v>0.72989814263712638</v>
      </c>
    </row>
    <row r="1480" spans="1:11" x14ac:dyDescent="0.25">
      <c r="A1480" s="3">
        <v>39392</v>
      </c>
      <c r="B1480">
        <v>5317.55</v>
      </c>
      <c r="C1480">
        <f t="shared" si="88"/>
        <v>0.99202284942475338</v>
      </c>
      <c r="D1480">
        <v>1464</v>
      </c>
      <c r="E1480">
        <f t="shared" si="89"/>
        <v>0</v>
      </c>
      <c r="F1480">
        <f t="shared" si="90"/>
        <v>0</v>
      </c>
      <c r="G1480" t="str">
        <f t="shared" si="91"/>
        <v>extra</v>
      </c>
      <c r="J1480">
        <v>1449</v>
      </c>
      <c r="K1480">
        <v>0.73001119631920497</v>
      </c>
    </row>
    <row r="1481" spans="1:11" x14ac:dyDescent="0.25">
      <c r="A1481" s="3">
        <v>39391</v>
      </c>
      <c r="B1481">
        <v>5360.31</v>
      </c>
      <c r="C1481">
        <f t="shared" si="88"/>
        <v>0.97942235694591384</v>
      </c>
      <c r="D1481">
        <v>1465</v>
      </c>
      <c r="E1481">
        <f t="shared" si="89"/>
        <v>0</v>
      </c>
      <c r="F1481">
        <f t="shared" si="90"/>
        <v>0</v>
      </c>
      <c r="G1481" t="str">
        <f t="shared" si="91"/>
        <v>extra</v>
      </c>
      <c r="J1481">
        <v>1450</v>
      </c>
      <c r="K1481">
        <v>0.73023835283538774</v>
      </c>
    </row>
    <row r="1482" spans="1:11" x14ac:dyDescent="0.25">
      <c r="A1482" s="3">
        <v>39388</v>
      </c>
      <c r="B1482">
        <v>5472.93</v>
      </c>
      <c r="C1482">
        <f t="shared" si="88"/>
        <v>0.97639704347546863</v>
      </c>
      <c r="D1482">
        <v>1466</v>
      </c>
      <c r="E1482">
        <f t="shared" si="89"/>
        <v>0</v>
      </c>
      <c r="F1482">
        <f t="shared" si="90"/>
        <v>0</v>
      </c>
      <c r="G1482" t="str">
        <f t="shared" si="91"/>
        <v>extra</v>
      </c>
      <c r="J1482">
        <v>1451</v>
      </c>
      <c r="K1482">
        <v>0.73032276752138536</v>
      </c>
    </row>
    <row r="1483" spans="1:11" x14ac:dyDescent="0.25">
      <c r="A1483" s="3">
        <v>39387</v>
      </c>
      <c r="B1483">
        <v>5605.23</v>
      </c>
      <c r="C1483">
        <f t="shared" si="88"/>
        <v>0.98535476589775228</v>
      </c>
      <c r="D1483">
        <v>1467</v>
      </c>
      <c r="E1483">
        <f t="shared" si="89"/>
        <v>0</v>
      </c>
      <c r="F1483">
        <f t="shared" si="90"/>
        <v>0</v>
      </c>
      <c r="G1483" t="str">
        <f t="shared" si="91"/>
        <v>extra</v>
      </c>
      <c r="J1483">
        <v>1452</v>
      </c>
      <c r="K1483">
        <v>0.73054074830511517</v>
      </c>
    </row>
    <row r="1484" spans="1:11" x14ac:dyDescent="0.25">
      <c r="A1484" s="3">
        <v>39386</v>
      </c>
      <c r="B1484">
        <v>5688.54</v>
      </c>
      <c r="C1484">
        <f t="shared" si="88"/>
        <v>1.0165240963747773</v>
      </c>
      <c r="D1484">
        <v>1468</v>
      </c>
      <c r="E1484">
        <f t="shared" si="89"/>
        <v>0</v>
      </c>
      <c r="F1484">
        <f t="shared" si="90"/>
        <v>0</v>
      </c>
      <c r="G1484" t="str">
        <f t="shared" si="91"/>
        <v>extra</v>
      </c>
      <c r="J1484">
        <v>1453</v>
      </c>
      <c r="K1484">
        <v>0.73196181082467504</v>
      </c>
    </row>
    <row r="1485" spans="1:11" x14ac:dyDescent="0.25">
      <c r="A1485" s="3">
        <v>39385</v>
      </c>
      <c r="B1485">
        <v>5596.07</v>
      </c>
      <c r="C1485">
        <f t="shared" si="88"/>
        <v>1.0159230696613875</v>
      </c>
      <c r="D1485">
        <v>1469</v>
      </c>
      <c r="E1485">
        <f t="shared" si="89"/>
        <v>0</v>
      </c>
      <c r="F1485">
        <f t="shared" si="90"/>
        <v>0</v>
      </c>
      <c r="G1485" t="str">
        <f t="shared" si="91"/>
        <v>extra</v>
      </c>
      <c r="J1485">
        <v>1454</v>
      </c>
      <c r="K1485">
        <v>0.73209045019257712</v>
      </c>
    </row>
    <row r="1486" spans="1:11" x14ac:dyDescent="0.25">
      <c r="A1486" s="3">
        <v>39384</v>
      </c>
      <c r="B1486">
        <v>5508.36</v>
      </c>
      <c r="C1486">
        <f t="shared" si="88"/>
        <v>1.0210480072514136</v>
      </c>
      <c r="D1486">
        <v>1470</v>
      </c>
      <c r="E1486">
        <f t="shared" si="89"/>
        <v>0</v>
      </c>
      <c r="F1486">
        <f t="shared" si="90"/>
        <v>0</v>
      </c>
      <c r="G1486" t="str">
        <f t="shared" si="91"/>
        <v>extra</v>
      </c>
      <c r="J1486">
        <v>1455</v>
      </c>
      <c r="K1486">
        <v>0.73225272218430115</v>
      </c>
    </row>
    <row r="1487" spans="1:11" x14ac:dyDescent="0.25">
      <c r="A1487" s="3">
        <v>39381</v>
      </c>
      <c r="B1487">
        <v>5394.81</v>
      </c>
      <c r="C1487">
        <f t="shared" si="88"/>
        <v>1.0114402704268448</v>
      </c>
      <c r="D1487">
        <v>1471</v>
      </c>
      <c r="E1487">
        <f t="shared" si="89"/>
        <v>0</v>
      </c>
      <c r="F1487">
        <f t="shared" si="90"/>
        <v>0</v>
      </c>
      <c r="G1487" t="str">
        <f t="shared" si="91"/>
        <v>extra</v>
      </c>
      <c r="J1487">
        <v>1456</v>
      </c>
      <c r="K1487">
        <v>0.73225547364315047</v>
      </c>
    </row>
    <row r="1488" spans="1:11" x14ac:dyDescent="0.25">
      <c r="A1488" s="3">
        <v>39380</v>
      </c>
      <c r="B1488">
        <v>5333.79</v>
      </c>
      <c r="C1488">
        <f t="shared" si="88"/>
        <v>0.95450616588016124</v>
      </c>
      <c r="D1488">
        <v>1472</v>
      </c>
      <c r="E1488">
        <f t="shared" si="89"/>
        <v>0</v>
      </c>
      <c r="F1488">
        <f t="shared" si="90"/>
        <v>0</v>
      </c>
      <c r="G1488" t="str">
        <f t="shared" si="91"/>
        <v>extra</v>
      </c>
      <c r="J1488">
        <v>1457</v>
      </c>
      <c r="K1488">
        <v>0.73238983096291621</v>
      </c>
    </row>
    <row r="1489" spans="1:11" x14ac:dyDescent="0.25">
      <c r="A1489" s="3">
        <v>39379</v>
      </c>
      <c r="B1489">
        <v>5588.01</v>
      </c>
      <c r="C1489">
        <f t="shared" si="88"/>
        <v>1.0086496789763344</v>
      </c>
      <c r="D1489">
        <v>1473</v>
      </c>
      <c r="E1489">
        <f t="shared" si="89"/>
        <v>0</v>
      </c>
      <c r="F1489">
        <f t="shared" si="90"/>
        <v>0</v>
      </c>
      <c r="G1489" t="str">
        <f t="shared" si="91"/>
        <v>extra</v>
      </c>
      <c r="J1489">
        <v>1458</v>
      </c>
      <c r="K1489">
        <v>0.73249015014708496</v>
      </c>
    </row>
    <row r="1490" spans="1:11" x14ac:dyDescent="0.25">
      <c r="A1490" s="3">
        <v>39378</v>
      </c>
      <c r="B1490">
        <v>5540.09</v>
      </c>
      <c r="C1490">
        <f t="shared" ref="C1490:C1553" si="92">B1490/B1491</f>
        <v>1.0123175482578919</v>
      </c>
      <c r="D1490">
        <v>1474</v>
      </c>
      <c r="E1490">
        <f t="shared" ref="E1490:E1553" si="93">IF(D1490&gt;$B$6,0,LN(C1490))</f>
        <v>0</v>
      </c>
      <c r="F1490">
        <f t="shared" ref="F1490:F1553" si="94">IF(D1490&gt;$B$6,0,(E1490-$B$7)^2)</f>
        <v>0</v>
      </c>
      <c r="G1490" t="str">
        <f t="shared" ref="G1490:G1553" si="95">IF(D1490&lt;=$B$6,E1490,"extra")</f>
        <v>extra</v>
      </c>
      <c r="J1490">
        <v>1459</v>
      </c>
      <c r="K1490">
        <v>0.73366667465841096</v>
      </c>
    </row>
    <row r="1491" spans="1:11" x14ac:dyDescent="0.25">
      <c r="A1491" s="3">
        <v>39377</v>
      </c>
      <c r="B1491">
        <v>5472.68</v>
      </c>
      <c r="C1491">
        <f t="shared" si="92"/>
        <v>0.97481679925045328</v>
      </c>
      <c r="D1491">
        <v>1475</v>
      </c>
      <c r="E1491">
        <f t="shared" si="93"/>
        <v>0</v>
      </c>
      <c r="F1491">
        <f t="shared" si="94"/>
        <v>0</v>
      </c>
      <c r="G1491" t="str">
        <f t="shared" si="95"/>
        <v>extra</v>
      </c>
      <c r="J1491">
        <v>1460</v>
      </c>
      <c r="K1491">
        <v>0.73370324811845311</v>
      </c>
    </row>
    <row r="1492" spans="1:11" x14ac:dyDescent="0.25">
      <c r="A1492" s="3">
        <v>39374</v>
      </c>
      <c r="B1492">
        <v>5614.06</v>
      </c>
      <c r="C1492">
        <f t="shared" si="92"/>
        <v>0.99969906067755876</v>
      </c>
      <c r="D1492">
        <v>1476</v>
      </c>
      <c r="E1492">
        <f t="shared" si="93"/>
        <v>0</v>
      </c>
      <c r="F1492">
        <f t="shared" si="94"/>
        <v>0</v>
      </c>
      <c r="G1492" t="str">
        <f t="shared" si="95"/>
        <v>extra</v>
      </c>
      <c r="J1492">
        <v>1461</v>
      </c>
      <c r="K1492">
        <v>0.73379973558589717</v>
      </c>
    </row>
    <row r="1493" spans="1:11" x14ac:dyDescent="0.25">
      <c r="A1493" s="3">
        <v>39373</v>
      </c>
      <c r="B1493">
        <v>5615.75</v>
      </c>
      <c r="C1493">
        <f t="shared" si="92"/>
        <v>0.9642229212310186</v>
      </c>
      <c r="D1493">
        <v>1477</v>
      </c>
      <c r="E1493">
        <f t="shared" si="93"/>
        <v>0</v>
      </c>
      <c r="F1493">
        <f t="shared" si="94"/>
        <v>0</v>
      </c>
      <c r="G1493" t="str">
        <f t="shared" si="95"/>
        <v>extra</v>
      </c>
      <c r="J1493">
        <v>1462</v>
      </c>
      <c r="K1493">
        <v>0.73386712277938393</v>
      </c>
    </row>
    <row r="1494" spans="1:11" x14ac:dyDescent="0.25">
      <c r="A1494" s="3">
        <v>39372</v>
      </c>
      <c r="B1494">
        <v>5824.12</v>
      </c>
      <c r="C1494">
        <f t="shared" si="92"/>
        <v>0.99096848839583473</v>
      </c>
      <c r="D1494">
        <v>1478</v>
      </c>
      <c r="E1494">
        <f t="shared" si="93"/>
        <v>0</v>
      </c>
      <c r="F1494">
        <f t="shared" si="94"/>
        <v>0</v>
      </c>
      <c r="G1494" t="str">
        <f t="shared" si="95"/>
        <v>extra</v>
      </c>
      <c r="J1494">
        <v>1463</v>
      </c>
      <c r="K1494">
        <v>0.73548109466360301</v>
      </c>
    </row>
    <row r="1495" spans="1:11" x14ac:dyDescent="0.25">
      <c r="A1495" s="3">
        <v>39371</v>
      </c>
      <c r="B1495">
        <v>5877.2</v>
      </c>
      <c r="C1495">
        <f t="shared" si="92"/>
        <v>1.0095766518650851</v>
      </c>
      <c r="D1495">
        <v>1479</v>
      </c>
      <c r="E1495">
        <f t="shared" si="93"/>
        <v>0</v>
      </c>
      <c r="F1495">
        <f t="shared" si="94"/>
        <v>0</v>
      </c>
      <c r="G1495" t="str">
        <f t="shared" si="95"/>
        <v>extra</v>
      </c>
      <c r="J1495">
        <v>1464</v>
      </c>
      <c r="K1495">
        <v>0.73551187666731976</v>
      </c>
    </row>
    <row r="1496" spans="1:11" x14ac:dyDescent="0.25">
      <c r="A1496" s="3">
        <v>39370</v>
      </c>
      <c r="B1496">
        <v>5821.45</v>
      </c>
      <c r="C1496">
        <f t="shared" si="92"/>
        <v>1.0146813264961079</v>
      </c>
      <c r="D1496">
        <v>1480</v>
      </c>
      <c r="E1496">
        <f t="shared" si="93"/>
        <v>0</v>
      </c>
      <c r="F1496">
        <f t="shared" si="94"/>
        <v>0</v>
      </c>
      <c r="G1496" t="str">
        <f t="shared" si="95"/>
        <v>extra</v>
      </c>
      <c r="J1496">
        <v>1465</v>
      </c>
      <c r="K1496">
        <v>0.73554930061455226</v>
      </c>
    </row>
    <row r="1497" spans="1:11" x14ac:dyDescent="0.25">
      <c r="A1497" s="3">
        <v>39367</v>
      </c>
      <c r="B1497">
        <v>5737.22</v>
      </c>
      <c r="C1497">
        <f t="shared" si="92"/>
        <v>0.99603130512076232</v>
      </c>
      <c r="D1497">
        <v>1481</v>
      </c>
      <c r="E1497">
        <f t="shared" si="93"/>
        <v>0</v>
      </c>
      <c r="F1497">
        <f t="shared" si="94"/>
        <v>0</v>
      </c>
      <c r="G1497" t="str">
        <f t="shared" si="95"/>
        <v>extra</v>
      </c>
      <c r="J1497">
        <v>1466</v>
      </c>
      <c r="K1497">
        <v>0.73582727034420392</v>
      </c>
    </row>
    <row r="1498" spans="1:11" x14ac:dyDescent="0.25">
      <c r="A1498" s="3">
        <v>39366</v>
      </c>
      <c r="B1498">
        <v>5760.08</v>
      </c>
      <c r="C1498">
        <f t="shared" si="92"/>
        <v>1.0130712516884286</v>
      </c>
      <c r="D1498">
        <v>1482</v>
      </c>
      <c r="E1498">
        <f t="shared" si="93"/>
        <v>0</v>
      </c>
      <c r="F1498">
        <f t="shared" si="94"/>
        <v>0</v>
      </c>
      <c r="G1498" t="str">
        <f t="shared" si="95"/>
        <v>extra</v>
      </c>
      <c r="J1498">
        <v>1467</v>
      </c>
      <c r="K1498">
        <v>0.73619627348500394</v>
      </c>
    </row>
    <row r="1499" spans="1:11" x14ac:dyDescent="0.25">
      <c r="A1499" s="3">
        <v>39365</v>
      </c>
      <c r="B1499">
        <v>5685.76</v>
      </c>
      <c r="C1499">
        <f t="shared" si="92"/>
        <v>1.0017318747764683</v>
      </c>
      <c r="D1499">
        <v>1483</v>
      </c>
      <c r="E1499">
        <f t="shared" si="93"/>
        <v>0</v>
      </c>
      <c r="F1499">
        <f t="shared" si="94"/>
        <v>0</v>
      </c>
      <c r="G1499" t="str">
        <f t="shared" si="95"/>
        <v>extra</v>
      </c>
      <c r="J1499">
        <v>1468</v>
      </c>
      <c r="K1499">
        <v>0.73633220323288218</v>
      </c>
    </row>
    <row r="1500" spans="1:11" x14ac:dyDescent="0.25">
      <c r="A1500" s="3">
        <v>39364</v>
      </c>
      <c r="B1500">
        <v>5675.93</v>
      </c>
      <c r="C1500">
        <f t="shared" si="92"/>
        <v>1.0040313878658587</v>
      </c>
      <c r="D1500">
        <v>1484</v>
      </c>
      <c r="E1500">
        <f t="shared" si="93"/>
        <v>0</v>
      </c>
      <c r="F1500">
        <f t="shared" si="94"/>
        <v>0</v>
      </c>
      <c r="G1500" t="str">
        <f t="shared" si="95"/>
        <v>extra</v>
      </c>
      <c r="J1500">
        <v>1469</v>
      </c>
      <c r="K1500">
        <v>0.73652801474322871</v>
      </c>
    </row>
    <row r="1501" spans="1:11" x14ac:dyDescent="0.25">
      <c r="A1501" s="3">
        <v>39363</v>
      </c>
      <c r="B1501">
        <v>5653.14</v>
      </c>
      <c r="C1501">
        <f t="shared" si="92"/>
        <v>1.0129604842307838</v>
      </c>
      <c r="D1501">
        <v>1485</v>
      </c>
      <c r="E1501">
        <f t="shared" si="93"/>
        <v>0</v>
      </c>
      <c r="F1501">
        <f t="shared" si="94"/>
        <v>0</v>
      </c>
      <c r="G1501" t="str">
        <f t="shared" si="95"/>
        <v>extra</v>
      </c>
      <c r="J1501">
        <v>1470</v>
      </c>
      <c r="K1501">
        <v>0.73671010429437533</v>
      </c>
    </row>
    <row r="1502" spans="1:11" x14ac:dyDescent="0.25">
      <c r="A1502" s="3">
        <v>39353</v>
      </c>
      <c r="B1502">
        <v>5580.81</v>
      </c>
      <c r="C1502">
        <f t="shared" si="92"/>
        <v>1.0282165795204565</v>
      </c>
      <c r="D1502">
        <v>1486</v>
      </c>
      <c r="E1502">
        <f t="shared" si="93"/>
        <v>0</v>
      </c>
      <c r="F1502">
        <f t="shared" si="94"/>
        <v>0</v>
      </c>
      <c r="G1502" t="str">
        <f t="shared" si="95"/>
        <v>extra</v>
      </c>
      <c r="J1502">
        <v>1471</v>
      </c>
      <c r="K1502">
        <v>0.73702099163654533</v>
      </c>
    </row>
    <row r="1503" spans="1:11" x14ac:dyDescent="0.25">
      <c r="A1503" s="3">
        <v>39352</v>
      </c>
      <c r="B1503">
        <v>5427.66</v>
      </c>
      <c r="C1503">
        <f t="shared" si="92"/>
        <v>1.0124304703209464</v>
      </c>
      <c r="D1503">
        <v>1487</v>
      </c>
      <c r="E1503">
        <f t="shared" si="93"/>
        <v>0</v>
      </c>
      <c r="F1503">
        <f t="shared" si="94"/>
        <v>0</v>
      </c>
      <c r="G1503" t="str">
        <f t="shared" si="95"/>
        <v>extra</v>
      </c>
      <c r="J1503">
        <v>1472</v>
      </c>
      <c r="K1503">
        <v>0.7371174333970606</v>
      </c>
    </row>
    <row r="1504" spans="1:11" x14ac:dyDescent="0.25">
      <c r="A1504" s="3">
        <v>39351</v>
      </c>
      <c r="B1504">
        <v>5361.02</v>
      </c>
      <c r="C1504">
        <f t="shared" si="92"/>
        <v>0.98284023451679503</v>
      </c>
      <c r="D1504">
        <v>1488</v>
      </c>
      <c r="E1504">
        <f t="shared" si="93"/>
        <v>0</v>
      </c>
      <c r="F1504">
        <f t="shared" si="94"/>
        <v>0</v>
      </c>
      <c r="G1504" t="str">
        <f t="shared" si="95"/>
        <v>extra</v>
      </c>
      <c r="J1504">
        <v>1473</v>
      </c>
      <c r="K1504">
        <v>0.73855225367691024</v>
      </c>
    </row>
    <row r="1505" spans="1:11" x14ac:dyDescent="0.25">
      <c r="A1505" s="3">
        <v>39350</v>
      </c>
      <c r="B1505">
        <v>5454.62</v>
      </c>
      <c r="C1505">
        <f t="shared" si="92"/>
        <v>0.98924898891891411</v>
      </c>
      <c r="D1505">
        <v>1489</v>
      </c>
      <c r="E1505">
        <f t="shared" si="93"/>
        <v>0</v>
      </c>
      <c r="F1505">
        <f t="shared" si="94"/>
        <v>0</v>
      </c>
      <c r="G1505" t="str">
        <f t="shared" si="95"/>
        <v>extra</v>
      </c>
      <c r="J1505">
        <v>1474</v>
      </c>
      <c r="K1505">
        <v>0.73860926015529482</v>
      </c>
    </row>
    <row r="1506" spans="1:11" x14ac:dyDescent="0.25">
      <c r="A1506" s="3">
        <v>39349</v>
      </c>
      <c r="B1506">
        <v>5513.9</v>
      </c>
      <c r="C1506">
        <f t="shared" si="92"/>
        <v>1.0083758526727746</v>
      </c>
      <c r="D1506">
        <v>1490</v>
      </c>
      <c r="E1506">
        <f t="shared" si="93"/>
        <v>0</v>
      </c>
      <c r="F1506">
        <f t="shared" si="94"/>
        <v>0</v>
      </c>
      <c r="G1506" t="str">
        <f t="shared" si="95"/>
        <v>extra</v>
      </c>
      <c r="J1506">
        <v>1475</v>
      </c>
      <c r="K1506">
        <v>0.73872031987882558</v>
      </c>
    </row>
    <row r="1507" spans="1:11" x14ac:dyDescent="0.25">
      <c r="A1507" s="3">
        <v>39346</v>
      </c>
      <c r="B1507">
        <v>5468.1</v>
      </c>
      <c r="C1507">
        <f t="shared" si="92"/>
        <v>0.99511912821296766</v>
      </c>
      <c r="D1507">
        <v>1491</v>
      </c>
      <c r="E1507">
        <f t="shared" si="93"/>
        <v>0</v>
      </c>
      <c r="F1507">
        <f t="shared" si="94"/>
        <v>0</v>
      </c>
      <c r="G1507" t="str">
        <f t="shared" si="95"/>
        <v>extra</v>
      </c>
      <c r="J1507">
        <v>1476</v>
      </c>
      <c r="K1507">
        <v>0.73914089067118094</v>
      </c>
    </row>
    <row r="1508" spans="1:11" x14ac:dyDescent="0.25">
      <c r="A1508" s="3">
        <v>39345</v>
      </c>
      <c r="B1508">
        <v>5494.92</v>
      </c>
      <c r="C1508">
        <f t="shared" si="92"/>
        <v>1.0139594447222595</v>
      </c>
      <c r="D1508">
        <v>1492</v>
      </c>
      <c r="E1508">
        <f t="shared" si="93"/>
        <v>0</v>
      </c>
      <c r="F1508">
        <f t="shared" si="94"/>
        <v>0</v>
      </c>
      <c r="G1508" t="str">
        <f t="shared" si="95"/>
        <v>extra</v>
      </c>
      <c r="J1508">
        <v>1477</v>
      </c>
      <c r="K1508">
        <v>0.73914060778617874</v>
      </c>
    </row>
    <row r="1509" spans="1:11" x14ac:dyDescent="0.25">
      <c r="A1509" s="3">
        <v>39344</v>
      </c>
      <c r="B1509">
        <v>5419.27</v>
      </c>
      <c r="C1509">
        <f t="shared" si="92"/>
        <v>0.98948846415086078</v>
      </c>
      <c r="D1509">
        <v>1493</v>
      </c>
      <c r="E1509">
        <f t="shared" si="93"/>
        <v>0</v>
      </c>
      <c r="F1509">
        <f t="shared" si="94"/>
        <v>0</v>
      </c>
      <c r="G1509" t="str">
        <f t="shared" si="95"/>
        <v>extra</v>
      </c>
      <c r="J1509">
        <v>1478</v>
      </c>
      <c r="K1509">
        <v>0.74000939861113313</v>
      </c>
    </row>
    <row r="1510" spans="1:11" x14ac:dyDescent="0.25">
      <c r="A1510" s="3">
        <v>39343</v>
      </c>
      <c r="B1510">
        <v>5476.84</v>
      </c>
      <c r="C1510">
        <f t="shared" si="92"/>
        <v>0.99598647732005074</v>
      </c>
      <c r="D1510">
        <v>1494</v>
      </c>
      <c r="E1510">
        <f t="shared" si="93"/>
        <v>0</v>
      </c>
      <c r="F1510">
        <f t="shared" si="94"/>
        <v>0</v>
      </c>
      <c r="G1510" t="str">
        <f t="shared" si="95"/>
        <v>extra</v>
      </c>
      <c r="J1510">
        <v>1479</v>
      </c>
      <c r="K1510">
        <v>0.740057429563999</v>
      </c>
    </row>
    <row r="1511" spans="1:11" x14ac:dyDescent="0.25">
      <c r="A1511" s="3">
        <v>39342</v>
      </c>
      <c r="B1511">
        <v>5498.91</v>
      </c>
      <c r="C1511">
        <f t="shared" si="92"/>
        <v>1.0188298550380932</v>
      </c>
      <c r="D1511">
        <v>1495</v>
      </c>
      <c r="E1511">
        <f t="shared" si="93"/>
        <v>0</v>
      </c>
      <c r="F1511">
        <f t="shared" si="94"/>
        <v>0</v>
      </c>
      <c r="G1511" t="str">
        <f t="shared" si="95"/>
        <v>extra</v>
      </c>
      <c r="J1511">
        <v>1480</v>
      </c>
      <c r="K1511">
        <v>0.74012675408478712</v>
      </c>
    </row>
    <row r="1512" spans="1:11" x14ac:dyDescent="0.25">
      <c r="A1512" s="3">
        <v>39339</v>
      </c>
      <c r="B1512">
        <v>5397.28</v>
      </c>
      <c r="C1512">
        <f t="shared" si="92"/>
        <v>1.0088430402413471</v>
      </c>
      <c r="D1512">
        <v>1496</v>
      </c>
      <c r="E1512">
        <f t="shared" si="93"/>
        <v>0</v>
      </c>
      <c r="F1512">
        <f t="shared" si="94"/>
        <v>0</v>
      </c>
      <c r="G1512" t="str">
        <f t="shared" si="95"/>
        <v>extra</v>
      </c>
      <c r="J1512">
        <v>1481</v>
      </c>
      <c r="K1512">
        <v>0.74028233442489511</v>
      </c>
    </row>
    <row r="1513" spans="1:11" x14ac:dyDescent="0.25">
      <c r="A1513" s="3">
        <v>39338</v>
      </c>
      <c r="B1513">
        <v>5349.97</v>
      </c>
      <c r="C1513">
        <f t="shared" si="92"/>
        <v>1.0282748334569833</v>
      </c>
      <c r="D1513">
        <v>1497</v>
      </c>
      <c r="E1513">
        <f t="shared" si="93"/>
        <v>0</v>
      </c>
      <c r="F1513">
        <f t="shared" si="94"/>
        <v>0</v>
      </c>
      <c r="G1513" t="str">
        <f t="shared" si="95"/>
        <v>extra</v>
      </c>
      <c r="J1513">
        <v>1482</v>
      </c>
      <c r="K1513">
        <v>0.74028968943999263</v>
      </c>
    </row>
    <row r="1514" spans="1:11" x14ac:dyDescent="0.25">
      <c r="A1514" s="3">
        <v>39337</v>
      </c>
      <c r="B1514">
        <v>5202.8599999999997</v>
      </c>
      <c r="C1514">
        <f t="shared" si="92"/>
        <v>1.0153724856511106</v>
      </c>
      <c r="D1514">
        <v>1498</v>
      </c>
      <c r="E1514">
        <f t="shared" si="93"/>
        <v>0</v>
      </c>
      <c r="F1514">
        <f t="shared" si="94"/>
        <v>0</v>
      </c>
      <c r="G1514" t="str">
        <f t="shared" si="95"/>
        <v>extra</v>
      </c>
      <c r="J1514">
        <v>1483</v>
      </c>
      <c r="K1514">
        <v>0.74041419767355454</v>
      </c>
    </row>
    <row r="1515" spans="1:11" x14ac:dyDescent="0.25">
      <c r="A1515" s="3">
        <v>39336</v>
      </c>
      <c r="B1515">
        <v>5124.09</v>
      </c>
      <c r="C1515">
        <f t="shared" si="92"/>
        <v>0.95292548937927035</v>
      </c>
      <c r="D1515">
        <v>1499</v>
      </c>
      <c r="E1515">
        <f t="shared" si="93"/>
        <v>0</v>
      </c>
      <c r="F1515">
        <f t="shared" si="94"/>
        <v>0</v>
      </c>
      <c r="G1515" t="str">
        <f t="shared" si="95"/>
        <v>extra</v>
      </c>
      <c r="J1515">
        <v>1484</v>
      </c>
      <c r="K1515">
        <v>0.74041751790314181</v>
      </c>
    </row>
    <row r="1516" spans="1:11" x14ac:dyDescent="0.25">
      <c r="A1516" s="3">
        <v>39335</v>
      </c>
      <c r="B1516">
        <v>5377.22</v>
      </c>
      <c r="C1516">
        <f t="shared" si="92"/>
        <v>1.0155662159099494</v>
      </c>
      <c r="D1516">
        <v>1500</v>
      </c>
      <c r="E1516">
        <f t="shared" si="93"/>
        <v>0</v>
      </c>
      <c r="F1516">
        <f t="shared" si="94"/>
        <v>0</v>
      </c>
      <c r="G1516" t="str">
        <f t="shared" si="95"/>
        <v>extra</v>
      </c>
      <c r="J1516">
        <v>1485</v>
      </c>
      <c r="K1516">
        <v>0.74043159040245132</v>
      </c>
    </row>
    <row r="1517" spans="1:11" x14ac:dyDescent="0.25">
      <c r="A1517" s="3">
        <v>39332</v>
      </c>
      <c r="B1517">
        <v>5294.8</v>
      </c>
      <c r="C1517">
        <f t="shared" si="92"/>
        <v>0.9783371889343021</v>
      </c>
      <c r="D1517">
        <v>1501</v>
      </c>
      <c r="E1517">
        <f t="shared" si="93"/>
        <v>0</v>
      </c>
      <c r="F1517">
        <f t="shared" si="94"/>
        <v>0</v>
      </c>
      <c r="G1517" t="str">
        <f t="shared" si="95"/>
        <v>extra</v>
      </c>
      <c r="J1517">
        <v>1486</v>
      </c>
      <c r="K1517">
        <v>0.74055382350993115</v>
      </c>
    </row>
    <row r="1518" spans="1:11" x14ac:dyDescent="0.25">
      <c r="A1518" s="3">
        <v>39331</v>
      </c>
      <c r="B1518">
        <v>5412.04</v>
      </c>
      <c r="C1518">
        <f t="shared" si="92"/>
        <v>1.0090970959772525</v>
      </c>
      <c r="D1518">
        <v>1502</v>
      </c>
      <c r="E1518">
        <f t="shared" si="93"/>
        <v>0</v>
      </c>
      <c r="F1518">
        <f t="shared" si="94"/>
        <v>0</v>
      </c>
      <c r="G1518" t="str">
        <f t="shared" si="95"/>
        <v>extra</v>
      </c>
      <c r="J1518">
        <v>1487</v>
      </c>
      <c r="K1518">
        <v>0.74109852855001668</v>
      </c>
    </row>
    <row r="1519" spans="1:11" x14ac:dyDescent="0.25">
      <c r="A1519" s="3">
        <v>39330</v>
      </c>
      <c r="B1519">
        <v>5363.25</v>
      </c>
      <c r="C1519">
        <f t="shared" si="92"/>
        <v>1.0005447425811471</v>
      </c>
      <c r="D1519">
        <v>1503</v>
      </c>
      <c r="E1519">
        <f t="shared" si="93"/>
        <v>0</v>
      </c>
      <c r="F1519">
        <f t="shared" si="94"/>
        <v>0</v>
      </c>
      <c r="G1519" t="str">
        <f t="shared" si="95"/>
        <v>extra</v>
      </c>
      <c r="J1519">
        <v>1488</v>
      </c>
      <c r="K1519">
        <v>0.74121082823156115</v>
      </c>
    </row>
    <row r="1520" spans="1:11" x14ac:dyDescent="0.25">
      <c r="A1520" s="3">
        <v>39329</v>
      </c>
      <c r="B1520">
        <v>5360.33</v>
      </c>
      <c r="C1520">
        <f t="shared" si="92"/>
        <v>0.98914224872074508</v>
      </c>
      <c r="D1520">
        <v>1504</v>
      </c>
      <c r="E1520">
        <f t="shared" si="93"/>
        <v>0</v>
      </c>
      <c r="F1520">
        <f t="shared" si="94"/>
        <v>0</v>
      </c>
      <c r="G1520" t="str">
        <f t="shared" si="95"/>
        <v>extra</v>
      </c>
      <c r="J1520">
        <v>1489</v>
      </c>
      <c r="K1520">
        <v>0.74139995260791591</v>
      </c>
    </row>
    <row r="1521" spans="1:11" x14ac:dyDescent="0.25">
      <c r="A1521" s="3">
        <v>39328</v>
      </c>
      <c r="B1521">
        <v>5419.17</v>
      </c>
      <c r="C1521">
        <f t="shared" si="92"/>
        <v>1.023100696456924</v>
      </c>
      <c r="D1521">
        <v>1505</v>
      </c>
      <c r="E1521">
        <f t="shared" si="93"/>
        <v>0</v>
      </c>
      <c r="F1521">
        <f t="shared" si="94"/>
        <v>0</v>
      </c>
      <c r="G1521" t="str">
        <f t="shared" si="95"/>
        <v>extra</v>
      </c>
      <c r="J1521">
        <v>1490</v>
      </c>
      <c r="K1521">
        <v>0.74147042697296084</v>
      </c>
    </row>
    <row r="1522" spans="1:11" x14ac:dyDescent="0.25">
      <c r="A1522" s="3">
        <v>39325</v>
      </c>
      <c r="B1522">
        <v>5296.81</v>
      </c>
      <c r="C1522">
        <f t="shared" si="92"/>
        <v>1.0106043810326968</v>
      </c>
      <c r="D1522">
        <v>1506</v>
      </c>
      <c r="E1522">
        <f t="shared" si="93"/>
        <v>0</v>
      </c>
      <c r="F1522">
        <f t="shared" si="94"/>
        <v>0</v>
      </c>
      <c r="G1522" t="str">
        <f t="shared" si="95"/>
        <v>extra</v>
      </c>
      <c r="J1522">
        <v>1491</v>
      </c>
      <c r="K1522">
        <v>0.74152370350497399</v>
      </c>
    </row>
    <row r="1523" spans="1:11" x14ac:dyDescent="0.25">
      <c r="A1523" s="3">
        <v>39324</v>
      </c>
      <c r="B1523">
        <v>5241.2299999999996</v>
      </c>
      <c r="C1523">
        <f t="shared" si="92"/>
        <v>1.0134208073753532</v>
      </c>
      <c r="D1523">
        <v>1507</v>
      </c>
      <c r="E1523">
        <f t="shared" si="93"/>
        <v>0</v>
      </c>
      <c r="F1523">
        <f t="shared" si="94"/>
        <v>0</v>
      </c>
      <c r="G1523" t="str">
        <f t="shared" si="95"/>
        <v>extra</v>
      </c>
      <c r="J1523">
        <v>1492</v>
      </c>
      <c r="K1523">
        <v>0.74153599829333361</v>
      </c>
    </row>
    <row r="1524" spans="1:11" x14ac:dyDescent="0.25">
      <c r="A1524" s="3">
        <v>39323</v>
      </c>
      <c r="B1524">
        <v>5171.82</v>
      </c>
      <c r="C1524">
        <f t="shared" si="92"/>
        <v>0.98477656104513323</v>
      </c>
      <c r="D1524">
        <v>1508</v>
      </c>
      <c r="E1524">
        <f t="shared" si="93"/>
        <v>0</v>
      </c>
      <c r="F1524">
        <f t="shared" si="94"/>
        <v>0</v>
      </c>
      <c r="G1524" t="str">
        <f t="shared" si="95"/>
        <v>extra</v>
      </c>
      <c r="J1524">
        <v>1493</v>
      </c>
      <c r="K1524">
        <v>0.74167619344709135</v>
      </c>
    </row>
    <row r="1525" spans="1:11" x14ac:dyDescent="0.25">
      <c r="A1525" s="3">
        <v>39322</v>
      </c>
      <c r="B1525">
        <v>5251.77</v>
      </c>
      <c r="C1525">
        <f t="shared" si="92"/>
        <v>1.0016440498555259</v>
      </c>
      <c r="D1525">
        <v>1509</v>
      </c>
      <c r="E1525">
        <f t="shared" si="93"/>
        <v>0</v>
      </c>
      <c r="F1525">
        <f t="shared" si="94"/>
        <v>0</v>
      </c>
      <c r="G1525" t="str">
        <f t="shared" si="95"/>
        <v>extra</v>
      </c>
      <c r="J1525">
        <v>1494</v>
      </c>
      <c r="K1525">
        <v>0.7417434168440894</v>
      </c>
    </row>
    <row r="1526" spans="1:11" x14ac:dyDescent="0.25">
      <c r="A1526" s="3">
        <v>39321</v>
      </c>
      <c r="B1526">
        <v>5243.15</v>
      </c>
      <c r="C1526">
        <f t="shared" si="92"/>
        <v>1.0049007394232574</v>
      </c>
      <c r="D1526">
        <v>1510</v>
      </c>
      <c r="E1526">
        <f t="shared" si="93"/>
        <v>0</v>
      </c>
      <c r="F1526">
        <f t="shared" si="94"/>
        <v>0</v>
      </c>
      <c r="G1526" t="str">
        <f t="shared" si="95"/>
        <v>extra</v>
      </c>
      <c r="J1526">
        <v>1495</v>
      </c>
      <c r="K1526">
        <v>0.74175113665342607</v>
      </c>
    </row>
    <row r="1527" spans="1:11" x14ac:dyDescent="0.25">
      <c r="A1527" s="3">
        <v>39318</v>
      </c>
      <c r="B1527">
        <v>5217.58</v>
      </c>
      <c r="C1527">
        <f t="shared" si="92"/>
        <v>1.0158978023454368</v>
      </c>
      <c r="D1527">
        <v>1511</v>
      </c>
      <c r="E1527">
        <f t="shared" si="93"/>
        <v>0</v>
      </c>
      <c r="F1527">
        <f t="shared" si="94"/>
        <v>0</v>
      </c>
      <c r="G1527" t="str">
        <f t="shared" si="95"/>
        <v>extra</v>
      </c>
      <c r="J1527">
        <v>1496</v>
      </c>
      <c r="K1527">
        <v>0.74200003352591026</v>
      </c>
    </row>
    <row r="1528" spans="1:11" x14ac:dyDescent="0.25">
      <c r="A1528" s="3">
        <v>39317</v>
      </c>
      <c r="B1528">
        <v>5135.93</v>
      </c>
      <c r="C1528">
        <f t="shared" si="92"/>
        <v>1.0166756075689523</v>
      </c>
      <c r="D1528">
        <v>1512</v>
      </c>
      <c r="E1528">
        <f t="shared" si="93"/>
        <v>0</v>
      </c>
      <c r="F1528">
        <f t="shared" si="94"/>
        <v>0</v>
      </c>
      <c r="G1528" t="str">
        <f t="shared" si="95"/>
        <v>extra</v>
      </c>
      <c r="J1528">
        <v>1497</v>
      </c>
      <c r="K1528">
        <v>0.74205877672508402</v>
      </c>
    </row>
    <row r="1529" spans="1:11" x14ac:dyDescent="0.25">
      <c r="A1529" s="3">
        <v>39316</v>
      </c>
      <c r="B1529">
        <v>5051.6899999999996</v>
      </c>
      <c r="C1529">
        <f t="shared" si="92"/>
        <v>1.0158826877095184</v>
      </c>
      <c r="D1529">
        <v>1513</v>
      </c>
      <c r="E1529">
        <f t="shared" si="93"/>
        <v>0</v>
      </c>
      <c r="F1529">
        <f t="shared" si="94"/>
        <v>0</v>
      </c>
      <c r="G1529" t="str">
        <f t="shared" si="95"/>
        <v>extra</v>
      </c>
      <c r="J1529">
        <v>1498</v>
      </c>
      <c r="K1529">
        <v>0.74260330304329725</v>
      </c>
    </row>
    <row r="1530" spans="1:11" x14ac:dyDescent="0.25">
      <c r="A1530" s="3">
        <v>39315</v>
      </c>
      <c r="B1530">
        <v>4972.71</v>
      </c>
      <c r="C1530">
        <f t="shared" si="92"/>
        <v>1.0178653670198938</v>
      </c>
      <c r="D1530">
        <v>1514</v>
      </c>
      <c r="E1530">
        <f t="shared" si="93"/>
        <v>0</v>
      </c>
      <c r="F1530">
        <f t="shared" si="94"/>
        <v>0</v>
      </c>
      <c r="G1530" t="str">
        <f t="shared" si="95"/>
        <v>extra</v>
      </c>
      <c r="J1530">
        <v>1499</v>
      </c>
      <c r="K1530">
        <v>0.7427708567788075</v>
      </c>
    </row>
    <row r="1531" spans="1:11" x14ac:dyDescent="0.25">
      <c r="A1531" s="3">
        <v>39314</v>
      </c>
      <c r="B1531">
        <v>4885.43</v>
      </c>
      <c r="C1531">
        <f t="shared" si="92"/>
        <v>1.0559484543658599</v>
      </c>
      <c r="D1531">
        <v>1515</v>
      </c>
      <c r="E1531">
        <f t="shared" si="93"/>
        <v>0</v>
      </c>
      <c r="F1531">
        <f t="shared" si="94"/>
        <v>0</v>
      </c>
      <c r="G1531" t="str">
        <f t="shared" si="95"/>
        <v>extra</v>
      </c>
      <c r="J1531">
        <v>1500</v>
      </c>
      <c r="K1531">
        <v>0.74430149001225376</v>
      </c>
    </row>
    <row r="1532" spans="1:11" x14ac:dyDescent="0.25">
      <c r="A1532" s="3">
        <v>39311</v>
      </c>
      <c r="B1532">
        <v>4626.58</v>
      </c>
      <c r="C1532">
        <f t="shared" si="92"/>
        <v>0.97980491069348619</v>
      </c>
      <c r="D1532">
        <v>1516</v>
      </c>
      <c r="E1532">
        <f t="shared" si="93"/>
        <v>0</v>
      </c>
      <c r="F1532">
        <f t="shared" si="94"/>
        <v>0</v>
      </c>
      <c r="G1532" t="str">
        <f t="shared" si="95"/>
        <v>extra</v>
      </c>
      <c r="J1532">
        <v>1501</v>
      </c>
      <c r="K1532">
        <v>0.74447319066680828</v>
      </c>
    </row>
    <row r="1533" spans="1:11" x14ac:dyDescent="0.25">
      <c r="A1533" s="3">
        <v>39310</v>
      </c>
      <c r="B1533">
        <v>4721.9399999999996</v>
      </c>
      <c r="C1533">
        <f t="shared" si="92"/>
        <v>0.98399374837197173</v>
      </c>
      <c r="D1533">
        <v>1517</v>
      </c>
      <c r="E1533">
        <f t="shared" si="93"/>
        <v>0</v>
      </c>
      <c r="F1533">
        <f t="shared" si="94"/>
        <v>0</v>
      </c>
      <c r="G1533" t="str">
        <f t="shared" si="95"/>
        <v>extra</v>
      </c>
      <c r="J1533">
        <v>1502</v>
      </c>
      <c r="K1533">
        <v>0.74477941305634388</v>
      </c>
    </row>
    <row r="1534" spans="1:11" x14ac:dyDescent="0.25">
      <c r="A1534" s="3">
        <v>39309</v>
      </c>
      <c r="B1534">
        <v>4798.75</v>
      </c>
      <c r="C1534">
        <f t="shared" si="92"/>
        <v>1.0006631119971141</v>
      </c>
      <c r="D1534">
        <v>1518</v>
      </c>
      <c r="E1534">
        <f t="shared" si="93"/>
        <v>0</v>
      </c>
      <c r="F1534">
        <f t="shared" si="94"/>
        <v>0</v>
      </c>
      <c r="G1534" t="str">
        <f t="shared" si="95"/>
        <v>extra</v>
      </c>
      <c r="J1534">
        <v>1503</v>
      </c>
      <c r="K1534">
        <v>0.74484114080997876</v>
      </c>
    </row>
    <row r="1535" spans="1:11" x14ac:dyDescent="0.25">
      <c r="A1535" s="3">
        <v>39308</v>
      </c>
      <c r="B1535">
        <v>4795.57</v>
      </c>
      <c r="C1535">
        <f t="shared" si="92"/>
        <v>1.0157545025724446</v>
      </c>
      <c r="D1535">
        <v>1519</v>
      </c>
      <c r="E1535">
        <f t="shared" si="93"/>
        <v>0</v>
      </c>
      <c r="F1535">
        <f t="shared" si="94"/>
        <v>0</v>
      </c>
      <c r="G1535" t="str">
        <f t="shared" si="95"/>
        <v>extra</v>
      </c>
      <c r="J1535">
        <v>1504</v>
      </c>
      <c r="K1535">
        <v>0.74484161446613351</v>
      </c>
    </row>
    <row r="1536" spans="1:11" x14ac:dyDescent="0.25">
      <c r="A1536" s="3">
        <v>39307</v>
      </c>
      <c r="B1536">
        <v>4721.1899999999996</v>
      </c>
      <c r="C1536">
        <f t="shared" si="92"/>
        <v>0.99883850821295272</v>
      </c>
      <c r="D1536">
        <v>1520</v>
      </c>
      <c r="E1536">
        <f t="shared" si="93"/>
        <v>0</v>
      </c>
      <c r="F1536">
        <f t="shared" si="94"/>
        <v>0</v>
      </c>
      <c r="G1536" t="str">
        <f t="shared" si="95"/>
        <v>extra</v>
      </c>
      <c r="J1536">
        <v>1505</v>
      </c>
      <c r="K1536">
        <v>0.74491349901579729</v>
      </c>
    </row>
    <row r="1537" spans="1:11" x14ac:dyDescent="0.25">
      <c r="A1537" s="3">
        <v>39304</v>
      </c>
      <c r="B1537">
        <v>4726.68</v>
      </c>
      <c r="C1537">
        <f t="shared" si="92"/>
        <v>0.98940612774187886</v>
      </c>
      <c r="D1537">
        <v>1521</v>
      </c>
      <c r="E1537">
        <f t="shared" si="93"/>
        <v>0</v>
      </c>
      <c r="F1537">
        <f t="shared" si="94"/>
        <v>0</v>
      </c>
      <c r="G1537" t="str">
        <f t="shared" si="95"/>
        <v>extra</v>
      </c>
      <c r="J1537">
        <v>1506</v>
      </c>
      <c r="K1537">
        <v>0.74528064394976723</v>
      </c>
    </row>
    <row r="1538" spans="1:11" x14ac:dyDescent="0.25">
      <c r="A1538" s="3">
        <v>39303</v>
      </c>
      <c r="B1538">
        <v>4777.29</v>
      </c>
      <c r="C1538">
        <f t="shared" si="92"/>
        <v>1.0233928651761213</v>
      </c>
      <c r="D1538">
        <v>1522</v>
      </c>
      <c r="E1538">
        <f t="shared" si="93"/>
        <v>0</v>
      </c>
      <c r="F1538">
        <f t="shared" si="94"/>
        <v>0</v>
      </c>
      <c r="G1538" t="str">
        <f t="shared" si="95"/>
        <v>extra</v>
      </c>
      <c r="J1538">
        <v>1507</v>
      </c>
      <c r="K1538">
        <v>0.74536285186865292</v>
      </c>
    </row>
    <row r="1539" spans="1:11" x14ac:dyDescent="0.25">
      <c r="A1539" s="3">
        <v>39302</v>
      </c>
      <c r="B1539">
        <v>4668.09</v>
      </c>
      <c r="C1539">
        <f t="shared" si="92"/>
        <v>0.98804965552274815</v>
      </c>
      <c r="D1539">
        <v>1523</v>
      </c>
      <c r="E1539">
        <f t="shared" si="93"/>
        <v>0</v>
      </c>
      <c r="F1539">
        <f t="shared" si="94"/>
        <v>0</v>
      </c>
      <c r="G1539" t="str">
        <f t="shared" si="95"/>
        <v>extra</v>
      </c>
      <c r="J1539">
        <v>1508</v>
      </c>
      <c r="K1539">
        <v>0.74549153487363251</v>
      </c>
    </row>
    <row r="1540" spans="1:11" x14ac:dyDescent="0.25">
      <c r="A1540" s="3">
        <v>39301</v>
      </c>
      <c r="B1540">
        <v>4724.55</v>
      </c>
      <c r="C1540">
        <f t="shared" si="92"/>
        <v>1.0043728927418911</v>
      </c>
      <c r="D1540">
        <v>1524</v>
      </c>
      <c r="E1540">
        <f t="shared" si="93"/>
        <v>0</v>
      </c>
      <c r="F1540">
        <f t="shared" si="94"/>
        <v>0</v>
      </c>
      <c r="G1540" t="str">
        <f t="shared" si="95"/>
        <v>extra</v>
      </c>
      <c r="J1540">
        <v>1509</v>
      </c>
      <c r="K1540">
        <v>0.74563854304382227</v>
      </c>
    </row>
    <row r="1541" spans="1:11" x14ac:dyDescent="0.25">
      <c r="A1541" s="3">
        <v>39300</v>
      </c>
      <c r="B1541">
        <v>4703.9799999999996</v>
      </c>
      <c r="C1541">
        <f t="shared" si="92"/>
        <v>1.0229646092754403</v>
      </c>
      <c r="D1541">
        <v>1525</v>
      </c>
      <c r="E1541">
        <f t="shared" si="93"/>
        <v>0</v>
      </c>
      <c r="F1541">
        <f t="shared" si="94"/>
        <v>0</v>
      </c>
      <c r="G1541" t="str">
        <f t="shared" si="95"/>
        <v>extra</v>
      </c>
      <c r="J1541">
        <v>1510</v>
      </c>
      <c r="K1541">
        <v>0.74564139185585976</v>
      </c>
    </row>
    <row r="1542" spans="1:11" x14ac:dyDescent="0.25">
      <c r="A1542" s="3">
        <v>39297</v>
      </c>
      <c r="B1542">
        <v>4598.38</v>
      </c>
      <c r="C1542">
        <f t="shared" si="92"/>
        <v>1.0365606522714312</v>
      </c>
      <c r="D1542">
        <v>1526</v>
      </c>
      <c r="E1542">
        <f t="shared" si="93"/>
        <v>0</v>
      </c>
      <c r="F1542">
        <f t="shared" si="94"/>
        <v>0</v>
      </c>
      <c r="G1542" t="str">
        <f t="shared" si="95"/>
        <v>extra</v>
      </c>
      <c r="J1542">
        <v>1511</v>
      </c>
      <c r="K1542">
        <v>0.7456607789058789</v>
      </c>
    </row>
    <row r="1543" spans="1:11" x14ac:dyDescent="0.25">
      <c r="A1543" s="3">
        <v>39296</v>
      </c>
      <c r="B1543">
        <v>4436.1899999999996</v>
      </c>
      <c r="C1543">
        <f t="shared" si="92"/>
        <v>1.0339612351065615</v>
      </c>
      <c r="D1543">
        <v>1527</v>
      </c>
      <c r="E1543">
        <f t="shared" si="93"/>
        <v>0</v>
      </c>
      <c r="F1543">
        <f t="shared" si="94"/>
        <v>0</v>
      </c>
      <c r="G1543" t="str">
        <f t="shared" si="95"/>
        <v>extra</v>
      </c>
      <c r="J1543">
        <v>1512</v>
      </c>
      <c r="K1543">
        <v>0.74583872312290245</v>
      </c>
    </row>
    <row r="1544" spans="1:11" x14ac:dyDescent="0.25">
      <c r="A1544" s="3">
        <v>39295</v>
      </c>
      <c r="B1544">
        <v>4290.4799999999996</v>
      </c>
      <c r="C1544">
        <f t="shared" si="92"/>
        <v>0.96187025844288587</v>
      </c>
      <c r="D1544">
        <v>1528</v>
      </c>
      <c r="E1544">
        <f t="shared" si="93"/>
        <v>0</v>
      </c>
      <c r="F1544">
        <f t="shared" si="94"/>
        <v>0</v>
      </c>
      <c r="G1544" t="str">
        <f t="shared" si="95"/>
        <v>extra</v>
      </c>
      <c r="J1544">
        <v>1513</v>
      </c>
      <c r="K1544">
        <v>0.74603350493528731</v>
      </c>
    </row>
    <row r="1545" spans="1:11" x14ac:dyDescent="0.25">
      <c r="A1545" s="3">
        <v>39294</v>
      </c>
      <c r="B1545">
        <v>4460.5600000000004</v>
      </c>
      <c r="C1545">
        <f t="shared" si="92"/>
        <v>1.0113960501553183</v>
      </c>
      <c r="D1545">
        <v>1529</v>
      </c>
      <c r="E1545">
        <f t="shared" si="93"/>
        <v>0</v>
      </c>
      <c r="F1545">
        <f t="shared" si="94"/>
        <v>0</v>
      </c>
      <c r="G1545" t="str">
        <f t="shared" si="95"/>
        <v>extra</v>
      </c>
      <c r="J1545">
        <v>1514</v>
      </c>
      <c r="K1545">
        <v>0.74621055395311997</v>
      </c>
    </row>
    <row r="1546" spans="1:11" x14ac:dyDescent="0.25">
      <c r="A1546" s="3">
        <v>39293</v>
      </c>
      <c r="B1546">
        <v>4410.3</v>
      </c>
      <c r="C1546">
        <f t="shared" si="92"/>
        <v>1.023950927993982</v>
      </c>
      <c r="D1546">
        <v>1530</v>
      </c>
      <c r="E1546">
        <f t="shared" si="93"/>
        <v>0</v>
      </c>
      <c r="F1546">
        <f t="shared" si="94"/>
        <v>0</v>
      </c>
      <c r="G1546" t="str">
        <f t="shared" si="95"/>
        <v>extra</v>
      </c>
      <c r="J1546">
        <v>1515</v>
      </c>
      <c r="K1546">
        <v>0.74643235966187116</v>
      </c>
    </row>
    <row r="1547" spans="1:11" x14ac:dyDescent="0.25">
      <c r="A1547" s="3">
        <v>39290</v>
      </c>
      <c r="B1547">
        <v>4307.1400000000003</v>
      </c>
      <c r="C1547">
        <f t="shared" si="92"/>
        <v>1.0009179236798749</v>
      </c>
      <c r="D1547">
        <v>1531</v>
      </c>
      <c r="E1547">
        <f t="shared" si="93"/>
        <v>0</v>
      </c>
      <c r="F1547">
        <f t="shared" si="94"/>
        <v>0</v>
      </c>
      <c r="G1547" t="str">
        <f t="shared" si="95"/>
        <v>extra</v>
      </c>
      <c r="J1547">
        <v>1516</v>
      </c>
      <c r="K1547">
        <v>0.7484512404279845</v>
      </c>
    </row>
    <row r="1548" spans="1:11" x14ac:dyDescent="0.25">
      <c r="A1548" s="3">
        <v>39289</v>
      </c>
      <c r="B1548">
        <v>4303.1899999999996</v>
      </c>
      <c r="C1548">
        <f t="shared" si="92"/>
        <v>1.0112161787444836</v>
      </c>
      <c r="D1548">
        <v>1532</v>
      </c>
      <c r="E1548">
        <f t="shared" si="93"/>
        <v>0</v>
      </c>
      <c r="F1548">
        <f t="shared" si="94"/>
        <v>0</v>
      </c>
      <c r="G1548" t="str">
        <f t="shared" si="95"/>
        <v>extra</v>
      </c>
      <c r="J1548">
        <v>1517</v>
      </c>
      <c r="K1548">
        <v>0.74871705676514688</v>
      </c>
    </row>
    <row r="1549" spans="1:11" x14ac:dyDescent="0.25">
      <c r="A1549" s="3">
        <v>39288</v>
      </c>
      <c r="B1549">
        <v>4255.46</v>
      </c>
      <c r="C1549">
        <f t="shared" si="92"/>
        <v>1.0226152570680187</v>
      </c>
      <c r="D1549">
        <v>1533</v>
      </c>
      <c r="E1549">
        <f t="shared" si="93"/>
        <v>0</v>
      </c>
      <c r="F1549">
        <f t="shared" si="94"/>
        <v>0</v>
      </c>
      <c r="G1549" t="str">
        <f t="shared" si="95"/>
        <v>extra</v>
      </c>
      <c r="J1549">
        <v>1518</v>
      </c>
      <c r="K1549">
        <v>0.7488809194214131</v>
      </c>
    </row>
    <row r="1550" spans="1:11" x14ac:dyDescent="0.25">
      <c r="A1550" s="3">
        <v>39287</v>
      </c>
      <c r="B1550">
        <v>4161.3500000000004</v>
      </c>
      <c r="C1550">
        <f t="shared" si="92"/>
        <v>1.0011138590042148</v>
      </c>
      <c r="D1550">
        <v>1534</v>
      </c>
      <c r="E1550">
        <f t="shared" si="93"/>
        <v>0</v>
      </c>
      <c r="F1550">
        <f t="shared" si="94"/>
        <v>0</v>
      </c>
      <c r="G1550" t="str">
        <f t="shared" si="95"/>
        <v>extra</v>
      </c>
      <c r="J1550">
        <v>1519</v>
      </c>
      <c r="K1550">
        <v>0.74888145232885717</v>
      </c>
    </row>
    <row r="1551" spans="1:11" x14ac:dyDescent="0.25">
      <c r="A1551" s="3">
        <v>39286</v>
      </c>
      <c r="B1551">
        <v>4156.72</v>
      </c>
      <c r="C1551">
        <f t="shared" si="92"/>
        <v>1.0465371562081434</v>
      </c>
      <c r="D1551">
        <v>1535</v>
      </c>
      <c r="E1551">
        <f t="shared" si="93"/>
        <v>0</v>
      </c>
      <c r="F1551">
        <f t="shared" si="94"/>
        <v>0</v>
      </c>
      <c r="G1551" t="str">
        <f t="shared" si="95"/>
        <v>extra</v>
      </c>
      <c r="J1551">
        <v>1520</v>
      </c>
      <c r="K1551">
        <v>0.74905431564754954</v>
      </c>
    </row>
    <row r="1552" spans="1:11" x14ac:dyDescent="0.25">
      <c r="A1552" s="3">
        <v>39283</v>
      </c>
      <c r="B1552">
        <v>3971.88</v>
      </c>
      <c r="C1552">
        <f t="shared" si="92"/>
        <v>1.0433096926713947</v>
      </c>
      <c r="D1552">
        <v>1536</v>
      </c>
      <c r="E1552">
        <f t="shared" si="93"/>
        <v>0</v>
      </c>
      <c r="F1552">
        <f t="shared" si="94"/>
        <v>0</v>
      </c>
      <c r="G1552" t="str">
        <f t="shared" si="95"/>
        <v>extra</v>
      </c>
      <c r="J1552">
        <v>1521</v>
      </c>
      <c r="K1552">
        <v>0.74905432141620554</v>
      </c>
    </row>
    <row r="1553" spans="1:11" x14ac:dyDescent="0.25">
      <c r="A1553" s="3">
        <v>39282</v>
      </c>
      <c r="B1553">
        <v>3807</v>
      </c>
      <c r="C1553">
        <f t="shared" si="92"/>
        <v>0.99985029822170046</v>
      </c>
      <c r="D1553">
        <v>1537</v>
      </c>
      <c r="E1553">
        <f t="shared" si="93"/>
        <v>0</v>
      </c>
      <c r="F1553">
        <f t="shared" si="94"/>
        <v>0</v>
      </c>
      <c r="G1553" t="str">
        <f t="shared" si="95"/>
        <v>extra</v>
      </c>
      <c r="J1553">
        <v>1522</v>
      </c>
      <c r="K1553">
        <v>0.74912336283003256</v>
      </c>
    </row>
    <row r="1554" spans="1:11" x14ac:dyDescent="0.25">
      <c r="A1554" s="3">
        <v>39281</v>
      </c>
      <c r="B1554">
        <v>3807.57</v>
      </c>
      <c r="C1554">
        <f t="shared" ref="C1554:C1617" si="96">B1554/B1555</f>
        <v>1.0047286688744343</v>
      </c>
      <c r="D1554">
        <v>1538</v>
      </c>
      <c r="E1554">
        <f t="shared" ref="E1554:E1617" si="97">IF(D1554&gt;$B$6,0,LN(C1554))</f>
        <v>0</v>
      </c>
      <c r="F1554">
        <f t="shared" ref="F1554:F1617" si="98">IF(D1554&gt;$B$6,0,(E1554-$B$7)^2)</f>
        <v>0</v>
      </c>
      <c r="G1554" t="str">
        <f t="shared" ref="G1554:G1617" si="99">IF(D1554&lt;=$B$6,E1554,"extra")</f>
        <v>extra</v>
      </c>
      <c r="J1554">
        <v>1523</v>
      </c>
      <c r="K1554">
        <v>0.74949460750896268</v>
      </c>
    </row>
    <row r="1555" spans="1:11" x14ac:dyDescent="0.25">
      <c r="A1555" s="3">
        <v>39280</v>
      </c>
      <c r="B1555">
        <v>3789.65</v>
      </c>
      <c r="C1555">
        <f t="shared" si="96"/>
        <v>1.0247919804649579</v>
      </c>
      <c r="D1555">
        <v>1539</v>
      </c>
      <c r="E1555">
        <f t="shared" si="97"/>
        <v>0</v>
      </c>
      <c r="F1555">
        <f t="shared" si="98"/>
        <v>0</v>
      </c>
      <c r="G1555" t="str">
        <f t="shared" si="99"/>
        <v>extra</v>
      </c>
      <c r="J1555">
        <v>1524</v>
      </c>
      <c r="K1555">
        <v>0.7495836654532767</v>
      </c>
    </row>
    <row r="1556" spans="1:11" x14ac:dyDescent="0.25">
      <c r="A1556" s="3">
        <v>39279</v>
      </c>
      <c r="B1556">
        <v>3697.97</v>
      </c>
      <c r="C1556">
        <f t="shared" si="96"/>
        <v>0.96802456467336107</v>
      </c>
      <c r="D1556">
        <v>1540</v>
      </c>
      <c r="E1556">
        <f t="shared" si="97"/>
        <v>0</v>
      </c>
      <c r="F1556">
        <f t="shared" si="98"/>
        <v>0</v>
      </c>
      <c r="G1556" t="str">
        <f t="shared" si="99"/>
        <v>extra</v>
      </c>
      <c r="J1556">
        <v>1525</v>
      </c>
      <c r="K1556">
        <v>0.74959886030094558</v>
      </c>
    </row>
    <row r="1557" spans="1:11" x14ac:dyDescent="0.25">
      <c r="A1557" s="3">
        <v>39276</v>
      </c>
      <c r="B1557">
        <v>3820.12</v>
      </c>
      <c r="C1557">
        <f t="shared" si="96"/>
        <v>1.0008383723001792</v>
      </c>
      <c r="D1557">
        <v>1541</v>
      </c>
      <c r="E1557">
        <f t="shared" si="97"/>
        <v>0</v>
      </c>
      <c r="F1557">
        <f t="shared" si="98"/>
        <v>0</v>
      </c>
      <c r="G1557" t="str">
        <f t="shared" si="99"/>
        <v>extra</v>
      </c>
      <c r="J1557">
        <v>1526</v>
      </c>
      <c r="K1557">
        <v>0.74995647081367145</v>
      </c>
    </row>
    <row r="1558" spans="1:11" x14ac:dyDescent="0.25">
      <c r="A1558" s="3">
        <v>39275</v>
      </c>
      <c r="B1558">
        <v>3816.92</v>
      </c>
      <c r="C1558">
        <f t="shared" si="96"/>
        <v>1.0071374479863426</v>
      </c>
      <c r="D1558">
        <v>1542</v>
      </c>
      <c r="E1558">
        <f t="shared" si="97"/>
        <v>0</v>
      </c>
      <c r="F1558">
        <f t="shared" si="98"/>
        <v>0</v>
      </c>
      <c r="G1558" t="str">
        <f t="shared" si="99"/>
        <v>extra</v>
      </c>
      <c r="J1558">
        <v>1527</v>
      </c>
      <c r="K1558">
        <v>0.75083705208202978</v>
      </c>
    </row>
    <row r="1559" spans="1:11" x14ac:dyDescent="0.25">
      <c r="A1559" s="3">
        <v>39274</v>
      </c>
      <c r="B1559">
        <v>3789.87</v>
      </c>
      <c r="C1559">
        <f t="shared" si="96"/>
        <v>1.0037742145660846</v>
      </c>
      <c r="D1559">
        <v>1543</v>
      </c>
      <c r="E1559">
        <f t="shared" si="97"/>
        <v>0</v>
      </c>
      <c r="F1559">
        <f t="shared" si="98"/>
        <v>0</v>
      </c>
      <c r="G1559" t="str">
        <f t="shared" si="99"/>
        <v>extra</v>
      </c>
      <c r="J1559">
        <v>1528</v>
      </c>
      <c r="K1559">
        <v>0.75159822589886316</v>
      </c>
    </row>
    <row r="1560" spans="1:11" x14ac:dyDescent="0.25">
      <c r="A1560" s="3">
        <v>39273</v>
      </c>
      <c r="B1560">
        <v>3775.62</v>
      </c>
      <c r="C1560">
        <f t="shared" si="96"/>
        <v>0.98804595294794961</v>
      </c>
      <c r="D1560">
        <v>1544</v>
      </c>
      <c r="E1560">
        <f t="shared" si="97"/>
        <v>0</v>
      </c>
      <c r="F1560">
        <f t="shared" si="98"/>
        <v>0</v>
      </c>
      <c r="G1560" t="str">
        <f t="shared" si="99"/>
        <v>extra</v>
      </c>
      <c r="J1560">
        <v>1529</v>
      </c>
      <c r="K1560">
        <v>0.75258303055560616</v>
      </c>
    </row>
    <row r="1561" spans="1:11" x14ac:dyDescent="0.25">
      <c r="A1561" s="3">
        <v>39272</v>
      </c>
      <c r="B1561">
        <v>3821.3</v>
      </c>
      <c r="C1561">
        <f t="shared" si="96"/>
        <v>1.0299222700173571</v>
      </c>
      <c r="D1561">
        <v>1545</v>
      </c>
      <c r="E1561">
        <f t="shared" si="97"/>
        <v>0</v>
      </c>
      <c r="F1561">
        <f t="shared" si="98"/>
        <v>0</v>
      </c>
      <c r="G1561" t="str">
        <f t="shared" si="99"/>
        <v>extra</v>
      </c>
      <c r="J1561">
        <v>1530</v>
      </c>
      <c r="K1561">
        <v>0.75267450129958435</v>
      </c>
    </row>
    <row r="1562" spans="1:11" x14ac:dyDescent="0.25">
      <c r="A1562" s="3">
        <v>39269</v>
      </c>
      <c r="B1562">
        <v>3710.28</v>
      </c>
      <c r="C1562">
        <f t="shared" si="96"/>
        <v>1.0488601926817134</v>
      </c>
      <c r="D1562">
        <v>1546</v>
      </c>
      <c r="E1562">
        <f t="shared" si="97"/>
        <v>0</v>
      </c>
      <c r="F1562">
        <f t="shared" si="98"/>
        <v>0</v>
      </c>
      <c r="G1562" t="str">
        <f t="shared" si="99"/>
        <v>extra</v>
      </c>
      <c r="J1562">
        <v>1531</v>
      </c>
      <c r="K1562">
        <v>0.75305952752626559</v>
      </c>
    </row>
    <row r="1563" spans="1:11" x14ac:dyDescent="0.25">
      <c r="A1563" s="3">
        <v>39268</v>
      </c>
      <c r="B1563">
        <v>3537.44</v>
      </c>
      <c r="C1563">
        <f t="shared" si="96"/>
        <v>0.94493506215975087</v>
      </c>
      <c r="D1563">
        <v>1547</v>
      </c>
      <c r="E1563">
        <f t="shared" si="97"/>
        <v>0</v>
      </c>
      <c r="F1563">
        <f t="shared" si="98"/>
        <v>0</v>
      </c>
      <c r="G1563" t="str">
        <f t="shared" si="99"/>
        <v>extra</v>
      </c>
      <c r="J1563">
        <v>1532</v>
      </c>
      <c r="K1563">
        <v>0.75306035192889131</v>
      </c>
    </row>
    <row r="1564" spans="1:11" x14ac:dyDescent="0.25">
      <c r="A1564" s="3">
        <v>39267</v>
      </c>
      <c r="B1564">
        <v>3743.58</v>
      </c>
      <c r="C1564">
        <f t="shared" si="96"/>
        <v>0.97686725483595716</v>
      </c>
      <c r="D1564">
        <v>1548</v>
      </c>
      <c r="E1564">
        <f t="shared" si="97"/>
        <v>0</v>
      </c>
      <c r="F1564">
        <f t="shared" si="98"/>
        <v>0</v>
      </c>
      <c r="G1564" t="str">
        <f t="shared" si="99"/>
        <v>extra</v>
      </c>
      <c r="J1564">
        <v>1533</v>
      </c>
      <c r="K1564">
        <v>0.75314863665698717</v>
      </c>
    </row>
    <row r="1565" spans="1:11" x14ac:dyDescent="0.25">
      <c r="A1565" s="3">
        <v>39266</v>
      </c>
      <c r="B1565">
        <v>3832.23</v>
      </c>
      <c r="C1565">
        <f t="shared" si="96"/>
        <v>1.0198447970279376</v>
      </c>
      <c r="D1565">
        <v>1549</v>
      </c>
      <c r="E1565">
        <f t="shared" si="97"/>
        <v>0</v>
      </c>
      <c r="F1565">
        <f t="shared" si="98"/>
        <v>0</v>
      </c>
      <c r="G1565" t="str">
        <f t="shared" si="99"/>
        <v>extra</v>
      </c>
      <c r="J1565">
        <v>1534</v>
      </c>
      <c r="K1565">
        <v>0.75349208244831256</v>
      </c>
    </row>
    <row r="1566" spans="1:11" x14ac:dyDescent="0.25">
      <c r="A1566" s="3">
        <v>39265</v>
      </c>
      <c r="B1566">
        <v>3757.66</v>
      </c>
      <c r="C1566">
        <f t="shared" si="96"/>
        <v>0.99829440394465574</v>
      </c>
      <c r="D1566">
        <v>1550</v>
      </c>
      <c r="E1566">
        <f t="shared" si="97"/>
        <v>0</v>
      </c>
      <c r="F1566">
        <f t="shared" si="98"/>
        <v>0</v>
      </c>
      <c r="G1566" t="str">
        <f t="shared" si="99"/>
        <v>extra</v>
      </c>
      <c r="J1566">
        <v>1535</v>
      </c>
      <c r="K1566">
        <v>0.75349322787368256</v>
      </c>
    </row>
    <row r="1567" spans="1:11" x14ac:dyDescent="0.25">
      <c r="A1567" s="3">
        <v>39262</v>
      </c>
      <c r="B1567">
        <v>3764.08</v>
      </c>
      <c r="C1567">
        <f t="shared" si="96"/>
        <v>0.975524294289002</v>
      </c>
      <c r="D1567">
        <v>1551</v>
      </c>
      <c r="E1567">
        <f t="shared" si="97"/>
        <v>0</v>
      </c>
      <c r="F1567">
        <f t="shared" si="98"/>
        <v>0</v>
      </c>
      <c r="G1567" t="str">
        <f t="shared" si="99"/>
        <v>extra</v>
      </c>
      <c r="J1567">
        <v>1536</v>
      </c>
      <c r="K1567">
        <v>0.75488801823865759</v>
      </c>
    </row>
    <row r="1568" spans="1:11" x14ac:dyDescent="0.25">
      <c r="A1568" s="3">
        <v>39261</v>
      </c>
      <c r="B1568">
        <v>3858.52</v>
      </c>
      <c r="C1568">
        <f t="shared" si="96"/>
        <v>0.95496574664396305</v>
      </c>
      <c r="D1568">
        <v>1552</v>
      </c>
      <c r="E1568">
        <f t="shared" si="97"/>
        <v>0</v>
      </c>
      <c r="F1568">
        <f t="shared" si="98"/>
        <v>0</v>
      </c>
      <c r="G1568" t="str">
        <f t="shared" si="99"/>
        <v>extra</v>
      </c>
      <c r="J1568">
        <v>1537</v>
      </c>
      <c r="K1568">
        <v>0.75609742294664728</v>
      </c>
    </row>
    <row r="1569" spans="1:11" x14ac:dyDescent="0.25">
      <c r="A1569" s="3">
        <v>39260</v>
      </c>
      <c r="B1569">
        <v>4040.48</v>
      </c>
      <c r="C1569">
        <f t="shared" si="96"/>
        <v>1.0285804475829958</v>
      </c>
      <c r="D1569">
        <v>1553</v>
      </c>
      <c r="E1569">
        <f t="shared" si="97"/>
        <v>0</v>
      </c>
      <c r="F1569">
        <f t="shared" si="98"/>
        <v>0</v>
      </c>
      <c r="G1569" t="str">
        <f t="shared" si="99"/>
        <v>extra</v>
      </c>
      <c r="J1569">
        <v>1538</v>
      </c>
      <c r="K1569">
        <v>0.75609712051255573</v>
      </c>
    </row>
    <row r="1570" spans="1:11" x14ac:dyDescent="0.25">
      <c r="A1570" s="3">
        <v>39259</v>
      </c>
      <c r="B1570">
        <v>3928.21</v>
      </c>
      <c r="C1570">
        <f t="shared" si="96"/>
        <v>1.013054500346865</v>
      </c>
      <c r="D1570">
        <v>1554</v>
      </c>
      <c r="E1570">
        <f t="shared" si="97"/>
        <v>0</v>
      </c>
      <c r="F1570">
        <f t="shared" si="98"/>
        <v>0</v>
      </c>
      <c r="G1570" t="str">
        <f t="shared" si="99"/>
        <v>extra</v>
      </c>
      <c r="J1570">
        <v>1539</v>
      </c>
      <c r="K1570">
        <v>0.75611355122939095</v>
      </c>
    </row>
    <row r="1571" spans="1:11" x14ac:dyDescent="0.25">
      <c r="A1571" s="3">
        <v>39258</v>
      </c>
      <c r="B1571">
        <v>3877.59</v>
      </c>
      <c r="C1571">
        <f t="shared" si="96"/>
        <v>0.95709169355017865</v>
      </c>
      <c r="D1571">
        <v>1555</v>
      </c>
      <c r="E1571">
        <f t="shared" si="97"/>
        <v>0</v>
      </c>
      <c r="F1571">
        <f t="shared" si="98"/>
        <v>0</v>
      </c>
      <c r="G1571" t="str">
        <f t="shared" si="99"/>
        <v>extra</v>
      </c>
      <c r="J1571">
        <v>1540</v>
      </c>
      <c r="K1571">
        <v>0.75652010292598881</v>
      </c>
    </row>
    <row r="1572" spans="1:11" x14ac:dyDescent="0.25">
      <c r="A1572" s="3">
        <v>39255</v>
      </c>
      <c r="B1572">
        <v>4051.43</v>
      </c>
      <c r="C1572">
        <f t="shared" si="96"/>
        <v>0.96525130560744099</v>
      </c>
      <c r="D1572">
        <v>1556</v>
      </c>
      <c r="E1572">
        <f t="shared" si="97"/>
        <v>0</v>
      </c>
      <c r="F1572">
        <f t="shared" si="98"/>
        <v>0</v>
      </c>
      <c r="G1572" t="str">
        <f t="shared" si="99"/>
        <v>extra</v>
      </c>
      <c r="J1572">
        <v>1541</v>
      </c>
      <c r="K1572">
        <v>0.75720533379470134</v>
      </c>
    </row>
    <row r="1573" spans="1:11" x14ac:dyDescent="0.25">
      <c r="A1573" s="3">
        <v>39254</v>
      </c>
      <c r="B1573">
        <v>4197.28</v>
      </c>
      <c r="C1573">
        <f t="shared" si="96"/>
        <v>1.0095439676736577</v>
      </c>
      <c r="D1573">
        <v>1557</v>
      </c>
      <c r="E1573">
        <f t="shared" si="97"/>
        <v>0</v>
      </c>
      <c r="F1573">
        <f t="shared" si="98"/>
        <v>0</v>
      </c>
      <c r="G1573" t="str">
        <f t="shared" si="99"/>
        <v>extra</v>
      </c>
      <c r="J1573">
        <v>1542</v>
      </c>
      <c r="K1573">
        <v>0.75720589361338342</v>
      </c>
    </row>
    <row r="1574" spans="1:11" x14ac:dyDescent="0.25">
      <c r="A1574" s="3">
        <v>39253</v>
      </c>
      <c r="B1574">
        <v>4157.6000000000004</v>
      </c>
      <c r="C1574">
        <f t="shared" si="96"/>
        <v>0.9775687749823655</v>
      </c>
      <c r="D1574">
        <v>1558</v>
      </c>
      <c r="E1574">
        <f t="shared" si="97"/>
        <v>0</v>
      </c>
      <c r="F1574">
        <f t="shared" si="98"/>
        <v>0</v>
      </c>
      <c r="G1574" t="str">
        <f t="shared" si="99"/>
        <v>extra</v>
      </c>
      <c r="J1574">
        <v>1543</v>
      </c>
      <c r="K1574">
        <v>0.75724201782481937</v>
      </c>
    </row>
    <row r="1575" spans="1:11" x14ac:dyDescent="0.25">
      <c r="A1575" s="3">
        <v>39252</v>
      </c>
      <c r="B1575">
        <v>4253</v>
      </c>
      <c r="C1575">
        <f t="shared" si="96"/>
        <v>1.0060152759150056</v>
      </c>
      <c r="D1575">
        <v>1559</v>
      </c>
      <c r="E1575">
        <f t="shared" si="97"/>
        <v>0</v>
      </c>
      <c r="F1575">
        <f t="shared" si="98"/>
        <v>0</v>
      </c>
      <c r="G1575" t="str">
        <f t="shared" si="99"/>
        <v>extra</v>
      </c>
      <c r="J1575">
        <v>1544</v>
      </c>
      <c r="K1575">
        <v>0.75725268105512145</v>
      </c>
    </row>
    <row r="1576" spans="1:11" x14ac:dyDescent="0.25">
      <c r="A1576" s="3">
        <v>39251</v>
      </c>
      <c r="B1576">
        <v>4227.57</v>
      </c>
      <c r="C1576">
        <f t="shared" si="96"/>
        <v>1.0312705823807502</v>
      </c>
      <c r="D1576">
        <v>1560</v>
      </c>
      <c r="E1576">
        <f t="shared" si="97"/>
        <v>0</v>
      </c>
      <c r="F1576">
        <f t="shared" si="98"/>
        <v>0</v>
      </c>
      <c r="G1576" t="str">
        <f t="shared" si="99"/>
        <v>extra</v>
      </c>
      <c r="J1576">
        <v>1545</v>
      </c>
      <c r="K1576">
        <v>0.7573430960007711</v>
      </c>
    </row>
    <row r="1577" spans="1:11" x14ac:dyDescent="0.25">
      <c r="A1577" s="3">
        <v>39248</v>
      </c>
      <c r="B1577">
        <v>4099.38</v>
      </c>
      <c r="C1577">
        <f t="shared" si="96"/>
        <v>1.0057804319130874</v>
      </c>
      <c r="D1577">
        <v>1561</v>
      </c>
      <c r="E1577">
        <f t="shared" si="97"/>
        <v>0</v>
      </c>
      <c r="F1577">
        <f t="shared" si="98"/>
        <v>0</v>
      </c>
      <c r="G1577" t="str">
        <f t="shared" si="99"/>
        <v>extra</v>
      </c>
      <c r="J1577">
        <v>1546</v>
      </c>
      <c r="K1577">
        <v>0.75792913945877105</v>
      </c>
    </row>
    <row r="1578" spans="1:11" x14ac:dyDescent="0.25">
      <c r="A1578" s="3">
        <v>39247</v>
      </c>
      <c r="B1578">
        <v>4075.82</v>
      </c>
      <c r="C1578">
        <f t="shared" si="96"/>
        <v>0.98969227369745061</v>
      </c>
      <c r="D1578">
        <v>1562</v>
      </c>
      <c r="E1578">
        <f t="shared" si="97"/>
        <v>0</v>
      </c>
      <c r="F1578">
        <f t="shared" si="98"/>
        <v>0</v>
      </c>
      <c r="G1578" t="str">
        <f t="shared" si="99"/>
        <v>extra</v>
      </c>
      <c r="J1578">
        <v>1547</v>
      </c>
      <c r="K1578">
        <v>0.75944817833889677</v>
      </c>
    </row>
    <row r="1579" spans="1:11" x14ac:dyDescent="0.25">
      <c r="A1579" s="3">
        <v>39246</v>
      </c>
      <c r="B1579">
        <v>4118.2700000000004</v>
      </c>
      <c r="C1579">
        <f t="shared" si="96"/>
        <v>1.0203562340966923</v>
      </c>
      <c r="D1579">
        <v>1563</v>
      </c>
      <c r="E1579">
        <f t="shared" si="97"/>
        <v>0</v>
      </c>
      <c r="F1579">
        <f t="shared" si="98"/>
        <v>0</v>
      </c>
      <c r="G1579" t="str">
        <f t="shared" si="99"/>
        <v>extra</v>
      </c>
      <c r="J1579">
        <v>1548</v>
      </c>
      <c r="K1579">
        <v>0.76153871693307962</v>
      </c>
    </row>
    <row r="1580" spans="1:11" x14ac:dyDescent="0.25">
      <c r="A1580" s="3">
        <v>39245</v>
      </c>
      <c r="B1580">
        <v>4036.11</v>
      </c>
      <c r="C1580">
        <f t="shared" si="96"/>
        <v>1.0265141688666433</v>
      </c>
      <c r="D1580">
        <v>1564</v>
      </c>
      <c r="E1580">
        <f t="shared" si="97"/>
        <v>0</v>
      </c>
      <c r="F1580">
        <f t="shared" si="98"/>
        <v>0</v>
      </c>
      <c r="G1580" t="str">
        <f t="shared" si="99"/>
        <v>extra</v>
      </c>
      <c r="J1580">
        <v>1549</v>
      </c>
      <c r="K1580">
        <v>0.76188900749677346</v>
      </c>
    </row>
    <row r="1581" spans="1:11" x14ac:dyDescent="0.25">
      <c r="A1581" s="3">
        <v>39244</v>
      </c>
      <c r="B1581">
        <v>3931.86</v>
      </c>
      <c r="C1581">
        <f t="shared" si="96"/>
        <v>1.0244901468783467</v>
      </c>
      <c r="D1581">
        <v>1565</v>
      </c>
      <c r="E1581">
        <f t="shared" si="97"/>
        <v>0</v>
      </c>
      <c r="F1581">
        <f t="shared" si="98"/>
        <v>0</v>
      </c>
      <c r="G1581" t="str">
        <f t="shared" si="99"/>
        <v>extra</v>
      </c>
      <c r="J1581">
        <v>1550</v>
      </c>
      <c r="K1581">
        <v>0.76215043185133846</v>
      </c>
    </row>
    <row r="1582" spans="1:11" x14ac:dyDescent="0.25">
      <c r="A1582" s="3">
        <v>39241</v>
      </c>
      <c r="B1582">
        <v>3837.87</v>
      </c>
      <c r="C1582">
        <f t="shared" si="96"/>
        <v>1.0093548641611656</v>
      </c>
      <c r="D1582">
        <v>1566</v>
      </c>
      <c r="E1582">
        <f t="shared" si="97"/>
        <v>0</v>
      </c>
      <c r="F1582">
        <f t="shared" si="98"/>
        <v>0</v>
      </c>
      <c r="G1582" t="str">
        <f t="shared" si="99"/>
        <v>extra</v>
      </c>
      <c r="J1582">
        <v>1551</v>
      </c>
      <c r="K1582">
        <v>0.76215140886689026</v>
      </c>
    </row>
    <row r="1583" spans="1:11" x14ac:dyDescent="0.25">
      <c r="A1583" s="3">
        <v>39240</v>
      </c>
      <c r="B1583">
        <v>3802.3</v>
      </c>
      <c r="C1583">
        <f t="shared" si="96"/>
        <v>1.0339136062301841</v>
      </c>
      <c r="D1583">
        <v>1567</v>
      </c>
      <c r="E1583">
        <f t="shared" si="97"/>
        <v>0</v>
      </c>
      <c r="F1583">
        <f t="shared" si="98"/>
        <v>0</v>
      </c>
      <c r="G1583" t="str">
        <f t="shared" si="99"/>
        <v>extra</v>
      </c>
      <c r="J1583">
        <v>1552</v>
      </c>
      <c r="K1583">
        <v>0.762544275100555</v>
      </c>
    </row>
    <row r="1584" spans="1:11" x14ac:dyDescent="0.25">
      <c r="A1584" s="3">
        <v>39239</v>
      </c>
      <c r="B1584">
        <v>3677.58</v>
      </c>
      <c r="C1584">
        <f t="shared" si="96"/>
        <v>1.0118168836993036</v>
      </c>
      <c r="D1584">
        <v>1568</v>
      </c>
      <c r="E1584">
        <f t="shared" si="97"/>
        <v>0</v>
      </c>
      <c r="F1584">
        <f t="shared" si="98"/>
        <v>0</v>
      </c>
      <c r="G1584" t="str">
        <f t="shared" si="99"/>
        <v>extra</v>
      </c>
      <c r="J1584">
        <v>1553</v>
      </c>
      <c r="K1584">
        <v>0.7639166462826037</v>
      </c>
    </row>
    <row r="1585" spans="1:11" x14ac:dyDescent="0.25">
      <c r="A1585" s="3">
        <v>39238</v>
      </c>
      <c r="B1585">
        <v>3634.63</v>
      </c>
      <c r="C1585">
        <f t="shared" si="96"/>
        <v>1.0350854210392917</v>
      </c>
      <c r="D1585">
        <v>1569</v>
      </c>
      <c r="E1585">
        <f t="shared" si="97"/>
        <v>0</v>
      </c>
      <c r="F1585">
        <f t="shared" si="98"/>
        <v>0</v>
      </c>
      <c r="G1585" t="str">
        <f t="shared" si="99"/>
        <v>extra</v>
      </c>
      <c r="J1585">
        <v>1554</v>
      </c>
      <c r="K1585">
        <v>0.76444919093899644</v>
      </c>
    </row>
    <row r="1586" spans="1:11" x14ac:dyDescent="0.25">
      <c r="A1586" s="3">
        <v>39237</v>
      </c>
      <c r="B1586">
        <v>3511.43</v>
      </c>
      <c r="C1586">
        <f t="shared" si="96"/>
        <v>0.92310098713179722</v>
      </c>
      <c r="D1586">
        <v>1570</v>
      </c>
      <c r="E1586">
        <f t="shared" si="97"/>
        <v>0</v>
      </c>
      <c r="F1586">
        <f t="shared" si="98"/>
        <v>0</v>
      </c>
      <c r="G1586" t="str">
        <f t="shared" si="99"/>
        <v>extra</v>
      </c>
      <c r="J1586">
        <v>1555</v>
      </c>
      <c r="K1586">
        <v>0.76456464887920872</v>
      </c>
    </row>
    <row r="1587" spans="1:11" x14ac:dyDescent="0.25">
      <c r="A1587" s="3">
        <v>39234</v>
      </c>
      <c r="B1587">
        <v>3803.95</v>
      </c>
      <c r="C1587">
        <f t="shared" si="96"/>
        <v>0.96843137005308111</v>
      </c>
      <c r="D1587">
        <v>1571</v>
      </c>
      <c r="E1587">
        <f t="shared" si="97"/>
        <v>0</v>
      </c>
      <c r="F1587">
        <f t="shared" si="98"/>
        <v>0</v>
      </c>
      <c r="G1587" t="str">
        <f t="shared" si="99"/>
        <v>extra</v>
      </c>
      <c r="J1587">
        <v>1556</v>
      </c>
      <c r="K1587">
        <v>0.76580353073676632</v>
      </c>
    </row>
    <row r="1588" spans="1:11" x14ac:dyDescent="0.25">
      <c r="A1588" s="3">
        <v>39233</v>
      </c>
      <c r="B1588">
        <v>3927.95</v>
      </c>
      <c r="C1588">
        <f t="shared" si="96"/>
        <v>1.0106755247706138</v>
      </c>
      <c r="D1588">
        <v>1572</v>
      </c>
      <c r="E1588">
        <f t="shared" si="97"/>
        <v>0</v>
      </c>
      <c r="F1588">
        <f t="shared" si="98"/>
        <v>0</v>
      </c>
      <c r="G1588" t="str">
        <f t="shared" si="99"/>
        <v>extra</v>
      </c>
      <c r="J1588">
        <v>1557</v>
      </c>
      <c r="K1588">
        <v>0.76660388884615216</v>
      </c>
    </row>
    <row r="1589" spans="1:11" x14ac:dyDescent="0.25">
      <c r="A1589" s="3">
        <v>39232</v>
      </c>
      <c r="B1589">
        <v>3886.46</v>
      </c>
      <c r="C1589">
        <f t="shared" si="96"/>
        <v>0.93238714196948869</v>
      </c>
      <c r="D1589">
        <v>1573</v>
      </c>
      <c r="E1589">
        <f t="shared" si="97"/>
        <v>0</v>
      </c>
      <c r="F1589">
        <f t="shared" si="98"/>
        <v>0</v>
      </c>
      <c r="G1589" t="str">
        <f t="shared" si="99"/>
        <v>extra</v>
      </c>
      <c r="J1589">
        <v>1558</v>
      </c>
      <c r="K1589">
        <v>0.76666716502633236</v>
      </c>
    </row>
    <row r="1590" spans="1:11" x14ac:dyDescent="0.25">
      <c r="A1590" s="3">
        <v>39231</v>
      </c>
      <c r="B1590">
        <v>4168.29</v>
      </c>
      <c r="C1590">
        <f t="shared" si="96"/>
        <v>1.023501073029873</v>
      </c>
      <c r="D1590">
        <v>1574</v>
      </c>
      <c r="E1590">
        <f t="shared" si="97"/>
        <v>0</v>
      </c>
      <c r="F1590">
        <f t="shared" si="98"/>
        <v>0</v>
      </c>
      <c r="G1590" t="str">
        <f t="shared" si="99"/>
        <v>extra</v>
      </c>
      <c r="J1590">
        <v>1559</v>
      </c>
      <c r="K1590">
        <v>0.76699190194581235</v>
      </c>
    </row>
    <row r="1591" spans="1:11" x14ac:dyDescent="0.25">
      <c r="A1591" s="3">
        <v>39230</v>
      </c>
      <c r="B1591">
        <v>4072.58</v>
      </c>
      <c r="C1591">
        <f t="shared" si="96"/>
        <v>1.0219133053133429</v>
      </c>
      <c r="D1591">
        <v>1575</v>
      </c>
      <c r="E1591">
        <f t="shared" si="97"/>
        <v>0</v>
      </c>
      <c r="F1591">
        <f t="shared" si="98"/>
        <v>0</v>
      </c>
      <c r="G1591" t="str">
        <f t="shared" si="99"/>
        <v>extra</v>
      </c>
      <c r="J1591">
        <v>1560</v>
      </c>
      <c r="K1591">
        <v>0.76701811958875354</v>
      </c>
    </row>
    <row r="1592" spans="1:11" x14ac:dyDescent="0.25">
      <c r="A1592" s="3">
        <v>39227</v>
      </c>
      <c r="B1592">
        <v>3985.25</v>
      </c>
      <c r="C1592">
        <f t="shared" si="96"/>
        <v>1.016710249378149</v>
      </c>
      <c r="D1592">
        <v>1576</v>
      </c>
      <c r="E1592">
        <f t="shared" si="97"/>
        <v>0</v>
      </c>
      <c r="F1592">
        <f t="shared" si="98"/>
        <v>0</v>
      </c>
      <c r="G1592" t="str">
        <f t="shared" si="99"/>
        <v>extra</v>
      </c>
      <c r="J1592">
        <v>1561</v>
      </c>
      <c r="K1592">
        <v>0.76765121229675259</v>
      </c>
    </row>
    <row r="1593" spans="1:11" x14ac:dyDescent="0.25">
      <c r="A1593" s="3">
        <v>39226</v>
      </c>
      <c r="B1593">
        <v>3919.75</v>
      </c>
      <c r="C1593">
        <f t="shared" si="96"/>
        <v>0.99512560453928078</v>
      </c>
      <c r="D1593">
        <v>1577</v>
      </c>
      <c r="E1593">
        <f t="shared" si="97"/>
        <v>0</v>
      </c>
      <c r="F1593">
        <f t="shared" si="98"/>
        <v>0</v>
      </c>
      <c r="G1593" t="str">
        <f t="shared" si="99"/>
        <v>extra</v>
      </c>
      <c r="J1593">
        <v>1562</v>
      </c>
      <c r="K1593">
        <v>0.76767530991815236</v>
      </c>
    </row>
    <row r="1594" spans="1:11" x14ac:dyDescent="0.25">
      <c r="A1594" s="3">
        <v>39225</v>
      </c>
      <c r="B1594">
        <v>3938.95</v>
      </c>
      <c r="C1594">
        <f t="shared" si="96"/>
        <v>1.0176876829548713</v>
      </c>
      <c r="D1594">
        <v>1578</v>
      </c>
      <c r="E1594">
        <f t="shared" si="97"/>
        <v>0</v>
      </c>
      <c r="F1594">
        <f t="shared" si="98"/>
        <v>0</v>
      </c>
      <c r="G1594" t="str">
        <f t="shared" si="99"/>
        <v>extra</v>
      </c>
      <c r="J1594">
        <v>1563</v>
      </c>
      <c r="K1594">
        <v>0.76774027864141359</v>
      </c>
    </row>
    <row r="1595" spans="1:11" x14ac:dyDescent="0.25">
      <c r="A1595" s="3">
        <v>39224</v>
      </c>
      <c r="B1595">
        <v>3870.49</v>
      </c>
      <c r="C1595">
        <f t="shared" si="96"/>
        <v>1.0101919904787755</v>
      </c>
      <c r="D1595">
        <v>1579</v>
      </c>
      <c r="E1595">
        <f t="shared" si="97"/>
        <v>0</v>
      </c>
      <c r="F1595">
        <f t="shared" si="98"/>
        <v>0</v>
      </c>
      <c r="G1595" t="str">
        <f t="shared" si="99"/>
        <v>extra</v>
      </c>
      <c r="J1595">
        <v>1564</v>
      </c>
      <c r="K1595">
        <v>0.76801407146312461</v>
      </c>
    </row>
    <row r="1596" spans="1:11" x14ac:dyDescent="0.25">
      <c r="A1596" s="3">
        <v>39223</v>
      </c>
      <c r="B1596">
        <v>3831.44</v>
      </c>
      <c r="C1596">
        <f t="shared" si="96"/>
        <v>1.0145129387840481</v>
      </c>
      <c r="D1596">
        <v>1580</v>
      </c>
      <c r="E1596">
        <f t="shared" si="97"/>
        <v>0</v>
      </c>
      <c r="F1596">
        <f t="shared" si="98"/>
        <v>0</v>
      </c>
      <c r="G1596" t="str">
        <f t="shared" si="99"/>
        <v>extra</v>
      </c>
      <c r="J1596">
        <v>1565</v>
      </c>
      <c r="K1596">
        <v>0.76847160336521525</v>
      </c>
    </row>
    <row r="1597" spans="1:11" x14ac:dyDescent="0.25">
      <c r="A1597" s="3">
        <v>39220</v>
      </c>
      <c r="B1597">
        <v>3776.63</v>
      </c>
      <c r="C1597">
        <f t="shared" si="96"/>
        <v>0.99947599778754626</v>
      </c>
      <c r="D1597">
        <v>1581</v>
      </c>
      <c r="E1597">
        <f t="shared" si="97"/>
        <v>0</v>
      </c>
      <c r="F1597">
        <f t="shared" si="98"/>
        <v>0</v>
      </c>
      <c r="G1597" t="str">
        <f t="shared" si="99"/>
        <v>extra</v>
      </c>
      <c r="J1597">
        <v>1566</v>
      </c>
      <c r="K1597">
        <v>0.76886275218038758</v>
      </c>
    </row>
    <row r="1598" spans="1:11" x14ac:dyDescent="0.25">
      <c r="A1598" s="3">
        <v>39219</v>
      </c>
      <c r="B1598">
        <v>3778.61</v>
      </c>
      <c r="C1598">
        <f t="shared" si="96"/>
        <v>1.0211659086179732</v>
      </c>
      <c r="D1598">
        <v>1582</v>
      </c>
      <c r="E1598">
        <f t="shared" si="97"/>
        <v>0</v>
      </c>
      <c r="F1598">
        <f t="shared" si="98"/>
        <v>0</v>
      </c>
      <c r="G1598" t="str">
        <f t="shared" si="99"/>
        <v>extra</v>
      </c>
      <c r="J1598">
        <v>1567</v>
      </c>
      <c r="K1598">
        <v>0.76892271480956009</v>
      </c>
    </row>
    <row r="1599" spans="1:11" x14ac:dyDescent="0.25">
      <c r="A1599" s="3">
        <v>39218</v>
      </c>
      <c r="B1599">
        <v>3700.29</v>
      </c>
      <c r="C1599">
        <f t="shared" si="96"/>
        <v>1.0265352434639798</v>
      </c>
      <c r="D1599">
        <v>1583</v>
      </c>
      <c r="E1599">
        <f t="shared" si="97"/>
        <v>0</v>
      </c>
      <c r="F1599">
        <f t="shared" si="98"/>
        <v>0</v>
      </c>
      <c r="G1599" t="str">
        <f t="shared" si="99"/>
        <v>extra</v>
      </c>
      <c r="J1599">
        <v>1568</v>
      </c>
      <c r="K1599">
        <v>0.76965918643714937</v>
      </c>
    </row>
    <row r="1600" spans="1:11" x14ac:dyDescent="0.25">
      <c r="A1600" s="3">
        <v>39217</v>
      </c>
      <c r="B1600">
        <v>3604.64</v>
      </c>
      <c r="C1600">
        <f t="shared" si="96"/>
        <v>0.96524761542622406</v>
      </c>
      <c r="D1600">
        <v>1584</v>
      </c>
      <c r="E1600">
        <f t="shared" si="97"/>
        <v>0</v>
      </c>
      <c r="F1600">
        <f t="shared" si="98"/>
        <v>0</v>
      </c>
      <c r="G1600" t="str">
        <f t="shared" si="99"/>
        <v>extra</v>
      </c>
      <c r="J1600">
        <v>1569</v>
      </c>
      <c r="K1600">
        <v>0.76975299380149975</v>
      </c>
    </row>
    <row r="1601" spans="1:11" x14ac:dyDescent="0.25">
      <c r="A1601" s="3">
        <v>39216</v>
      </c>
      <c r="B1601">
        <v>3734.42</v>
      </c>
      <c r="C1601">
        <f t="shared" si="96"/>
        <v>1.0085912369922838</v>
      </c>
      <c r="D1601">
        <v>1585</v>
      </c>
      <c r="E1601">
        <f t="shared" si="97"/>
        <v>0</v>
      </c>
      <c r="F1601">
        <f t="shared" si="98"/>
        <v>0</v>
      </c>
      <c r="G1601" t="str">
        <f t="shared" si="99"/>
        <v>extra</v>
      </c>
      <c r="J1601">
        <v>1570</v>
      </c>
      <c r="K1601">
        <v>0.77053770061848703</v>
      </c>
    </row>
    <row r="1602" spans="1:11" x14ac:dyDescent="0.25">
      <c r="A1602" s="3">
        <v>39213</v>
      </c>
      <c r="B1602">
        <v>3702.61</v>
      </c>
      <c r="C1602">
        <f t="shared" si="96"/>
        <v>0.99412003189681319</v>
      </c>
      <c r="D1602">
        <v>1586</v>
      </c>
      <c r="E1602">
        <f t="shared" si="97"/>
        <v>0</v>
      </c>
      <c r="F1602">
        <f t="shared" si="98"/>
        <v>0</v>
      </c>
      <c r="G1602" t="str">
        <f t="shared" si="99"/>
        <v>extra</v>
      </c>
      <c r="J1602">
        <v>1571</v>
      </c>
      <c r="K1602">
        <v>0.77465715956289927</v>
      </c>
    </row>
    <row r="1603" spans="1:11" x14ac:dyDescent="0.25">
      <c r="A1603" s="3">
        <v>39212</v>
      </c>
      <c r="B1603">
        <v>3724.51</v>
      </c>
      <c r="C1603">
        <f t="shared" si="96"/>
        <v>1.0062762071499589</v>
      </c>
      <c r="D1603">
        <v>1587</v>
      </c>
      <c r="E1603">
        <f t="shared" si="97"/>
        <v>0</v>
      </c>
      <c r="F1603">
        <f t="shared" si="98"/>
        <v>0</v>
      </c>
      <c r="G1603" t="str">
        <f t="shared" si="99"/>
        <v>extra</v>
      </c>
      <c r="J1603">
        <v>1572</v>
      </c>
      <c r="K1603">
        <v>0.77530850183871014</v>
      </c>
    </row>
    <row r="1604" spans="1:11" x14ac:dyDescent="0.25">
      <c r="A1604" s="3">
        <v>39211</v>
      </c>
      <c r="B1604">
        <v>3701.28</v>
      </c>
      <c r="C1604">
        <f t="shared" si="96"/>
        <v>1.0041372425075217</v>
      </c>
      <c r="D1604">
        <v>1588</v>
      </c>
      <c r="E1604">
        <f t="shared" si="97"/>
        <v>0</v>
      </c>
      <c r="F1604">
        <f t="shared" si="98"/>
        <v>0</v>
      </c>
      <c r="G1604" t="str">
        <f t="shared" si="99"/>
        <v>extra</v>
      </c>
      <c r="J1604">
        <v>1573</v>
      </c>
      <c r="K1604">
        <v>0.77538549869655538</v>
      </c>
    </row>
    <row r="1605" spans="1:11" x14ac:dyDescent="0.25">
      <c r="A1605" s="3">
        <v>39210</v>
      </c>
      <c r="B1605">
        <v>3686.03</v>
      </c>
      <c r="C1605">
        <f t="shared" si="96"/>
        <v>1.0357770090847527</v>
      </c>
      <c r="D1605">
        <v>1589</v>
      </c>
      <c r="E1605">
        <f t="shared" si="97"/>
        <v>0</v>
      </c>
      <c r="F1605">
        <f t="shared" si="98"/>
        <v>0</v>
      </c>
      <c r="G1605" t="str">
        <f t="shared" si="99"/>
        <v>extra</v>
      </c>
      <c r="J1605">
        <v>1574</v>
      </c>
      <c r="K1605">
        <v>0.77851242563844703</v>
      </c>
    </row>
    <row r="1606" spans="1:11" x14ac:dyDescent="0.25">
      <c r="A1606" s="3">
        <v>39202</v>
      </c>
      <c r="B1606">
        <v>3558.71</v>
      </c>
      <c r="C1606">
        <f t="shared" si="96"/>
        <v>1.0254111775756947</v>
      </c>
      <c r="D1606">
        <v>1590</v>
      </c>
      <c r="E1606">
        <f t="shared" si="97"/>
        <v>0</v>
      </c>
      <c r="F1606">
        <f t="shared" si="98"/>
        <v>0</v>
      </c>
      <c r="G1606" t="str">
        <f t="shared" si="99"/>
        <v>extra</v>
      </c>
      <c r="J1606">
        <v>1575</v>
      </c>
      <c r="K1606">
        <v>0.77886976129533936</v>
      </c>
    </row>
    <row r="1607" spans="1:11" x14ac:dyDescent="0.25">
      <c r="A1607" s="3">
        <v>39199</v>
      </c>
      <c r="B1607">
        <v>3470.52</v>
      </c>
      <c r="C1607">
        <f t="shared" si="96"/>
        <v>0.99339932104030826</v>
      </c>
      <c r="D1607">
        <v>1591</v>
      </c>
      <c r="E1607">
        <f t="shared" si="97"/>
        <v>0</v>
      </c>
      <c r="F1607">
        <f t="shared" si="98"/>
        <v>0</v>
      </c>
      <c r="G1607" t="str">
        <f t="shared" si="99"/>
        <v>extra</v>
      </c>
      <c r="J1607">
        <v>1576</v>
      </c>
      <c r="K1607">
        <v>0.77918101853720612</v>
      </c>
    </row>
    <row r="1608" spans="1:11" x14ac:dyDescent="0.25">
      <c r="A1608" s="3">
        <v>39198</v>
      </c>
      <c r="B1608">
        <v>3493.58</v>
      </c>
      <c r="C1608">
        <f t="shared" si="96"/>
        <v>1.0131369842356188</v>
      </c>
      <c r="D1608">
        <v>1592</v>
      </c>
      <c r="E1608">
        <f t="shared" si="97"/>
        <v>0</v>
      </c>
      <c r="F1608">
        <f t="shared" si="98"/>
        <v>0</v>
      </c>
      <c r="G1608" t="str">
        <f t="shared" si="99"/>
        <v>extra</v>
      </c>
      <c r="J1608">
        <v>1577</v>
      </c>
      <c r="K1608">
        <v>0.77936423421307843</v>
      </c>
    </row>
    <row r="1609" spans="1:11" x14ac:dyDescent="0.25">
      <c r="A1609" s="3">
        <v>39197</v>
      </c>
      <c r="B1609">
        <v>3448.28</v>
      </c>
      <c r="C1609">
        <f t="shared" si="96"/>
        <v>1.0008939974457216</v>
      </c>
      <c r="D1609">
        <v>1593</v>
      </c>
      <c r="E1609">
        <f t="shared" si="97"/>
        <v>0</v>
      </c>
      <c r="F1609">
        <f t="shared" si="98"/>
        <v>0</v>
      </c>
      <c r="G1609" t="str">
        <f t="shared" si="99"/>
        <v>extra</v>
      </c>
      <c r="J1609">
        <v>1578</v>
      </c>
      <c r="K1609">
        <v>0.77937728011589491</v>
      </c>
    </row>
    <row r="1610" spans="1:11" x14ac:dyDescent="0.25">
      <c r="A1610" s="3">
        <v>39196</v>
      </c>
      <c r="B1610">
        <v>3445.2</v>
      </c>
      <c r="C1610">
        <f t="shared" si="96"/>
        <v>1.0040450905191005</v>
      </c>
      <c r="D1610">
        <v>1594</v>
      </c>
      <c r="E1610">
        <f t="shared" si="97"/>
        <v>0</v>
      </c>
      <c r="F1610">
        <f t="shared" si="98"/>
        <v>0</v>
      </c>
      <c r="G1610" t="str">
        <f t="shared" si="99"/>
        <v>extra</v>
      </c>
      <c r="J1610">
        <v>1579</v>
      </c>
      <c r="K1610">
        <v>0.77958171642585072</v>
      </c>
    </row>
    <row r="1611" spans="1:11" x14ac:dyDescent="0.25">
      <c r="A1611" s="3">
        <v>39195</v>
      </c>
      <c r="B1611">
        <v>3431.32</v>
      </c>
      <c r="C1611">
        <f t="shared" si="96"/>
        <v>1.0431827025975289</v>
      </c>
      <c r="D1611">
        <v>1595</v>
      </c>
      <c r="E1611">
        <f t="shared" si="97"/>
        <v>0</v>
      </c>
      <c r="F1611">
        <f t="shared" si="98"/>
        <v>0</v>
      </c>
      <c r="G1611" t="str">
        <f t="shared" si="99"/>
        <v>extra</v>
      </c>
      <c r="J1611">
        <v>1580</v>
      </c>
      <c r="K1611">
        <v>0.7796515699018266</v>
      </c>
    </row>
    <row r="1612" spans="1:11" x14ac:dyDescent="0.25">
      <c r="A1612" s="3">
        <v>39192</v>
      </c>
      <c r="B1612">
        <v>3289.28</v>
      </c>
      <c r="C1612">
        <f t="shared" si="96"/>
        <v>1.0441164333555535</v>
      </c>
      <c r="D1612">
        <v>1596</v>
      </c>
      <c r="E1612">
        <f t="shared" si="97"/>
        <v>0</v>
      </c>
      <c r="F1612">
        <f t="shared" si="98"/>
        <v>0</v>
      </c>
      <c r="G1612" t="str">
        <f t="shared" si="99"/>
        <v>extra</v>
      </c>
      <c r="J1612">
        <v>1581</v>
      </c>
      <c r="K1612">
        <v>0.77979025402014845</v>
      </c>
    </row>
    <row r="1613" spans="1:11" x14ac:dyDescent="0.25">
      <c r="A1613" s="3">
        <v>39191</v>
      </c>
      <c r="B1613">
        <v>3150.3</v>
      </c>
      <c r="C1613">
        <f t="shared" si="96"/>
        <v>0.95333635950975948</v>
      </c>
      <c r="D1613">
        <v>1597</v>
      </c>
      <c r="E1613">
        <f t="shared" si="97"/>
        <v>0</v>
      </c>
      <c r="F1613">
        <f t="shared" si="98"/>
        <v>0</v>
      </c>
      <c r="G1613" t="str">
        <f t="shared" si="99"/>
        <v>extra</v>
      </c>
      <c r="J1613">
        <v>1582</v>
      </c>
      <c r="K1613">
        <v>0.77978997406567063</v>
      </c>
    </row>
    <row r="1614" spans="1:11" x14ac:dyDescent="0.25">
      <c r="A1614" s="3">
        <v>39190</v>
      </c>
      <c r="B1614">
        <v>3304.5</v>
      </c>
      <c r="C1614">
        <f t="shared" si="96"/>
        <v>1.0063649652820075</v>
      </c>
      <c r="D1614">
        <v>1598</v>
      </c>
      <c r="E1614">
        <f t="shared" si="97"/>
        <v>0</v>
      </c>
      <c r="F1614">
        <f t="shared" si="98"/>
        <v>0</v>
      </c>
      <c r="G1614" t="str">
        <f t="shared" si="99"/>
        <v>extra</v>
      </c>
      <c r="J1614">
        <v>1583</v>
      </c>
      <c r="K1614">
        <v>0.78007920275541875</v>
      </c>
    </row>
    <row r="1615" spans="1:11" x14ac:dyDescent="0.25">
      <c r="A1615" s="3">
        <v>39189</v>
      </c>
      <c r="B1615">
        <v>3283.6</v>
      </c>
      <c r="C1615">
        <f t="shared" si="96"/>
        <v>1.0084766584766585</v>
      </c>
      <c r="D1615">
        <v>1599</v>
      </c>
      <c r="E1615">
        <f t="shared" si="97"/>
        <v>0</v>
      </c>
      <c r="F1615">
        <f t="shared" si="98"/>
        <v>0</v>
      </c>
      <c r="G1615" t="str">
        <f t="shared" si="99"/>
        <v>extra</v>
      </c>
      <c r="J1615">
        <v>1584</v>
      </c>
      <c r="K1615">
        <v>0.78052834778463898</v>
      </c>
    </row>
    <row r="1616" spans="1:11" x14ac:dyDescent="0.25">
      <c r="A1616" s="3">
        <v>39188</v>
      </c>
      <c r="B1616">
        <v>3256</v>
      </c>
      <c r="C1616">
        <f t="shared" si="96"/>
        <v>1.0273788901405072</v>
      </c>
      <c r="D1616">
        <v>1600</v>
      </c>
      <c r="E1616">
        <f t="shared" si="97"/>
        <v>0</v>
      </c>
      <c r="F1616">
        <f t="shared" si="98"/>
        <v>0</v>
      </c>
      <c r="G1616" t="str">
        <f t="shared" si="99"/>
        <v>extra</v>
      </c>
      <c r="J1616">
        <v>1585</v>
      </c>
      <c r="K1616">
        <v>0.78131737654130695</v>
      </c>
    </row>
    <row r="1617" spans="1:11" x14ac:dyDescent="0.25">
      <c r="A1617" s="3">
        <v>39185</v>
      </c>
      <c r="B1617">
        <v>3169.23</v>
      </c>
      <c r="C1617">
        <f t="shared" si="96"/>
        <v>0.99773016332749864</v>
      </c>
      <c r="D1617">
        <v>1601</v>
      </c>
      <c r="E1617">
        <f t="shared" si="97"/>
        <v>0</v>
      </c>
      <c r="F1617">
        <f t="shared" si="98"/>
        <v>0</v>
      </c>
      <c r="G1617" t="str">
        <f t="shared" si="99"/>
        <v>extra</v>
      </c>
      <c r="J1617">
        <v>1586</v>
      </c>
      <c r="K1617">
        <v>0.78136718069141042</v>
      </c>
    </row>
    <row r="1618" spans="1:11" x14ac:dyDescent="0.25">
      <c r="A1618" s="3">
        <v>39184</v>
      </c>
      <c r="B1618">
        <v>3176.44</v>
      </c>
      <c r="C1618">
        <f t="shared" ref="C1618:C1681" si="100">B1618/B1619</f>
        <v>1.0176591954685839</v>
      </c>
      <c r="D1618">
        <v>1602</v>
      </c>
      <c r="E1618">
        <f t="shared" ref="E1618:E1681" si="101">IF(D1618&gt;$B$6,0,LN(C1618))</f>
        <v>0</v>
      </c>
      <c r="F1618">
        <f t="shared" ref="F1618:F1681" si="102">IF(D1618&gt;$B$6,0,(E1618-$B$7)^2)</f>
        <v>0</v>
      </c>
      <c r="G1618" t="str">
        <f t="shared" ref="G1618:G1681" si="103">IF(D1618&lt;=$B$6,E1618,"extra")</f>
        <v>extra</v>
      </c>
      <c r="J1618">
        <v>1587</v>
      </c>
      <c r="K1618">
        <v>0.78138702639528912</v>
      </c>
    </row>
    <row r="1619" spans="1:11" x14ac:dyDescent="0.25">
      <c r="A1619" s="3">
        <v>39183</v>
      </c>
      <c r="B1619">
        <v>3121.32</v>
      </c>
      <c r="C1619">
        <f t="shared" si="100"/>
        <v>1.0128992688791751</v>
      </c>
      <c r="D1619">
        <v>1603</v>
      </c>
      <c r="E1619">
        <f t="shared" si="101"/>
        <v>0</v>
      </c>
      <c r="F1619">
        <f t="shared" si="102"/>
        <v>0</v>
      </c>
      <c r="G1619" t="str">
        <f t="shared" si="103"/>
        <v>extra</v>
      </c>
      <c r="J1619">
        <v>1588</v>
      </c>
      <c r="K1619">
        <v>0.78141415842239281</v>
      </c>
    </row>
    <row r="1620" spans="1:11" x14ac:dyDescent="0.25">
      <c r="A1620" s="3">
        <v>39182</v>
      </c>
      <c r="B1620">
        <v>3081.57</v>
      </c>
      <c r="C1620">
        <f t="shared" si="100"/>
        <v>1.0142849149323441</v>
      </c>
      <c r="D1620">
        <v>1604</v>
      </c>
      <c r="E1620">
        <f t="shared" si="101"/>
        <v>0</v>
      </c>
      <c r="F1620">
        <f t="shared" si="102"/>
        <v>0</v>
      </c>
      <c r="G1620" t="str">
        <f t="shared" si="103"/>
        <v>extra</v>
      </c>
      <c r="J1620">
        <v>1589</v>
      </c>
      <c r="K1620">
        <v>0.78142632711868221</v>
      </c>
    </row>
    <row r="1621" spans="1:11" x14ac:dyDescent="0.25">
      <c r="A1621" s="3">
        <v>39181</v>
      </c>
      <c r="B1621">
        <v>3038.17</v>
      </c>
      <c r="C1621">
        <f t="shared" si="100"/>
        <v>1.0222610287313971</v>
      </c>
      <c r="D1621">
        <v>1605</v>
      </c>
      <c r="E1621">
        <f t="shared" si="101"/>
        <v>0</v>
      </c>
      <c r="F1621">
        <f t="shared" si="102"/>
        <v>0</v>
      </c>
      <c r="G1621" t="str">
        <f t="shared" si="103"/>
        <v>extra</v>
      </c>
      <c r="J1621">
        <v>1590</v>
      </c>
      <c r="K1621">
        <v>0.78222954450912052</v>
      </c>
    </row>
    <row r="1622" spans="1:11" x14ac:dyDescent="0.25">
      <c r="A1622" s="3">
        <v>39178</v>
      </c>
      <c r="B1622">
        <v>2972.01</v>
      </c>
      <c r="C1622">
        <f t="shared" si="100"/>
        <v>1.0091543437293085</v>
      </c>
      <c r="D1622">
        <v>1606</v>
      </c>
      <c r="E1622">
        <f t="shared" si="101"/>
        <v>0</v>
      </c>
      <c r="F1622">
        <f t="shared" si="102"/>
        <v>0</v>
      </c>
      <c r="G1622" t="str">
        <f t="shared" si="103"/>
        <v>extra</v>
      </c>
      <c r="J1622">
        <v>1591</v>
      </c>
      <c r="K1622">
        <v>0.78264029942388569</v>
      </c>
    </row>
    <row r="1623" spans="1:11" x14ac:dyDescent="0.25">
      <c r="A1623" s="3">
        <v>39177</v>
      </c>
      <c r="B1623">
        <v>2945.05</v>
      </c>
      <c r="C1623">
        <f t="shared" si="100"/>
        <v>1.0114121065175732</v>
      </c>
      <c r="D1623">
        <v>1607</v>
      </c>
      <c r="E1623">
        <f t="shared" si="101"/>
        <v>0</v>
      </c>
      <c r="F1623">
        <f t="shared" si="102"/>
        <v>0</v>
      </c>
      <c r="G1623" t="str">
        <f t="shared" si="103"/>
        <v>extra</v>
      </c>
      <c r="J1623">
        <v>1592</v>
      </c>
      <c r="K1623">
        <v>0.78266599045648078</v>
      </c>
    </row>
    <row r="1624" spans="1:11" x14ac:dyDescent="0.25">
      <c r="A1624" s="3">
        <v>39176</v>
      </c>
      <c r="B1624">
        <v>2911.82</v>
      </c>
      <c r="C1624">
        <f t="shared" si="100"/>
        <v>1.008206030220351</v>
      </c>
      <c r="D1624">
        <v>1608</v>
      </c>
      <c r="E1624">
        <f t="shared" si="101"/>
        <v>0</v>
      </c>
      <c r="F1624">
        <f t="shared" si="102"/>
        <v>0</v>
      </c>
      <c r="G1624" t="str">
        <f t="shared" si="103"/>
        <v>extra</v>
      </c>
      <c r="J1624">
        <v>1593</v>
      </c>
      <c r="K1624">
        <v>0.78277875706746669</v>
      </c>
    </row>
    <row r="1625" spans="1:11" x14ac:dyDescent="0.25">
      <c r="A1625" s="3">
        <v>39175</v>
      </c>
      <c r="B1625">
        <v>2888.12</v>
      </c>
      <c r="C1625">
        <f t="shared" si="100"/>
        <v>1.0133363273698208</v>
      </c>
      <c r="D1625">
        <v>1609</v>
      </c>
      <c r="E1625">
        <f t="shared" si="101"/>
        <v>0</v>
      </c>
      <c r="F1625">
        <f t="shared" si="102"/>
        <v>0</v>
      </c>
      <c r="G1625" t="str">
        <f t="shared" si="103"/>
        <v>extra</v>
      </c>
      <c r="J1625">
        <v>1594</v>
      </c>
      <c r="K1625">
        <v>0.78277927071891973</v>
      </c>
    </row>
    <row r="1626" spans="1:11" x14ac:dyDescent="0.25">
      <c r="A1626" s="3">
        <v>39174</v>
      </c>
      <c r="B1626">
        <v>2850.11</v>
      </c>
      <c r="C1626">
        <f t="shared" si="100"/>
        <v>1.0245634090402547</v>
      </c>
      <c r="D1626">
        <v>1610</v>
      </c>
      <c r="E1626">
        <f t="shared" si="101"/>
        <v>0</v>
      </c>
      <c r="F1626">
        <f t="shared" si="102"/>
        <v>0</v>
      </c>
      <c r="G1626" t="str">
        <f t="shared" si="103"/>
        <v>extra</v>
      </c>
      <c r="J1626">
        <v>1595</v>
      </c>
      <c r="K1626">
        <v>0.78279065357221822</v>
      </c>
    </row>
    <row r="1627" spans="1:11" x14ac:dyDescent="0.25">
      <c r="A1627" s="3">
        <v>39171</v>
      </c>
      <c r="B1627">
        <v>2781.78</v>
      </c>
      <c r="C1627">
        <f t="shared" si="100"/>
        <v>0.9994502947928906</v>
      </c>
      <c r="D1627">
        <v>1611</v>
      </c>
      <c r="E1627">
        <f t="shared" si="101"/>
        <v>0</v>
      </c>
      <c r="F1627">
        <f t="shared" si="102"/>
        <v>0</v>
      </c>
      <c r="G1627" t="str">
        <f t="shared" si="103"/>
        <v>extra</v>
      </c>
      <c r="J1627">
        <v>1596</v>
      </c>
      <c r="K1627">
        <v>0.78394468255152261</v>
      </c>
    </row>
    <row r="1628" spans="1:11" x14ac:dyDescent="0.25">
      <c r="A1628" s="3">
        <v>39170</v>
      </c>
      <c r="B1628">
        <v>2783.31</v>
      </c>
      <c r="C1628">
        <f t="shared" si="100"/>
        <v>0.99487426947616742</v>
      </c>
      <c r="D1628">
        <v>1612</v>
      </c>
      <c r="E1628">
        <f t="shared" si="101"/>
        <v>0</v>
      </c>
      <c r="F1628">
        <f t="shared" si="102"/>
        <v>0</v>
      </c>
      <c r="G1628" t="str">
        <f t="shared" si="103"/>
        <v>extra</v>
      </c>
      <c r="J1628">
        <v>1597</v>
      </c>
      <c r="K1628">
        <v>0.78514452657916067</v>
      </c>
    </row>
    <row r="1629" spans="1:11" x14ac:dyDescent="0.25">
      <c r="A1629" s="3">
        <v>39169</v>
      </c>
      <c r="B1629">
        <v>2797.65</v>
      </c>
      <c r="C1629">
        <f t="shared" si="100"/>
        <v>1.0048957981623696</v>
      </c>
      <c r="D1629">
        <v>1613</v>
      </c>
      <c r="E1629">
        <f t="shared" si="101"/>
        <v>0</v>
      </c>
      <c r="F1629">
        <f t="shared" si="102"/>
        <v>0</v>
      </c>
      <c r="G1629" t="str">
        <f t="shared" si="103"/>
        <v>extra</v>
      </c>
      <c r="J1629">
        <v>1598</v>
      </c>
      <c r="K1629">
        <v>0.78658693629008003</v>
      </c>
    </row>
    <row r="1630" spans="1:11" x14ac:dyDescent="0.25">
      <c r="A1630" s="3">
        <v>39168</v>
      </c>
      <c r="B1630">
        <v>2784.02</v>
      </c>
      <c r="C1630">
        <f t="shared" si="100"/>
        <v>1.0072321935724287</v>
      </c>
      <c r="D1630">
        <v>1614</v>
      </c>
      <c r="E1630">
        <f t="shared" si="101"/>
        <v>0</v>
      </c>
      <c r="F1630">
        <f t="shared" si="102"/>
        <v>0</v>
      </c>
      <c r="G1630" t="str">
        <f t="shared" si="103"/>
        <v>extra</v>
      </c>
      <c r="J1630">
        <v>1599</v>
      </c>
      <c r="K1630">
        <v>0.78661398303496566</v>
      </c>
    </row>
    <row r="1631" spans="1:11" x14ac:dyDescent="0.25">
      <c r="A1631" s="3">
        <v>39167</v>
      </c>
      <c r="B1631">
        <v>2764.03</v>
      </c>
      <c r="C1631">
        <f t="shared" si="100"/>
        <v>1.0175829354224728</v>
      </c>
      <c r="D1631">
        <v>1615</v>
      </c>
      <c r="E1631">
        <f t="shared" si="101"/>
        <v>0</v>
      </c>
      <c r="F1631">
        <f t="shared" si="102"/>
        <v>0</v>
      </c>
      <c r="G1631" t="str">
        <f t="shared" si="103"/>
        <v>extra</v>
      </c>
      <c r="J1631">
        <v>1600</v>
      </c>
      <c r="K1631">
        <v>0.78666126423560456</v>
      </c>
    </row>
    <row r="1632" spans="1:11" x14ac:dyDescent="0.25">
      <c r="A1632" s="3">
        <v>39164</v>
      </c>
      <c r="B1632">
        <v>2716.27</v>
      </c>
      <c r="C1632">
        <f t="shared" si="100"/>
        <v>1.0018256790050601</v>
      </c>
      <c r="D1632">
        <v>1616</v>
      </c>
      <c r="E1632">
        <f t="shared" si="101"/>
        <v>0</v>
      </c>
      <c r="F1632">
        <f t="shared" si="102"/>
        <v>0</v>
      </c>
      <c r="G1632" t="str">
        <f t="shared" si="103"/>
        <v>extra</v>
      </c>
      <c r="J1632">
        <v>1601</v>
      </c>
      <c r="K1632">
        <v>0.78713185318336265</v>
      </c>
    </row>
    <row r="1633" spans="1:11" x14ac:dyDescent="0.25">
      <c r="A1633" s="3">
        <v>39163</v>
      </c>
      <c r="B1633">
        <v>2711.32</v>
      </c>
      <c r="C1633">
        <f t="shared" si="100"/>
        <v>1.0032265226078592</v>
      </c>
      <c r="D1633">
        <v>1617</v>
      </c>
      <c r="E1633">
        <f t="shared" si="101"/>
        <v>0</v>
      </c>
      <c r="F1633">
        <f t="shared" si="102"/>
        <v>0</v>
      </c>
      <c r="G1633" t="str">
        <f t="shared" si="103"/>
        <v>extra</v>
      </c>
      <c r="J1633">
        <v>1602</v>
      </c>
      <c r="K1633">
        <v>0.78713431088581998</v>
      </c>
    </row>
    <row r="1634" spans="1:11" x14ac:dyDescent="0.25">
      <c r="A1634" s="3">
        <v>39162</v>
      </c>
      <c r="B1634">
        <v>2702.6</v>
      </c>
      <c r="C1634">
        <f t="shared" si="100"/>
        <v>1.0111607059342929</v>
      </c>
      <c r="D1634">
        <v>1618</v>
      </c>
      <c r="E1634">
        <f t="shared" si="101"/>
        <v>0</v>
      </c>
      <c r="F1634">
        <f t="shared" si="102"/>
        <v>0</v>
      </c>
      <c r="G1634" t="str">
        <f t="shared" si="103"/>
        <v>extra</v>
      </c>
      <c r="J1634">
        <v>1603</v>
      </c>
      <c r="K1634">
        <v>0.7873329549120095</v>
      </c>
    </row>
    <row r="1635" spans="1:11" x14ac:dyDescent="0.25">
      <c r="A1635" s="3">
        <v>39161</v>
      </c>
      <c r="B1635">
        <v>2672.77</v>
      </c>
      <c r="C1635">
        <f t="shared" si="100"/>
        <v>1.0050236706637938</v>
      </c>
      <c r="D1635">
        <v>1619</v>
      </c>
      <c r="E1635">
        <f t="shared" si="101"/>
        <v>0</v>
      </c>
      <c r="F1635">
        <f t="shared" si="102"/>
        <v>0</v>
      </c>
      <c r="G1635" t="str">
        <f t="shared" si="103"/>
        <v>extra</v>
      </c>
      <c r="J1635">
        <v>1604</v>
      </c>
      <c r="K1635">
        <v>0.78743992940091423</v>
      </c>
    </row>
    <row r="1636" spans="1:11" x14ac:dyDescent="0.25">
      <c r="A1636" s="3">
        <v>39160</v>
      </c>
      <c r="B1636">
        <v>2659.41</v>
      </c>
      <c r="C1636">
        <f t="shared" si="100"/>
        <v>1.0211886046931338</v>
      </c>
      <c r="D1636">
        <v>1620</v>
      </c>
      <c r="E1636">
        <f t="shared" si="101"/>
        <v>0</v>
      </c>
      <c r="F1636">
        <f t="shared" si="102"/>
        <v>0</v>
      </c>
      <c r="G1636" t="str">
        <f t="shared" si="103"/>
        <v>extra</v>
      </c>
      <c r="J1636">
        <v>1605</v>
      </c>
      <c r="K1636">
        <v>0.78757049797380352</v>
      </c>
    </row>
    <row r="1637" spans="1:11" x14ac:dyDescent="0.25">
      <c r="A1637" s="3">
        <v>39157</v>
      </c>
      <c r="B1637">
        <v>2604.23</v>
      </c>
      <c r="C1637">
        <f t="shared" si="100"/>
        <v>0.98438131957437958</v>
      </c>
      <c r="D1637">
        <v>1621</v>
      </c>
      <c r="E1637">
        <f t="shared" si="101"/>
        <v>0</v>
      </c>
      <c r="F1637">
        <f t="shared" si="102"/>
        <v>0</v>
      </c>
      <c r="G1637" t="str">
        <f t="shared" si="103"/>
        <v>extra</v>
      </c>
      <c r="J1637">
        <v>1606</v>
      </c>
      <c r="K1637">
        <v>0.78788255742188607</v>
      </c>
    </row>
    <row r="1638" spans="1:11" x14ac:dyDescent="0.25">
      <c r="A1638" s="3">
        <v>39156</v>
      </c>
      <c r="B1638">
        <v>2645.55</v>
      </c>
      <c r="C1638">
        <f t="shared" si="100"/>
        <v>1.0185534542766501</v>
      </c>
      <c r="D1638">
        <v>1622</v>
      </c>
      <c r="E1638">
        <f t="shared" si="101"/>
        <v>0</v>
      </c>
      <c r="F1638">
        <f t="shared" si="102"/>
        <v>0</v>
      </c>
      <c r="G1638" t="str">
        <f t="shared" si="103"/>
        <v>extra</v>
      </c>
      <c r="J1638">
        <v>1607</v>
      </c>
      <c r="K1638">
        <v>0.78793668628135249</v>
      </c>
    </row>
    <row r="1639" spans="1:11" x14ac:dyDescent="0.25">
      <c r="A1639" s="3">
        <v>39155</v>
      </c>
      <c r="B1639">
        <v>2597.36</v>
      </c>
      <c r="C1639">
        <f t="shared" si="100"/>
        <v>0.98378513504812193</v>
      </c>
      <c r="D1639">
        <v>1623</v>
      </c>
      <c r="E1639">
        <f t="shared" si="101"/>
        <v>0</v>
      </c>
      <c r="F1639">
        <f t="shared" si="102"/>
        <v>0</v>
      </c>
      <c r="G1639" t="str">
        <f t="shared" si="103"/>
        <v>extra</v>
      </c>
      <c r="J1639">
        <v>1608</v>
      </c>
      <c r="K1639">
        <v>0.78802017283242021</v>
      </c>
    </row>
    <row r="1640" spans="1:11" x14ac:dyDescent="0.25">
      <c r="A1640" s="3">
        <v>39154</v>
      </c>
      <c r="B1640">
        <v>2640.17</v>
      </c>
      <c r="C1640">
        <f t="shared" si="100"/>
        <v>1.0091737157753511</v>
      </c>
      <c r="D1640">
        <v>1624</v>
      </c>
      <c r="E1640">
        <f t="shared" si="101"/>
        <v>0</v>
      </c>
      <c r="F1640">
        <f t="shared" si="102"/>
        <v>0</v>
      </c>
      <c r="G1640" t="str">
        <f t="shared" si="103"/>
        <v>extra</v>
      </c>
      <c r="J1640">
        <v>1609</v>
      </c>
      <c r="K1640">
        <v>0.78806366522738303</v>
      </c>
    </row>
    <row r="1641" spans="1:11" x14ac:dyDescent="0.25">
      <c r="A1641" s="3">
        <v>39153</v>
      </c>
      <c r="B1641">
        <v>2616.17</v>
      </c>
      <c r="C1641">
        <f t="shared" si="100"/>
        <v>1.0018304427910041</v>
      </c>
      <c r="D1641">
        <v>1625</v>
      </c>
      <c r="E1641">
        <f t="shared" si="101"/>
        <v>0</v>
      </c>
      <c r="F1641">
        <f t="shared" si="102"/>
        <v>0</v>
      </c>
      <c r="G1641" t="str">
        <f t="shared" si="103"/>
        <v>extra</v>
      </c>
      <c r="J1641">
        <v>1610</v>
      </c>
      <c r="K1641">
        <v>0.78817694379767034</v>
      </c>
    </row>
    <row r="1642" spans="1:11" x14ac:dyDescent="0.25">
      <c r="A1642" s="3">
        <v>39150</v>
      </c>
      <c r="B1642">
        <v>2611.39</v>
      </c>
      <c r="C1642">
        <f t="shared" si="100"/>
        <v>0.99381952558008535</v>
      </c>
      <c r="D1642">
        <v>1626</v>
      </c>
      <c r="E1642">
        <f t="shared" si="101"/>
        <v>0</v>
      </c>
      <c r="F1642">
        <f t="shared" si="102"/>
        <v>0</v>
      </c>
      <c r="G1642" t="str">
        <f t="shared" si="103"/>
        <v>extra</v>
      </c>
      <c r="J1642">
        <v>1611</v>
      </c>
      <c r="K1642">
        <v>0.78855404136765028</v>
      </c>
    </row>
    <row r="1643" spans="1:11" x14ac:dyDescent="0.25">
      <c r="A1643" s="3">
        <v>39149</v>
      </c>
      <c r="B1643">
        <v>2627.63</v>
      </c>
      <c r="C1643">
        <f t="shared" si="100"/>
        <v>1.0147483625803262</v>
      </c>
      <c r="D1643">
        <v>1627</v>
      </c>
      <c r="E1643">
        <f t="shared" si="101"/>
        <v>0</v>
      </c>
      <c r="F1643">
        <f t="shared" si="102"/>
        <v>0</v>
      </c>
      <c r="G1643" t="str">
        <f t="shared" si="103"/>
        <v>extra</v>
      </c>
      <c r="J1643">
        <v>1612</v>
      </c>
      <c r="K1643">
        <v>0.7885538631412975</v>
      </c>
    </row>
    <row r="1644" spans="1:11" x14ac:dyDescent="0.25">
      <c r="A1644" s="3">
        <v>39148</v>
      </c>
      <c r="B1644">
        <v>2589.44</v>
      </c>
      <c r="C1644">
        <f t="shared" si="100"/>
        <v>1.0274373187212582</v>
      </c>
      <c r="D1644">
        <v>1628</v>
      </c>
      <c r="E1644">
        <f t="shared" si="101"/>
        <v>0</v>
      </c>
      <c r="F1644">
        <f t="shared" si="102"/>
        <v>0</v>
      </c>
      <c r="G1644" t="str">
        <f t="shared" si="103"/>
        <v>extra</v>
      </c>
      <c r="J1644">
        <v>1613</v>
      </c>
      <c r="K1644">
        <v>0.7885696378135757</v>
      </c>
    </row>
    <row r="1645" spans="1:11" x14ac:dyDescent="0.25">
      <c r="A1645" s="3">
        <v>39147</v>
      </c>
      <c r="B1645">
        <v>2520.29</v>
      </c>
      <c r="C1645">
        <f t="shared" si="100"/>
        <v>1.0180480770395983</v>
      </c>
      <c r="D1645">
        <v>1629</v>
      </c>
      <c r="E1645">
        <f t="shared" si="101"/>
        <v>0</v>
      </c>
      <c r="F1645">
        <f t="shared" si="102"/>
        <v>0</v>
      </c>
      <c r="G1645" t="str">
        <f t="shared" si="103"/>
        <v>extra</v>
      </c>
      <c r="J1645">
        <v>1614</v>
      </c>
      <c r="K1645">
        <v>0.78858514388178846</v>
      </c>
    </row>
    <row r="1646" spans="1:11" x14ac:dyDescent="0.25">
      <c r="A1646" s="3">
        <v>39146</v>
      </c>
      <c r="B1646">
        <v>2475.61</v>
      </c>
      <c r="C1646">
        <f t="shared" si="100"/>
        <v>0.98679810103119914</v>
      </c>
      <c r="D1646">
        <v>1630</v>
      </c>
      <c r="E1646">
        <f t="shared" si="101"/>
        <v>0</v>
      </c>
      <c r="F1646">
        <f t="shared" si="102"/>
        <v>0</v>
      </c>
      <c r="G1646" t="str">
        <f t="shared" si="103"/>
        <v>extra</v>
      </c>
      <c r="J1646">
        <v>1615</v>
      </c>
      <c r="K1646">
        <v>0.78861875194635966</v>
      </c>
    </row>
    <row r="1647" spans="1:11" x14ac:dyDescent="0.25">
      <c r="A1647" s="3">
        <v>39143</v>
      </c>
      <c r="B1647">
        <v>2508.73</v>
      </c>
      <c r="C1647">
        <f t="shared" si="100"/>
        <v>1.0142265740598495</v>
      </c>
      <c r="D1647">
        <v>1631</v>
      </c>
      <c r="E1647">
        <f t="shared" si="101"/>
        <v>0</v>
      </c>
      <c r="F1647">
        <f t="shared" si="102"/>
        <v>0</v>
      </c>
      <c r="G1647" t="str">
        <f t="shared" si="103"/>
        <v>extra</v>
      </c>
      <c r="J1647">
        <v>1616</v>
      </c>
      <c r="K1647">
        <v>0.78881339188854438</v>
      </c>
    </row>
    <row r="1648" spans="1:11" x14ac:dyDescent="0.25">
      <c r="A1648" s="3">
        <v>39142</v>
      </c>
      <c r="B1648">
        <v>2473.54</v>
      </c>
      <c r="C1648">
        <f t="shared" si="100"/>
        <v>0.9720856569086328</v>
      </c>
      <c r="D1648">
        <v>1632</v>
      </c>
      <c r="E1648">
        <f t="shared" si="101"/>
        <v>0</v>
      </c>
      <c r="F1648">
        <f t="shared" si="102"/>
        <v>0</v>
      </c>
      <c r="G1648" t="str">
        <f t="shared" si="103"/>
        <v>extra</v>
      </c>
      <c r="J1648">
        <v>1617</v>
      </c>
      <c r="K1648">
        <v>0.78881541197805172</v>
      </c>
    </row>
    <row r="1649" spans="1:11" x14ac:dyDescent="0.25">
      <c r="A1649" s="3">
        <v>39141</v>
      </c>
      <c r="B1649">
        <v>2544.5700000000002</v>
      </c>
      <c r="C1649">
        <f t="shared" si="100"/>
        <v>1.035434528726465</v>
      </c>
      <c r="D1649">
        <v>1633</v>
      </c>
      <c r="E1649">
        <f t="shared" si="101"/>
        <v>0</v>
      </c>
      <c r="F1649">
        <f t="shared" si="102"/>
        <v>0</v>
      </c>
      <c r="G1649" t="str">
        <f t="shared" si="103"/>
        <v>extra</v>
      </c>
      <c r="J1649">
        <v>1618</v>
      </c>
      <c r="K1649">
        <v>0.78882205751021395</v>
      </c>
    </row>
    <row r="1650" spans="1:11" x14ac:dyDescent="0.25">
      <c r="A1650" s="3">
        <v>39140</v>
      </c>
      <c r="B1650">
        <v>2457.4899999999998</v>
      </c>
      <c r="C1650">
        <f t="shared" si="100"/>
        <v>0.90759986409029125</v>
      </c>
      <c r="D1650">
        <v>1634</v>
      </c>
      <c r="E1650">
        <f t="shared" si="101"/>
        <v>0</v>
      </c>
      <c r="F1650">
        <f t="shared" si="102"/>
        <v>0</v>
      </c>
      <c r="G1650" t="str">
        <f t="shared" si="103"/>
        <v>extra</v>
      </c>
      <c r="J1650">
        <v>1619</v>
      </c>
      <c r="K1650">
        <v>0.78890110129235069</v>
      </c>
    </row>
    <row r="1651" spans="1:11" x14ac:dyDescent="0.25">
      <c r="A1651" s="3">
        <v>39139</v>
      </c>
      <c r="B1651">
        <v>2707.68</v>
      </c>
      <c r="C1651">
        <f t="shared" si="100"/>
        <v>1.0115588364951396</v>
      </c>
      <c r="D1651">
        <v>1635</v>
      </c>
      <c r="E1651">
        <f t="shared" si="101"/>
        <v>0</v>
      </c>
      <c r="F1651">
        <f t="shared" si="102"/>
        <v>0</v>
      </c>
      <c r="G1651" t="str">
        <f t="shared" si="103"/>
        <v>extra</v>
      </c>
      <c r="J1651">
        <v>1620</v>
      </c>
      <c r="K1651">
        <v>0.78891723335444597</v>
      </c>
    </row>
    <row r="1652" spans="1:11" x14ac:dyDescent="0.25">
      <c r="A1652" s="3">
        <v>39129</v>
      </c>
      <c r="B1652">
        <v>2676.74</v>
      </c>
      <c r="C1652">
        <f t="shared" si="100"/>
        <v>1.0030390125270268</v>
      </c>
      <c r="D1652">
        <v>1636</v>
      </c>
      <c r="E1652">
        <f t="shared" si="101"/>
        <v>0</v>
      </c>
      <c r="F1652">
        <f t="shared" si="102"/>
        <v>0</v>
      </c>
      <c r="G1652" t="str">
        <f t="shared" si="103"/>
        <v>extra</v>
      </c>
      <c r="J1652">
        <v>1621</v>
      </c>
      <c r="K1652">
        <v>0.78919771083743395</v>
      </c>
    </row>
    <row r="1653" spans="1:11" x14ac:dyDescent="0.25">
      <c r="A1653" s="3">
        <v>39128</v>
      </c>
      <c r="B1653">
        <v>2668.63</v>
      </c>
      <c r="C1653">
        <f t="shared" si="100"/>
        <v>1.0310158981590589</v>
      </c>
      <c r="D1653">
        <v>1637</v>
      </c>
      <c r="E1653">
        <f t="shared" si="101"/>
        <v>0</v>
      </c>
      <c r="F1653">
        <f t="shared" si="102"/>
        <v>0</v>
      </c>
      <c r="G1653" t="str">
        <f t="shared" si="103"/>
        <v>extra</v>
      </c>
      <c r="J1653">
        <v>1622</v>
      </c>
      <c r="K1653">
        <v>0.7893532329423355</v>
      </c>
    </row>
    <row r="1654" spans="1:11" x14ac:dyDescent="0.25">
      <c r="A1654" s="3">
        <v>39127</v>
      </c>
      <c r="B1654">
        <v>2588.35</v>
      </c>
      <c r="C1654">
        <f t="shared" si="100"/>
        <v>1.0260521757055137</v>
      </c>
      <c r="D1654">
        <v>1638</v>
      </c>
      <c r="E1654">
        <f t="shared" si="101"/>
        <v>0</v>
      </c>
      <c r="F1654">
        <f t="shared" si="102"/>
        <v>0</v>
      </c>
      <c r="G1654" t="str">
        <f t="shared" si="103"/>
        <v>extra</v>
      </c>
      <c r="J1654">
        <v>1623</v>
      </c>
      <c r="K1654">
        <v>0.78956880538644902</v>
      </c>
    </row>
    <row r="1655" spans="1:11" x14ac:dyDescent="0.25">
      <c r="A1655" s="3">
        <v>39126</v>
      </c>
      <c r="B1655">
        <v>2522.63</v>
      </c>
      <c r="C1655">
        <f t="shared" si="100"/>
        <v>1.0149835639477105</v>
      </c>
      <c r="D1655">
        <v>1639</v>
      </c>
      <c r="E1655">
        <f t="shared" si="101"/>
        <v>0</v>
      </c>
      <c r="F1655">
        <f t="shared" si="102"/>
        <v>0</v>
      </c>
      <c r="G1655" t="str">
        <f t="shared" si="103"/>
        <v>extra</v>
      </c>
      <c r="J1655">
        <v>1624</v>
      </c>
      <c r="K1655">
        <v>0.78973655753753125</v>
      </c>
    </row>
    <row r="1656" spans="1:11" x14ac:dyDescent="0.25">
      <c r="A1656" s="3">
        <v>39125</v>
      </c>
      <c r="B1656">
        <v>2485.39</v>
      </c>
      <c r="C1656">
        <f t="shared" si="100"/>
        <v>1.0367671290019813</v>
      </c>
      <c r="D1656">
        <v>1640</v>
      </c>
      <c r="E1656">
        <f t="shared" si="101"/>
        <v>0</v>
      </c>
      <c r="F1656">
        <f t="shared" si="102"/>
        <v>0</v>
      </c>
      <c r="G1656" t="str">
        <f t="shared" si="103"/>
        <v>extra</v>
      </c>
      <c r="J1656">
        <v>1625</v>
      </c>
      <c r="K1656">
        <v>0.78978991667749454</v>
      </c>
    </row>
    <row r="1657" spans="1:11" x14ac:dyDescent="0.25">
      <c r="A1657" s="3">
        <v>39122</v>
      </c>
      <c r="B1657">
        <v>2397.25</v>
      </c>
      <c r="C1657">
        <f t="shared" si="100"/>
        <v>0.99446195967808848</v>
      </c>
      <c r="D1657">
        <v>1641</v>
      </c>
      <c r="E1657">
        <f t="shared" si="101"/>
        <v>0</v>
      </c>
      <c r="F1657">
        <f t="shared" si="102"/>
        <v>0</v>
      </c>
      <c r="G1657" t="str">
        <f t="shared" si="103"/>
        <v>extra</v>
      </c>
      <c r="J1657">
        <v>1626</v>
      </c>
      <c r="K1657">
        <v>0.78979189135643069</v>
      </c>
    </row>
    <row r="1658" spans="1:11" x14ac:dyDescent="0.25">
      <c r="A1658" s="3">
        <v>39121</v>
      </c>
      <c r="B1658">
        <v>2410.6</v>
      </c>
      <c r="C1658">
        <f t="shared" si="100"/>
        <v>1.0172209351883501</v>
      </c>
      <c r="D1658">
        <v>1642</v>
      </c>
      <c r="E1658">
        <f t="shared" si="101"/>
        <v>0</v>
      </c>
      <c r="F1658">
        <f t="shared" si="102"/>
        <v>0</v>
      </c>
      <c r="G1658" t="str">
        <f t="shared" si="103"/>
        <v>extra</v>
      </c>
      <c r="J1658">
        <v>1627</v>
      </c>
      <c r="K1658">
        <v>0.78981543422908307</v>
      </c>
    </row>
    <row r="1659" spans="1:11" x14ac:dyDescent="0.25">
      <c r="A1659" s="3">
        <v>39120</v>
      </c>
      <c r="B1659">
        <v>2369.79</v>
      </c>
      <c r="C1659">
        <f t="shared" si="100"/>
        <v>1.0232077166197475</v>
      </c>
      <c r="D1659">
        <v>1643</v>
      </c>
      <c r="E1659">
        <f t="shared" si="101"/>
        <v>0</v>
      </c>
      <c r="F1659">
        <f t="shared" si="102"/>
        <v>0</v>
      </c>
      <c r="G1659" t="str">
        <f t="shared" si="103"/>
        <v>extra</v>
      </c>
      <c r="J1659">
        <v>1628</v>
      </c>
      <c r="K1659">
        <v>0.78995217612316604</v>
      </c>
    </row>
    <row r="1660" spans="1:11" x14ac:dyDescent="0.25">
      <c r="A1660" s="3">
        <v>39119</v>
      </c>
      <c r="B1660">
        <v>2316.04</v>
      </c>
      <c r="C1660">
        <f t="shared" si="100"/>
        <v>1.0194735452064441</v>
      </c>
      <c r="D1660">
        <v>1644</v>
      </c>
      <c r="E1660">
        <f t="shared" si="101"/>
        <v>0</v>
      </c>
      <c r="F1660">
        <f t="shared" si="102"/>
        <v>0</v>
      </c>
      <c r="G1660" t="str">
        <f t="shared" si="103"/>
        <v>extra</v>
      </c>
      <c r="J1660">
        <v>1629</v>
      </c>
      <c r="K1660">
        <v>0.79041780172017495</v>
      </c>
    </row>
    <row r="1661" spans="1:11" x14ac:dyDescent="0.25">
      <c r="A1661" s="3">
        <v>39118</v>
      </c>
      <c r="B1661">
        <v>2271.8000000000002</v>
      </c>
      <c r="C1661">
        <f t="shared" si="100"/>
        <v>0.98859878154917324</v>
      </c>
      <c r="D1661">
        <v>1645</v>
      </c>
      <c r="E1661">
        <f t="shared" si="101"/>
        <v>0</v>
      </c>
      <c r="F1661">
        <f t="shared" si="102"/>
        <v>0</v>
      </c>
      <c r="G1661" t="str">
        <f t="shared" si="103"/>
        <v>extra</v>
      </c>
      <c r="J1661">
        <v>1630</v>
      </c>
      <c r="K1661">
        <v>0.79062096461477538</v>
      </c>
    </row>
    <row r="1662" spans="1:11" x14ac:dyDescent="0.25">
      <c r="A1662" s="3">
        <v>39115</v>
      </c>
      <c r="B1662">
        <v>2298</v>
      </c>
      <c r="C1662">
        <f t="shared" si="100"/>
        <v>0.9594308545948721</v>
      </c>
      <c r="D1662">
        <v>1646</v>
      </c>
      <c r="E1662">
        <f t="shared" si="101"/>
        <v>0</v>
      </c>
      <c r="F1662">
        <f t="shared" si="102"/>
        <v>0</v>
      </c>
      <c r="G1662" t="str">
        <f t="shared" si="103"/>
        <v>extra</v>
      </c>
      <c r="J1662">
        <v>1631</v>
      </c>
      <c r="K1662">
        <v>0.79073189036161418</v>
      </c>
    </row>
    <row r="1663" spans="1:11" x14ac:dyDescent="0.25">
      <c r="A1663" s="3">
        <v>39114</v>
      </c>
      <c r="B1663">
        <v>2395.17</v>
      </c>
      <c r="C1663">
        <f t="shared" si="100"/>
        <v>1.0041210058104924</v>
      </c>
      <c r="D1663">
        <v>1647</v>
      </c>
      <c r="E1663">
        <f t="shared" si="101"/>
        <v>0</v>
      </c>
      <c r="F1663">
        <f t="shared" si="102"/>
        <v>0</v>
      </c>
      <c r="G1663" t="str">
        <f t="shared" si="103"/>
        <v>extra</v>
      </c>
      <c r="J1663">
        <v>1632</v>
      </c>
      <c r="K1663">
        <v>0.79085855707443886</v>
      </c>
    </row>
    <row r="1664" spans="1:11" x14ac:dyDescent="0.25">
      <c r="A1664" s="3">
        <v>39113</v>
      </c>
      <c r="B1664">
        <v>2385.34</v>
      </c>
      <c r="C1664">
        <f t="shared" si="100"/>
        <v>0.93473831057886736</v>
      </c>
      <c r="D1664">
        <v>1648</v>
      </c>
      <c r="E1664">
        <f t="shared" si="101"/>
        <v>0</v>
      </c>
      <c r="F1664">
        <f t="shared" si="102"/>
        <v>0</v>
      </c>
      <c r="G1664" t="str">
        <f t="shared" si="103"/>
        <v>extra</v>
      </c>
      <c r="J1664">
        <v>1633</v>
      </c>
      <c r="K1664">
        <v>0.79136403962981949</v>
      </c>
    </row>
    <row r="1665" spans="1:11" x14ac:dyDescent="0.25">
      <c r="A1665" s="3">
        <v>39112</v>
      </c>
      <c r="B1665">
        <v>2551.88</v>
      </c>
      <c r="C1665">
        <f t="shared" si="100"/>
        <v>0.99028297347220717</v>
      </c>
      <c r="D1665">
        <v>1649</v>
      </c>
      <c r="E1665">
        <f t="shared" si="101"/>
        <v>0</v>
      </c>
      <c r="F1665">
        <f t="shared" si="102"/>
        <v>0</v>
      </c>
      <c r="G1665" t="str">
        <f t="shared" si="103"/>
        <v>extra</v>
      </c>
      <c r="J1665">
        <v>1634</v>
      </c>
      <c r="K1665">
        <v>0.79213206948405068</v>
      </c>
    </row>
    <row r="1666" spans="1:11" x14ac:dyDescent="0.25">
      <c r="A1666" s="3">
        <v>39111</v>
      </c>
      <c r="B1666">
        <v>2576.92</v>
      </c>
      <c r="C1666">
        <f t="shared" si="100"/>
        <v>1.0254683794151824</v>
      </c>
      <c r="D1666">
        <v>1650</v>
      </c>
      <c r="E1666">
        <f t="shared" si="101"/>
        <v>0</v>
      </c>
      <c r="F1666">
        <f t="shared" si="102"/>
        <v>0</v>
      </c>
      <c r="G1666" t="str">
        <f t="shared" si="103"/>
        <v>extra</v>
      </c>
      <c r="J1666">
        <v>1635</v>
      </c>
      <c r="K1666">
        <v>0.79804313721899611</v>
      </c>
    </row>
    <row r="1667" spans="1:11" x14ac:dyDescent="0.25">
      <c r="A1667" s="3">
        <v>39108</v>
      </c>
      <c r="B1667">
        <v>2512.92</v>
      </c>
      <c r="C1667">
        <f t="shared" si="100"/>
        <v>1.0244982326537102</v>
      </c>
      <c r="D1667">
        <v>1651</v>
      </c>
      <c r="E1667">
        <f t="shared" si="101"/>
        <v>0</v>
      </c>
      <c r="F1667">
        <f t="shared" si="102"/>
        <v>0</v>
      </c>
      <c r="G1667" t="str">
        <f t="shared" si="103"/>
        <v>extra</v>
      </c>
      <c r="J1667">
        <v>1636</v>
      </c>
      <c r="K1667">
        <v>0.79812688759194694</v>
      </c>
    </row>
    <row r="1668" spans="1:11" x14ac:dyDescent="0.25">
      <c r="A1668" s="3">
        <v>39107</v>
      </c>
      <c r="B1668">
        <v>2452.83</v>
      </c>
      <c r="C1668">
        <f t="shared" si="100"/>
        <v>0.96704028891000349</v>
      </c>
      <c r="D1668">
        <v>1652</v>
      </c>
      <c r="E1668">
        <f t="shared" si="101"/>
        <v>0</v>
      </c>
      <c r="F1668">
        <f t="shared" si="102"/>
        <v>0</v>
      </c>
      <c r="G1668" t="str">
        <f t="shared" si="103"/>
        <v>extra</v>
      </c>
      <c r="J1668">
        <v>1637</v>
      </c>
      <c r="K1668">
        <v>0.79813266711525999</v>
      </c>
    </row>
    <row r="1669" spans="1:11" x14ac:dyDescent="0.25">
      <c r="A1669" s="3">
        <v>39106</v>
      </c>
      <c r="B1669">
        <v>2536.4299999999998</v>
      </c>
      <c r="C1669">
        <f t="shared" si="100"/>
        <v>1.0112833066866549</v>
      </c>
      <c r="D1669">
        <v>1653</v>
      </c>
      <c r="E1669">
        <f t="shared" si="101"/>
        <v>0</v>
      </c>
      <c r="F1669">
        <f t="shared" si="102"/>
        <v>0</v>
      </c>
      <c r="G1669" t="str">
        <f t="shared" si="103"/>
        <v>extra</v>
      </c>
      <c r="J1669">
        <v>1638</v>
      </c>
      <c r="K1669">
        <v>0.79871995581361055</v>
      </c>
    </row>
    <row r="1670" spans="1:11" x14ac:dyDescent="0.25">
      <c r="A1670" s="3">
        <v>39105</v>
      </c>
      <c r="B1670">
        <v>2508.13</v>
      </c>
      <c r="C1670">
        <f t="shared" si="100"/>
        <v>1.0067514681031264</v>
      </c>
      <c r="D1670">
        <v>1654</v>
      </c>
      <c r="E1670">
        <f t="shared" si="101"/>
        <v>0</v>
      </c>
      <c r="F1670">
        <f t="shared" si="102"/>
        <v>0</v>
      </c>
      <c r="G1670" t="str">
        <f t="shared" si="103"/>
        <v>extra</v>
      </c>
      <c r="J1670">
        <v>1639</v>
      </c>
      <c r="K1670">
        <v>0.7991357664196892</v>
      </c>
    </row>
    <row r="1671" spans="1:11" x14ac:dyDescent="0.25">
      <c r="A1671" s="3">
        <v>39104</v>
      </c>
      <c r="B1671">
        <v>2491.31</v>
      </c>
      <c r="C1671">
        <f t="shared" si="100"/>
        <v>1.0397397426640902</v>
      </c>
      <c r="D1671">
        <v>1655</v>
      </c>
      <c r="E1671">
        <f t="shared" si="101"/>
        <v>0</v>
      </c>
      <c r="F1671">
        <f t="shared" si="102"/>
        <v>0</v>
      </c>
      <c r="G1671" t="str">
        <f t="shared" si="103"/>
        <v>extra</v>
      </c>
      <c r="J1671">
        <v>1640</v>
      </c>
      <c r="K1671">
        <v>0.79927473716877839</v>
      </c>
    </row>
    <row r="1672" spans="1:11" x14ac:dyDescent="0.25">
      <c r="A1672" s="3">
        <v>39101</v>
      </c>
      <c r="B1672">
        <v>2396.09</v>
      </c>
      <c r="C1672">
        <f t="shared" si="100"/>
        <v>1.0340944892084467</v>
      </c>
      <c r="D1672">
        <v>1656</v>
      </c>
      <c r="E1672">
        <f t="shared" si="101"/>
        <v>0</v>
      </c>
      <c r="F1672">
        <f t="shared" si="102"/>
        <v>0</v>
      </c>
      <c r="G1672" t="str">
        <f t="shared" si="103"/>
        <v>extra</v>
      </c>
      <c r="J1672">
        <v>1641</v>
      </c>
      <c r="K1672">
        <v>0.80009163363150759</v>
      </c>
    </row>
    <row r="1673" spans="1:11" x14ac:dyDescent="0.25">
      <c r="A1673" s="3">
        <v>39100</v>
      </c>
      <c r="B1673">
        <v>2317.09</v>
      </c>
      <c r="C1673">
        <f t="shared" si="100"/>
        <v>1.0035384508774665</v>
      </c>
      <c r="D1673">
        <v>1657</v>
      </c>
      <c r="E1673">
        <f t="shared" si="101"/>
        <v>0</v>
      </c>
      <c r="F1673">
        <f t="shared" si="102"/>
        <v>0</v>
      </c>
      <c r="G1673" t="str">
        <f t="shared" si="103"/>
        <v>extra</v>
      </c>
      <c r="J1673">
        <v>1642</v>
      </c>
      <c r="K1673">
        <v>0.80011053813168265</v>
      </c>
    </row>
    <row r="1674" spans="1:11" x14ac:dyDescent="0.25">
      <c r="A1674" s="3">
        <v>39099</v>
      </c>
      <c r="B1674">
        <v>2308.92</v>
      </c>
      <c r="C1674">
        <f t="shared" si="100"/>
        <v>0.98090378822959645</v>
      </c>
      <c r="D1674">
        <v>1658</v>
      </c>
      <c r="E1674">
        <f t="shared" si="101"/>
        <v>0</v>
      </c>
      <c r="F1674">
        <f t="shared" si="102"/>
        <v>0</v>
      </c>
      <c r="G1674" t="str">
        <f t="shared" si="103"/>
        <v>extra</v>
      </c>
      <c r="J1674">
        <v>1643</v>
      </c>
      <c r="K1674">
        <v>0.80029284168611337</v>
      </c>
    </row>
    <row r="1675" spans="1:11" x14ac:dyDescent="0.25">
      <c r="A1675" s="3">
        <v>39098</v>
      </c>
      <c r="B1675">
        <v>2353.87</v>
      </c>
      <c r="C1675">
        <f t="shared" si="100"/>
        <v>1.0290861874491766</v>
      </c>
      <c r="D1675">
        <v>1659</v>
      </c>
      <c r="E1675">
        <f t="shared" si="101"/>
        <v>0</v>
      </c>
      <c r="F1675">
        <f t="shared" si="102"/>
        <v>0</v>
      </c>
      <c r="G1675" t="str">
        <f t="shared" si="103"/>
        <v>extra</v>
      </c>
      <c r="J1675">
        <v>1644</v>
      </c>
      <c r="K1675">
        <v>0.80062167266198325</v>
      </c>
    </row>
    <row r="1676" spans="1:11" x14ac:dyDescent="0.25">
      <c r="A1676" s="3">
        <v>39097</v>
      </c>
      <c r="B1676">
        <v>2287.34</v>
      </c>
      <c r="C1676">
        <f t="shared" si="100"/>
        <v>1.0522553191489363</v>
      </c>
      <c r="D1676">
        <v>1660</v>
      </c>
      <c r="E1676">
        <f t="shared" si="101"/>
        <v>0</v>
      </c>
      <c r="F1676">
        <f t="shared" si="102"/>
        <v>0</v>
      </c>
      <c r="G1676" t="str">
        <f t="shared" si="103"/>
        <v>extra</v>
      </c>
      <c r="J1676">
        <v>1645</v>
      </c>
      <c r="K1676">
        <v>0.8008535627457527</v>
      </c>
    </row>
    <row r="1677" spans="1:11" x14ac:dyDescent="0.25">
      <c r="A1677" s="3">
        <v>39094</v>
      </c>
      <c r="B1677">
        <v>2173.75</v>
      </c>
      <c r="C1677">
        <f t="shared" si="100"/>
        <v>0.97406816572713995</v>
      </c>
      <c r="D1677">
        <v>1661</v>
      </c>
      <c r="E1677">
        <f t="shared" si="101"/>
        <v>0</v>
      </c>
      <c r="F1677">
        <f t="shared" si="102"/>
        <v>0</v>
      </c>
      <c r="G1677" t="str">
        <f t="shared" si="103"/>
        <v>extra</v>
      </c>
      <c r="J1677">
        <v>1646</v>
      </c>
      <c r="K1677">
        <v>0.80093570102886646</v>
      </c>
    </row>
    <row r="1678" spans="1:11" x14ac:dyDescent="0.25">
      <c r="A1678" s="3">
        <v>39093</v>
      </c>
      <c r="B1678">
        <v>2231.62</v>
      </c>
      <c r="C1678">
        <f t="shared" si="100"/>
        <v>0.98920641675199583</v>
      </c>
      <c r="D1678">
        <v>1662</v>
      </c>
      <c r="E1678">
        <f t="shared" si="101"/>
        <v>0</v>
      </c>
      <c r="F1678">
        <f t="shared" si="102"/>
        <v>0</v>
      </c>
      <c r="G1678" t="str">
        <f t="shared" si="103"/>
        <v>extra</v>
      </c>
      <c r="J1678">
        <v>1647</v>
      </c>
      <c r="K1678">
        <v>0.80200680379327816</v>
      </c>
    </row>
    <row r="1679" spans="1:11" x14ac:dyDescent="0.25">
      <c r="A1679" s="3">
        <v>39092</v>
      </c>
      <c r="B1679">
        <v>2255.9699999999998</v>
      </c>
      <c r="C1679">
        <f t="shared" si="100"/>
        <v>1.0253989609515972</v>
      </c>
      <c r="D1679">
        <v>1663</v>
      </c>
      <c r="E1679">
        <f t="shared" si="101"/>
        <v>0</v>
      </c>
      <c r="F1679">
        <f t="shared" si="102"/>
        <v>0</v>
      </c>
      <c r="G1679" t="str">
        <f t="shared" si="103"/>
        <v>extra</v>
      </c>
      <c r="J1679">
        <v>1648</v>
      </c>
      <c r="K1679">
        <v>0.80201711690528532</v>
      </c>
    </row>
    <row r="1680" spans="1:11" x14ac:dyDescent="0.25">
      <c r="A1680" s="3">
        <v>39091</v>
      </c>
      <c r="B1680">
        <v>2200.09</v>
      </c>
      <c r="C1680">
        <f t="shared" si="100"/>
        <v>1.0321501623224305</v>
      </c>
      <c r="D1680">
        <v>1664</v>
      </c>
      <c r="E1680">
        <f t="shared" si="101"/>
        <v>0</v>
      </c>
      <c r="F1680">
        <f t="shared" si="102"/>
        <v>0</v>
      </c>
      <c r="G1680" t="str">
        <f t="shared" si="103"/>
        <v>extra</v>
      </c>
      <c r="J1680">
        <v>1649</v>
      </c>
      <c r="K1680">
        <v>0.80485232672253526</v>
      </c>
    </row>
    <row r="1681" spans="1:11" x14ac:dyDescent="0.25">
      <c r="A1681" s="3">
        <v>39090</v>
      </c>
      <c r="B1681">
        <v>2131.56</v>
      </c>
      <c r="C1681">
        <f t="shared" si="100"/>
        <v>1.0283134012263191</v>
      </c>
      <c r="D1681">
        <v>1665</v>
      </c>
      <c r="E1681">
        <f t="shared" si="101"/>
        <v>0</v>
      </c>
      <c r="F1681">
        <f t="shared" si="102"/>
        <v>0</v>
      </c>
      <c r="G1681" t="str">
        <f t="shared" si="103"/>
        <v>extra</v>
      </c>
      <c r="J1681">
        <v>1650</v>
      </c>
      <c r="K1681">
        <v>0.8049106932989939</v>
      </c>
    </row>
    <row r="1682" spans="1:11" x14ac:dyDescent="0.25">
      <c r="A1682" s="3">
        <v>39087</v>
      </c>
      <c r="B1682">
        <v>2072.87</v>
      </c>
      <c r="C1682">
        <f t="shared" ref="C1682:C1745" si="104">B1682/B1683</f>
        <v>1.0027962014232568</v>
      </c>
      <c r="D1682">
        <v>1666</v>
      </c>
      <c r="E1682">
        <f t="shared" ref="E1682:E1745" si="105">IF(D1682&gt;$B$6,0,LN(C1682))</f>
        <v>0</v>
      </c>
      <c r="F1682">
        <f t="shared" ref="F1682:F1745" si="106">IF(D1682&gt;$B$6,0,(E1682-$B$7)^2)</f>
        <v>0</v>
      </c>
      <c r="G1682" t="str">
        <f t="shared" ref="G1682:G1745" si="107">IF(D1682&lt;=$B$6,E1682,"extra")</f>
        <v>extra</v>
      </c>
      <c r="J1682">
        <v>1651</v>
      </c>
      <c r="K1682">
        <v>0.80530518057701328</v>
      </c>
    </row>
    <row r="1683" spans="1:11" x14ac:dyDescent="0.25">
      <c r="A1683" s="3">
        <v>39086</v>
      </c>
      <c r="B1683">
        <v>2067.09</v>
      </c>
      <c r="C1683">
        <f t="shared" si="104"/>
        <v>1.0127581391930625</v>
      </c>
      <c r="D1683">
        <v>1667</v>
      </c>
      <c r="E1683">
        <f t="shared" si="105"/>
        <v>0</v>
      </c>
      <c r="F1683">
        <f t="shared" si="106"/>
        <v>0</v>
      </c>
      <c r="G1683" t="str">
        <f t="shared" si="107"/>
        <v>extra</v>
      </c>
      <c r="J1683">
        <v>1652</v>
      </c>
      <c r="K1683">
        <v>0.80566994244541212</v>
      </c>
    </row>
    <row r="1684" spans="1:11" x14ac:dyDescent="0.25">
      <c r="A1684" s="3">
        <v>39080</v>
      </c>
      <c r="B1684">
        <v>2041.05</v>
      </c>
      <c r="C1684">
        <f t="shared" si="104"/>
        <v>1.0308697782244827</v>
      </c>
      <c r="D1684">
        <v>1668</v>
      </c>
      <c r="E1684">
        <f t="shared" si="105"/>
        <v>0</v>
      </c>
      <c r="F1684">
        <f t="shared" si="106"/>
        <v>0</v>
      </c>
      <c r="G1684" t="str">
        <f t="shared" si="107"/>
        <v>extra</v>
      </c>
      <c r="J1684">
        <v>1653</v>
      </c>
      <c r="K1684">
        <v>0.80636579595551827</v>
      </c>
    </row>
    <row r="1685" spans="1:11" x14ac:dyDescent="0.25">
      <c r="A1685" s="3">
        <v>39079</v>
      </c>
      <c r="B1685">
        <v>1979.93</v>
      </c>
      <c r="C1685">
        <f t="shared" si="104"/>
        <v>0.99851226498829981</v>
      </c>
      <c r="D1685">
        <v>1669</v>
      </c>
      <c r="E1685">
        <f t="shared" si="105"/>
        <v>0</v>
      </c>
      <c r="F1685">
        <f t="shared" si="106"/>
        <v>0</v>
      </c>
      <c r="G1685" t="str">
        <f t="shared" si="107"/>
        <v>extra</v>
      </c>
      <c r="J1685">
        <v>1654</v>
      </c>
      <c r="K1685">
        <v>0.80644424702630357</v>
      </c>
    </row>
    <row r="1686" spans="1:11" x14ac:dyDescent="0.25">
      <c r="A1686" s="3">
        <v>39078</v>
      </c>
      <c r="B1686">
        <v>1982.88</v>
      </c>
      <c r="C1686">
        <f t="shared" si="104"/>
        <v>1.023031203566122</v>
      </c>
      <c r="D1686">
        <v>1670</v>
      </c>
      <c r="E1686">
        <f t="shared" si="105"/>
        <v>0</v>
      </c>
      <c r="F1686">
        <f t="shared" si="106"/>
        <v>0</v>
      </c>
      <c r="G1686" t="str">
        <f t="shared" si="107"/>
        <v>extra</v>
      </c>
      <c r="J1686">
        <v>1655</v>
      </c>
      <c r="K1686">
        <v>0.80647236850926529</v>
      </c>
    </row>
    <row r="1687" spans="1:11" x14ac:dyDescent="0.25">
      <c r="A1687" s="3">
        <v>39077</v>
      </c>
      <c r="B1687">
        <v>1938.24</v>
      </c>
      <c r="C1687">
        <f t="shared" si="104"/>
        <v>0.99955649528131607</v>
      </c>
      <c r="D1687">
        <v>1671</v>
      </c>
      <c r="E1687">
        <f t="shared" si="105"/>
        <v>0</v>
      </c>
      <c r="F1687">
        <f t="shared" si="106"/>
        <v>0</v>
      </c>
      <c r="G1687" t="str">
        <f t="shared" si="107"/>
        <v>extra</v>
      </c>
      <c r="J1687">
        <v>1656</v>
      </c>
      <c r="K1687">
        <v>0.80741535672098297</v>
      </c>
    </row>
    <row r="1688" spans="1:11" x14ac:dyDescent="0.25">
      <c r="A1688" s="3">
        <v>39076</v>
      </c>
      <c r="B1688">
        <v>1939.1</v>
      </c>
      <c r="C1688">
        <f t="shared" si="104"/>
        <v>1.0229262940220716</v>
      </c>
      <c r="D1688">
        <v>1672</v>
      </c>
      <c r="E1688">
        <f t="shared" si="105"/>
        <v>0</v>
      </c>
      <c r="F1688">
        <f t="shared" si="106"/>
        <v>0</v>
      </c>
      <c r="G1688" t="str">
        <f t="shared" si="107"/>
        <v>extra</v>
      </c>
      <c r="J1688">
        <v>1657</v>
      </c>
      <c r="K1688">
        <v>0.80811171209557442</v>
      </c>
    </row>
    <row r="1689" spans="1:11" x14ac:dyDescent="0.25">
      <c r="A1689" s="3">
        <v>39073</v>
      </c>
      <c r="B1689">
        <v>1895.64</v>
      </c>
      <c r="C1689">
        <f t="shared" si="104"/>
        <v>0.99300677321515574</v>
      </c>
      <c r="D1689">
        <v>1673</v>
      </c>
      <c r="E1689">
        <f t="shared" si="105"/>
        <v>0</v>
      </c>
      <c r="F1689">
        <f t="shared" si="106"/>
        <v>0</v>
      </c>
      <c r="G1689" t="str">
        <f t="shared" si="107"/>
        <v>extra</v>
      </c>
      <c r="J1689">
        <v>1658</v>
      </c>
      <c r="K1689">
        <v>0.80811910372077467</v>
      </c>
    </row>
    <row r="1690" spans="1:11" x14ac:dyDescent="0.25">
      <c r="A1690" s="3">
        <v>39072</v>
      </c>
      <c r="B1690">
        <v>1908.99</v>
      </c>
      <c r="C1690">
        <f t="shared" si="104"/>
        <v>0.98576850584802878</v>
      </c>
      <c r="D1690">
        <v>1674</v>
      </c>
      <c r="E1690">
        <f t="shared" si="105"/>
        <v>0</v>
      </c>
      <c r="F1690">
        <f t="shared" si="106"/>
        <v>0</v>
      </c>
      <c r="G1690" t="str">
        <f t="shared" si="107"/>
        <v>extra</v>
      </c>
      <c r="J1690">
        <v>1659</v>
      </c>
      <c r="K1690">
        <v>0.80834918549685864</v>
      </c>
    </row>
    <row r="1691" spans="1:11" x14ac:dyDescent="0.25">
      <c r="A1691" s="3">
        <v>39071</v>
      </c>
      <c r="B1691">
        <v>1936.55</v>
      </c>
      <c r="C1691">
        <f t="shared" si="104"/>
        <v>1.0078691391307515</v>
      </c>
      <c r="D1691">
        <v>1675</v>
      </c>
      <c r="E1691">
        <f t="shared" si="105"/>
        <v>0</v>
      </c>
      <c r="F1691">
        <f t="shared" si="106"/>
        <v>0</v>
      </c>
      <c r="G1691" t="str">
        <f t="shared" si="107"/>
        <v>extra</v>
      </c>
      <c r="J1691">
        <v>1660</v>
      </c>
      <c r="K1691">
        <v>0.80885753421953821</v>
      </c>
    </row>
    <row r="1692" spans="1:11" x14ac:dyDescent="0.25">
      <c r="A1692" s="3">
        <v>39070</v>
      </c>
      <c r="B1692">
        <v>1921.43</v>
      </c>
      <c r="C1692">
        <f t="shared" si="104"/>
        <v>1.0027764585540497</v>
      </c>
      <c r="D1692">
        <v>1676</v>
      </c>
      <c r="E1692">
        <f t="shared" si="105"/>
        <v>0</v>
      </c>
      <c r="F1692">
        <f t="shared" si="106"/>
        <v>0</v>
      </c>
      <c r="G1692" t="str">
        <f t="shared" si="107"/>
        <v>extra</v>
      </c>
      <c r="J1692">
        <v>1661</v>
      </c>
      <c r="K1692">
        <v>0.81045935935742686</v>
      </c>
    </row>
    <row r="1693" spans="1:11" x14ac:dyDescent="0.25">
      <c r="A1693" s="3">
        <v>39069</v>
      </c>
      <c r="B1693">
        <v>1916.11</v>
      </c>
      <c r="C1693">
        <f t="shared" si="104"/>
        <v>1.0259525390332183</v>
      </c>
      <c r="D1693">
        <v>1677</v>
      </c>
      <c r="E1693">
        <f t="shared" si="105"/>
        <v>0</v>
      </c>
      <c r="F1693">
        <f t="shared" si="106"/>
        <v>0</v>
      </c>
      <c r="G1693" t="str">
        <f t="shared" si="107"/>
        <v>extra</v>
      </c>
      <c r="J1693">
        <v>1662</v>
      </c>
      <c r="K1693">
        <v>0.81088662367890341</v>
      </c>
    </row>
    <row r="1694" spans="1:11" x14ac:dyDescent="0.25">
      <c r="A1694" s="3">
        <v>39066</v>
      </c>
      <c r="B1694">
        <v>1867.64</v>
      </c>
      <c r="C1694">
        <f t="shared" si="104"/>
        <v>1.0171555545873407</v>
      </c>
      <c r="D1694">
        <v>1678</v>
      </c>
      <c r="E1694">
        <f t="shared" si="105"/>
        <v>0</v>
      </c>
      <c r="F1694">
        <f t="shared" si="106"/>
        <v>0</v>
      </c>
      <c r="G1694" t="str">
        <f t="shared" si="107"/>
        <v>extra</v>
      </c>
      <c r="J1694">
        <v>1663</v>
      </c>
      <c r="K1694">
        <v>0.81095940914160158</v>
      </c>
    </row>
    <row r="1695" spans="1:11" x14ac:dyDescent="0.25">
      <c r="A1695" s="3">
        <v>39065</v>
      </c>
      <c r="B1695">
        <v>1836.14</v>
      </c>
      <c r="C1695">
        <f t="shared" si="104"/>
        <v>1.0178949585888042</v>
      </c>
      <c r="D1695">
        <v>1679</v>
      </c>
      <c r="E1695">
        <f t="shared" si="105"/>
        <v>0</v>
      </c>
      <c r="F1695">
        <f t="shared" si="106"/>
        <v>0</v>
      </c>
      <c r="G1695" t="str">
        <f t="shared" si="107"/>
        <v>extra</v>
      </c>
      <c r="J1695">
        <v>1664</v>
      </c>
      <c r="K1695">
        <v>0.81134636172874963</v>
      </c>
    </row>
    <row r="1696" spans="1:11" x14ac:dyDescent="0.25">
      <c r="A1696" s="3">
        <v>39064</v>
      </c>
      <c r="B1696">
        <v>1803.86</v>
      </c>
      <c r="C1696">
        <f t="shared" si="104"/>
        <v>1.0005935244814981</v>
      </c>
      <c r="D1696">
        <v>1680</v>
      </c>
      <c r="E1696">
        <f t="shared" si="105"/>
        <v>0</v>
      </c>
      <c r="F1696">
        <f t="shared" si="106"/>
        <v>0</v>
      </c>
      <c r="G1696" t="str">
        <f t="shared" si="107"/>
        <v>extra</v>
      </c>
      <c r="J1696">
        <v>1665</v>
      </c>
      <c r="K1696">
        <v>0.81196174625842299</v>
      </c>
    </row>
    <row r="1697" spans="1:11" x14ac:dyDescent="0.25">
      <c r="A1697" s="3">
        <v>39063</v>
      </c>
      <c r="B1697">
        <v>1802.79</v>
      </c>
      <c r="C1697">
        <f t="shared" si="104"/>
        <v>1.0071902654867255</v>
      </c>
      <c r="D1697">
        <v>1681</v>
      </c>
      <c r="E1697">
        <f t="shared" si="105"/>
        <v>0</v>
      </c>
      <c r="F1697">
        <f t="shared" si="106"/>
        <v>0</v>
      </c>
      <c r="G1697" t="str">
        <f t="shared" si="107"/>
        <v>extra</v>
      </c>
      <c r="J1697">
        <v>1666</v>
      </c>
      <c r="K1697">
        <v>0.81243960537637128</v>
      </c>
    </row>
    <row r="1698" spans="1:11" x14ac:dyDescent="0.25">
      <c r="A1698" s="3">
        <v>39062</v>
      </c>
      <c r="B1698">
        <v>1789.92</v>
      </c>
      <c r="C1698">
        <f t="shared" si="104"/>
        <v>1.0457705745568424</v>
      </c>
      <c r="D1698">
        <v>1682</v>
      </c>
      <c r="E1698">
        <f t="shared" si="105"/>
        <v>0</v>
      </c>
      <c r="F1698">
        <f t="shared" si="106"/>
        <v>0</v>
      </c>
      <c r="G1698" t="str">
        <f t="shared" si="107"/>
        <v>extra</v>
      </c>
      <c r="J1698">
        <v>1667</v>
      </c>
      <c r="K1698">
        <v>0.81244385752485759</v>
      </c>
    </row>
    <row r="1699" spans="1:11" x14ac:dyDescent="0.25">
      <c r="A1699" s="3">
        <v>39059</v>
      </c>
      <c r="B1699">
        <v>1711.58</v>
      </c>
      <c r="C1699">
        <f t="shared" si="104"/>
        <v>0.96388486858777611</v>
      </c>
      <c r="D1699">
        <v>1683</v>
      </c>
      <c r="E1699">
        <f t="shared" si="105"/>
        <v>0</v>
      </c>
      <c r="F1699">
        <f t="shared" si="106"/>
        <v>0</v>
      </c>
      <c r="G1699" t="str">
        <f t="shared" si="107"/>
        <v>extra</v>
      </c>
      <c r="J1699">
        <v>1668</v>
      </c>
      <c r="K1699">
        <v>0.812541326974898</v>
      </c>
    </row>
    <row r="1700" spans="1:11" x14ac:dyDescent="0.25">
      <c r="A1700" s="3">
        <v>39058</v>
      </c>
      <c r="B1700">
        <v>1775.71</v>
      </c>
      <c r="C1700">
        <f t="shared" si="104"/>
        <v>0.99792065909486849</v>
      </c>
      <c r="D1700">
        <v>1684</v>
      </c>
      <c r="E1700">
        <f t="shared" si="105"/>
        <v>0</v>
      </c>
      <c r="F1700">
        <f t="shared" si="106"/>
        <v>0</v>
      </c>
      <c r="G1700" t="str">
        <f t="shared" si="107"/>
        <v>extra</v>
      </c>
      <c r="J1700">
        <v>1669</v>
      </c>
      <c r="K1700">
        <v>0.81310680386873213</v>
      </c>
    </row>
    <row r="1701" spans="1:11" x14ac:dyDescent="0.25">
      <c r="A1701" s="3">
        <v>39057</v>
      </c>
      <c r="B1701">
        <v>1779.41</v>
      </c>
      <c r="C1701">
        <f t="shared" si="104"/>
        <v>0.99174018938486153</v>
      </c>
      <c r="D1701">
        <v>1685</v>
      </c>
      <c r="E1701">
        <f t="shared" si="105"/>
        <v>0</v>
      </c>
      <c r="F1701">
        <f t="shared" si="106"/>
        <v>0</v>
      </c>
      <c r="G1701" t="str">
        <f t="shared" si="107"/>
        <v>extra</v>
      </c>
      <c r="J1701">
        <v>1670</v>
      </c>
      <c r="K1701">
        <v>0.81310807076030445</v>
      </c>
    </row>
    <row r="1702" spans="1:11" x14ac:dyDescent="0.25">
      <c r="A1702" s="3">
        <v>39056</v>
      </c>
      <c r="B1702">
        <v>1794.23</v>
      </c>
      <c r="C1702">
        <f t="shared" si="104"/>
        <v>1.0075755023192605</v>
      </c>
      <c r="D1702">
        <v>1686</v>
      </c>
      <c r="E1702">
        <f t="shared" si="105"/>
        <v>0</v>
      </c>
      <c r="F1702">
        <f t="shared" si="106"/>
        <v>0</v>
      </c>
      <c r="G1702" t="str">
        <f t="shared" si="107"/>
        <v>extra</v>
      </c>
      <c r="J1702">
        <v>1671</v>
      </c>
      <c r="K1702">
        <v>0.813423879298525</v>
      </c>
    </row>
    <row r="1703" spans="1:11" x14ac:dyDescent="0.25">
      <c r="A1703" s="3">
        <v>39055</v>
      </c>
      <c r="B1703">
        <v>1780.74</v>
      </c>
      <c r="C1703">
        <f t="shared" si="104"/>
        <v>1.0297937798545009</v>
      </c>
      <c r="D1703">
        <v>1687</v>
      </c>
      <c r="E1703">
        <f t="shared" si="105"/>
        <v>0</v>
      </c>
      <c r="F1703">
        <f t="shared" si="106"/>
        <v>0</v>
      </c>
      <c r="G1703" t="str">
        <f t="shared" si="107"/>
        <v>extra</v>
      </c>
      <c r="J1703">
        <v>1672</v>
      </c>
      <c r="K1703">
        <v>0.81342378009667815</v>
      </c>
    </row>
    <row r="1704" spans="1:11" x14ac:dyDescent="0.25">
      <c r="A1704" s="3">
        <v>39052</v>
      </c>
      <c r="B1704">
        <v>1729.22</v>
      </c>
      <c r="C1704">
        <f t="shared" si="104"/>
        <v>1.008667957721832</v>
      </c>
      <c r="D1704">
        <v>1688</v>
      </c>
      <c r="E1704">
        <f t="shared" si="105"/>
        <v>0</v>
      </c>
      <c r="F1704">
        <f t="shared" si="106"/>
        <v>0</v>
      </c>
      <c r="G1704" t="str">
        <f t="shared" si="107"/>
        <v>extra</v>
      </c>
      <c r="J1704">
        <v>1673</v>
      </c>
      <c r="K1704">
        <v>0.81373624708783976</v>
      </c>
    </row>
    <row r="1705" spans="1:11" x14ac:dyDescent="0.25">
      <c r="A1705" s="3">
        <v>39051</v>
      </c>
      <c r="B1705">
        <v>1714.36</v>
      </c>
      <c r="C1705">
        <f t="shared" si="104"/>
        <v>1.028323955996497</v>
      </c>
      <c r="D1705">
        <v>1689</v>
      </c>
      <c r="E1705">
        <f t="shared" si="105"/>
        <v>0</v>
      </c>
      <c r="F1705">
        <f t="shared" si="106"/>
        <v>0</v>
      </c>
      <c r="G1705" t="str">
        <f t="shared" si="107"/>
        <v>extra</v>
      </c>
      <c r="J1705">
        <v>1674</v>
      </c>
      <c r="K1705">
        <v>0.81376735566312808</v>
      </c>
    </row>
    <row r="1706" spans="1:11" x14ac:dyDescent="0.25">
      <c r="A1706" s="3">
        <v>39050</v>
      </c>
      <c r="B1706">
        <v>1667.14</v>
      </c>
      <c r="C1706">
        <f t="shared" si="104"/>
        <v>1.0140692574862684</v>
      </c>
      <c r="D1706">
        <v>1690</v>
      </c>
      <c r="E1706">
        <f t="shared" si="105"/>
        <v>0</v>
      </c>
      <c r="F1706">
        <f t="shared" si="106"/>
        <v>0</v>
      </c>
      <c r="G1706" t="str">
        <f t="shared" si="107"/>
        <v>extra</v>
      </c>
      <c r="J1706">
        <v>1675</v>
      </c>
      <c r="K1706">
        <v>0.81389557023129522</v>
      </c>
    </row>
    <row r="1707" spans="1:11" x14ac:dyDescent="0.25">
      <c r="A1707" s="3">
        <v>39049</v>
      </c>
      <c r="B1707">
        <v>1644.01</v>
      </c>
      <c r="C1707">
        <f t="shared" si="104"/>
        <v>0.99528393267950122</v>
      </c>
      <c r="D1707">
        <v>1691</v>
      </c>
      <c r="E1707">
        <f t="shared" si="105"/>
        <v>0</v>
      </c>
      <c r="F1707">
        <f t="shared" si="106"/>
        <v>0</v>
      </c>
      <c r="G1707" t="str">
        <f t="shared" si="107"/>
        <v>extra</v>
      </c>
      <c r="J1707">
        <v>1676</v>
      </c>
      <c r="K1707">
        <v>0.81393193833912525</v>
      </c>
    </row>
    <row r="1708" spans="1:11" x14ac:dyDescent="0.25">
      <c r="A1708" s="3">
        <v>39048</v>
      </c>
      <c r="B1708">
        <v>1651.8</v>
      </c>
      <c r="C1708">
        <f t="shared" si="104"/>
        <v>1.0092998814601182</v>
      </c>
      <c r="D1708">
        <v>1692</v>
      </c>
      <c r="E1708">
        <f t="shared" si="105"/>
        <v>0</v>
      </c>
      <c r="F1708">
        <f t="shared" si="106"/>
        <v>0</v>
      </c>
      <c r="G1708" t="str">
        <f t="shared" si="107"/>
        <v>extra</v>
      </c>
      <c r="J1708">
        <v>1677</v>
      </c>
      <c r="K1708">
        <v>0.81393597213836333</v>
      </c>
    </row>
    <row r="1709" spans="1:11" x14ac:dyDescent="0.25">
      <c r="A1709" s="3">
        <v>39045</v>
      </c>
      <c r="B1709">
        <v>1636.58</v>
      </c>
      <c r="C1709">
        <f t="shared" si="104"/>
        <v>1.0010214629551473</v>
      </c>
      <c r="D1709">
        <v>1693</v>
      </c>
      <c r="E1709">
        <f t="shared" si="105"/>
        <v>0</v>
      </c>
      <c r="F1709">
        <f t="shared" si="106"/>
        <v>0</v>
      </c>
      <c r="G1709" t="str">
        <f t="shared" si="107"/>
        <v>extra</v>
      </c>
      <c r="J1709">
        <v>1678</v>
      </c>
      <c r="K1709">
        <v>0.81433525542594798</v>
      </c>
    </row>
    <row r="1710" spans="1:11" x14ac:dyDescent="0.25">
      <c r="A1710" s="3">
        <v>39044</v>
      </c>
      <c r="B1710">
        <v>1634.91</v>
      </c>
      <c r="C1710">
        <f t="shared" si="104"/>
        <v>1.0066993836320759</v>
      </c>
      <c r="D1710">
        <v>1694</v>
      </c>
      <c r="E1710">
        <f t="shared" si="105"/>
        <v>0</v>
      </c>
      <c r="F1710">
        <f t="shared" si="106"/>
        <v>0</v>
      </c>
      <c r="G1710" t="str">
        <f t="shared" si="107"/>
        <v>extra</v>
      </c>
      <c r="J1710">
        <v>1679</v>
      </c>
      <c r="K1710">
        <v>0.81450985301505774</v>
      </c>
    </row>
    <row r="1711" spans="1:11" x14ac:dyDescent="0.25">
      <c r="A1711" s="3">
        <v>39043</v>
      </c>
      <c r="B1711">
        <v>1624.03</v>
      </c>
      <c r="C1711">
        <f t="shared" si="104"/>
        <v>1.0073065591564583</v>
      </c>
      <c r="D1711">
        <v>1695</v>
      </c>
      <c r="E1711">
        <f t="shared" si="105"/>
        <v>0</v>
      </c>
      <c r="F1711">
        <f t="shared" si="106"/>
        <v>0</v>
      </c>
      <c r="G1711" t="str">
        <f t="shared" si="107"/>
        <v>extra</v>
      </c>
      <c r="J1711">
        <v>1680</v>
      </c>
      <c r="K1711">
        <v>0.81469957914645774</v>
      </c>
    </row>
    <row r="1712" spans="1:11" x14ac:dyDescent="0.25">
      <c r="A1712" s="3">
        <v>39042</v>
      </c>
      <c r="B1712">
        <v>1612.25</v>
      </c>
      <c r="C1712">
        <f t="shared" si="104"/>
        <v>1.0119824750809712</v>
      </c>
      <c r="D1712">
        <v>1696</v>
      </c>
      <c r="E1712">
        <f t="shared" si="105"/>
        <v>0</v>
      </c>
      <c r="F1712">
        <f t="shared" si="106"/>
        <v>0</v>
      </c>
      <c r="G1712" t="str">
        <f t="shared" si="107"/>
        <v>extra</v>
      </c>
      <c r="J1712">
        <v>1681</v>
      </c>
      <c r="K1712">
        <v>0.81469940686119979</v>
      </c>
    </row>
    <row r="1713" spans="1:11" x14ac:dyDescent="0.25">
      <c r="A1713" s="3">
        <v>39041</v>
      </c>
      <c r="B1713">
        <v>1593.16</v>
      </c>
      <c r="C1713">
        <f t="shared" si="104"/>
        <v>1.0198965481921543</v>
      </c>
      <c r="D1713">
        <v>1697</v>
      </c>
      <c r="E1713">
        <f t="shared" si="105"/>
        <v>0</v>
      </c>
      <c r="F1713">
        <f t="shared" si="106"/>
        <v>0</v>
      </c>
      <c r="G1713" t="str">
        <f t="shared" si="107"/>
        <v>extra</v>
      </c>
      <c r="J1713">
        <v>1682</v>
      </c>
      <c r="K1713">
        <v>0.81472926465720563</v>
      </c>
    </row>
    <row r="1714" spans="1:11" x14ac:dyDescent="0.25">
      <c r="A1714" s="3">
        <v>39038</v>
      </c>
      <c r="B1714">
        <v>1562.08</v>
      </c>
      <c r="C1714">
        <f t="shared" si="104"/>
        <v>1.0187766176000626</v>
      </c>
      <c r="D1714">
        <v>1698</v>
      </c>
      <c r="E1714">
        <f t="shared" si="105"/>
        <v>0</v>
      </c>
      <c r="F1714">
        <f t="shared" si="106"/>
        <v>0</v>
      </c>
      <c r="G1714" t="str">
        <f t="shared" si="107"/>
        <v>extra</v>
      </c>
      <c r="J1714">
        <v>1683</v>
      </c>
      <c r="K1714">
        <v>0.81594909274170324</v>
      </c>
    </row>
    <row r="1715" spans="1:11" x14ac:dyDescent="0.25">
      <c r="A1715" s="3">
        <v>39037</v>
      </c>
      <c r="B1715">
        <v>1533.29</v>
      </c>
      <c r="C1715">
        <f t="shared" si="104"/>
        <v>0.9990421955224269</v>
      </c>
      <c r="D1715">
        <v>1699</v>
      </c>
      <c r="E1715">
        <f t="shared" si="105"/>
        <v>0</v>
      </c>
      <c r="F1715">
        <f t="shared" si="106"/>
        <v>0</v>
      </c>
      <c r="G1715" t="str">
        <f t="shared" si="107"/>
        <v>extra</v>
      </c>
      <c r="J1715">
        <v>1684</v>
      </c>
      <c r="K1715">
        <v>0.81678650692603316</v>
      </c>
    </row>
    <row r="1716" spans="1:11" x14ac:dyDescent="0.25">
      <c r="A1716" s="3">
        <v>39036</v>
      </c>
      <c r="B1716">
        <v>1534.76</v>
      </c>
      <c r="C1716">
        <f t="shared" si="104"/>
        <v>1.0274337586525459</v>
      </c>
      <c r="D1716">
        <v>1700</v>
      </c>
      <c r="E1716">
        <f t="shared" si="105"/>
        <v>0</v>
      </c>
      <c r="F1716">
        <f t="shared" si="106"/>
        <v>0</v>
      </c>
      <c r="G1716" t="str">
        <f t="shared" si="107"/>
        <v>extra</v>
      </c>
      <c r="J1716">
        <v>1685</v>
      </c>
      <c r="K1716">
        <v>0.81678931461066706</v>
      </c>
    </row>
    <row r="1717" spans="1:11" x14ac:dyDescent="0.25">
      <c r="A1717" s="3">
        <v>39035</v>
      </c>
      <c r="B1717">
        <v>1493.78</v>
      </c>
      <c r="C1717">
        <f t="shared" si="104"/>
        <v>1.0122037986949186</v>
      </c>
      <c r="D1717">
        <v>1701</v>
      </c>
      <c r="E1717">
        <f t="shared" si="105"/>
        <v>0</v>
      </c>
      <c r="F1717">
        <f t="shared" si="106"/>
        <v>0</v>
      </c>
      <c r="G1717" t="str">
        <f t="shared" si="107"/>
        <v>extra</v>
      </c>
      <c r="J1717">
        <v>1686</v>
      </c>
      <c r="K1717">
        <v>0.81683285875772971</v>
      </c>
    </row>
    <row r="1718" spans="1:11" x14ac:dyDescent="0.25">
      <c r="A1718" s="3">
        <v>39034</v>
      </c>
      <c r="B1718">
        <v>1475.77</v>
      </c>
      <c r="C1718">
        <f t="shared" si="104"/>
        <v>0.98119090993710356</v>
      </c>
      <c r="D1718">
        <v>1702</v>
      </c>
      <c r="E1718">
        <f t="shared" si="105"/>
        <v>0</v>
      </c>
      <c r="F1718">
        <f t="shared" si="106"/>
        <v>0</v>
      </c>
      <c r="G1718" t="str">
        <f t="shared" si="107"/>
        <v>extra</v>
      </c>
      <c r="J1718">
        <v>1687</v>
      </c>
      <c r="K1718">
        <v>0.81686598902806817</v>
      </c>
    </row>
    <row r="1719" spans="1:11" x14ac:dyDescent="0.25">
      <c r="A1719" s="3">
        <v>39031</v>
      </c>
      <c r="B1719">
        <v>1504.06</v>
      </c>
      <c r="C1719">
        <f t="shared" si="104"/>
        <v>0.98645644089695739</v>
      </c>
      <c r="D1719">
        <v>1703</v>
      </c>
      <c r="E1719">
        <f t="shared" si="105"/>
        <v>0</v>
      </c>
      <c r="F1719">
        <f t="shared" si="106"/>
        <v>0</v>
      </c>
      <c r="G1719" t="str">
        <f t="shared" si="107"/>
        <v>extra</v>
      </c>
      <c r="J1719">
        <v>1688</v>
      </c>
      <c r="K1719">
        <v>0.81738752226273692</v>
      </c>
    </row>
    <row r="1720" spans="1:11" x14ac:dyDescent="0.25">
      <c r="A1720" s="3">
        <v>39030</v>
      </c>
      <c r="B1720">
        <v>1524.71</v>
      </c>
      <c r="C1720">
        <f t="shared" si="104"/>
        <v>1.017714945566925</v>
      </c>
      <c r="D1720">
        <v>1704</v>
      </c>
      <c r="E1720">
        <f t="shared" si="105"/>
        <v>0</v>
      </c>
      <c r="F1720">
        <f t="shared" si="106"/>
        <v>0</v>
      </c>
      <c r="G1720" t="str">
        <f t="shared" si="107"/>
        <v>extra</v>
      </c>
      <c r="J1720">
        <v>1689</v>
      </c>
      <c r="K1720">
        <v>0.81743092266712303</v>
      </c>
    </row>
    <row r="1721" spans="1:11" x14ac:dyDescent="0.25">
      <c r="A1721" s="3">
        <v>39029</v>
      </c>
      <c r="B1721">
        <v>1498.17</v>
      </c>
      <c r="C1721">
        <f t="shared" si="104"/>
        <v>0.98817360332431914</v>
      </c>
      <c r="D1721">
        <v>1705</v>
      </c>
      <c r="E1721">
        <f t="shared" si="105"/>
        <v>0</v>
      </c>
      <c r="F1721">
        <f t="shared" si="106"/>
        <v>0</v>
      </c>
      <c r="G1721" t="str">
        <f t="shared" si="107"/>
        <v>extra</v>
      </c>
      <c r="J1721">
        <v>1690</v>
      </c>
      <c r="K1721">
        <v>0.81790157550540332</v>
      </c>
    </row>
    <row r="1722" spans="1:11" x14ac:dyDescent="0.25">
      <c r="A1722" s="3">
        <v>39028</v>
      </c>
      <c r="B1722">
        <v>1516.1</v>
      </c>
      <c r="C1722">
        <f t="shared" si="104"/>
        <v>1.0054446942416222</v>
      </c>
      <c r="D1722">
        <v>1706</v>
      </c>
      <c r="E1722">
        <f t="shared" si="105"/>
        <v>0</v>
      </c>
      <c r="F1722">
        <f t="shared" si="106"/>
        <v>0</v>
      </c>
      <c r="G1722" t="str">
        <f t="shared" si="107"/>
        <v>extra</v>
      </c>
      <c r="J1722">
        <v>1691</v>
      </c>
      <c r="K1722">
        <v>0.81801722590668779</v>
      </c>
    </row>
    <row r="1723" spans="1:11" x14ac:dyDescent="0.25">
      <c r="A1723" s="3">
        <v>39027</v>
      </c>
      <c r="B1723">
        <v>1507.89</v>
      </c>
      <c r="C1723">
        <f t="shared" si="104"/>
        <v>1.0131694763789316</v>
      </c>
      <c r="D1723">
        <v>1707</v>
      </c>
      <c r="E1723">
        <f t="shared" si="105"/>
        <v>0</v>
      </c>
      <c r="F1723">
        <f t="shared" si="106"/>
        <v>0</v>
      </c>
      <c r="G1723" t="str">
        <f t="shared" si="107"/>
        <v>extra</v>
      </c>
      <c r="J1723">
        <v>1692</v>
      </c>
      <c r="K1723">
        <v>0.81803185749767171</v>
      </c>
    </row>
    <row r="1724" spans="1:11" x14ac:dyDescent="0.25">
      <c r="A1724" s="3">
        <v>39024</v>
      </c>
      <c r="B1724">
        <v>1488.29</v>
      </c>
      <c r="C1724">
        <f t="shared" si="104"/>
        <v>1.00583921873416</v>
      </c>
      <c r="D1724">
        <v>1708</v>
      </c>
      <c r="E1724">
        <f t="shared" si="105"/>
        <v>0</v>
      </c>
      <c r="F1724">
        <f t="shared" si="106"/>
        <v>0</v>
      </c>
      <c r="G1724" t="str">
        <f t="shared" si="107"/>
        <v>extra</v>
      </c>
      <c r="J1724">
        <v>1693</v>
      </c>
      <c r="K1724">
        <v>0.81808164081982981</v>
      </c>
    </row>
    <row r="1725" spans="1:11" x14ac:dyDescent="0.25">
      <c r="A1725" s="3">
        <v>39023</v>
      </c>
      <c r="B1725">
        <v>1479.65</v>
      </c>
      <c r="C1725">
        <f t="shared" si="104"/>
        <v>1.0001689874273354</v>
      </c>
      <c r="D1725">
        <v>1709</v>
      </c>
      <c r="E1725">
        <f t="shared" si="105"/>
        <v>0</v>
      </c>
      <c r="F1725">
        <f t="shared" si="106"/>
        <v>0</v>
      </c>
      <c r="G1725" t="str">
        <f t="shared" si="107"/>
        <v>extra</v>
      </c>
      <c r="J1725">
        <v>1694</v>
      </c>
      <c r="K1725">
        <v>0.81808175342690592</v>
      </c>
    </row>
    <row r="1726" spans="1:11" x14ac:dyDescent="0.25">
      <c r="A1726" s="3">
        <v>39022</v>
      </c>
      <c r="B1726">
        <v>1479.4</v>
      </c>
      <c r="C1726">
        <f t="shared" si="104"/>
        <v>1.010194814506272</v>
      </c>
      <c r="D1726">
        <v>1710</v>
      </c>
      <c r="E1726">
        <f t="shared" si="105"/>
        <v>0</v>
      </c>
      <c r="F1726">
        <f t="shared" si="106"/>
        <v>0</v>
      </c>
      <c r="G1726" t="str">
        <f t="shared" si="107"/>
        <v>extra</v>
      </c>
      <c r="J1726">
        <v>1695</v>
      </c>
      <c r="K1726">
        <v>0.81810700874786513</v>
      </c>
    </row>
    <row r="1727" spans="1:11" x14ac:dyDescent="0.25">
      <c r="A1727" s="3">
        <v>39021</v>
      </c>
      <c r="B1727">
        <v>1464.47</v>
      </c>
      <c r="C1727">
        <f t="shared" si="104"/>
        <v>1.0126121018095324</v>
      </c>
      <c r="D1727">
        <v>1711</v>
      </c>
      <c r="E1727">
        <f t="shared" si="105"/>
        <v>0</v>
      </c>
      <c r="F1727">
        <f t="shared" si="106"/>
        <v>0</v>
      </c>
      <c r="G1727" t="str">
        <f t="shared" si="107"/>
        <v>extra</v>
      </c>
      <c r="J1727">
        <v>1696</v>
      </c>
      <c r="K1727">
        <v>0.8181372185687491</v>
      </c>
    </row>
    <row r="1728" spans="1:11" x14ac:dyDescent="0.25">
      <c r="A1728" s="3">
        <v>39020</v>
      </c>
      <c r="B1728">
        <v>1446.23</v>
      </c>
      <c r="C1728">
        <f t="shared" si="104"/>
        <v>1.0049894027309685</v>
      </c>
      <c r="D1728">
        <v>1712</v>
      </c>
      <c r="E1728">
        <f t="shared" si="105"/>
        <v>0</v>
      </c>
      <c r="F1728">
        <f t="shared" si="106"/>
        <v>0</v>
      </c>
      <c r="G1728" t="str">
        <f t="shared" si="107"/>
        <v>extra</v>
      </c>
      <c r="J1728">
        <v>1697</v>
      </c>
      <c r="K1728">
        <v>0.81822047812993437</v>
      </c>
    </row>
    <row r="1729" spans="1:11" x14ac:dyDescent="0.25">
      <c r="A1729" s="3">
        <v>39017</v>
      </c>
      <c r="B1729">
        <v>1439.05</v>
      </c>
      <c r="C1729">
        <f t="shared" si="104"/>
        <v>0.98829742667005471</v>
      </c>
      <c r="D1729">
        <v>1713</v>
      </c>
      <c r="E1729">
        <f t="shared" si="105"/>
        <v>0</v>
      </c>
      <c r="F1729">
        <f t="shared" si="106"/>
        <v>0</v>
      </c>
      <c r="G1729" t="str">
        <f t="shared" si="107"/>
        <v>extra</v>
      </c>
      <c r="J1729">
        <v>1698</v>
      </c>
      <c r="K1729">
        <v>0.81845199081244246</v>
      </c>
    </row>
    <row r="1730" spans="1:11" x14ac:dyDescent="0.25">
      <c r="A1730" s="3">
        <v>39016</v>
      </c>
      <c r="B1730">
        <v>1456.09</v>
      </c>
      <c r="C1730">
        <f t="shared" si="104"/>
        <v>1.0064141110442975</v>
      </c>
      <c r="D1730">
        <v>1714</v>
      </c>
      <c r="E1730">
        <f t="shared" si="105"/>
        <v>0</v>
      </c>
      <c r="F1730">
        <f t="shared" si="106"/>
        <v>0</v>
      </c>
      <c r="G1730" t="str">
        <f t="shared" si="107"/>
        <v>extra</v>
      </c>
      <c r="J1730">
        <v>1699</v>
      </c>
      <c r="K1730">
        <v>0.81865777090835712</v>
      </c>
    </row>
    <row r="1731" spans="1:11" x14ac:dyDescent="0.25">
      <c r="A1731" s="3">
        <v>39015</v>
      </c>
      <c r="B1731">
        <v>1446.81</v>
      </c>
      <c r="C1731">
        <f t="shared" si="104"/>
        <v>1.0046942814485609</v>
      </c>
      <c r="D1731">
        <v>1715</v>
      </c>
      <c r="E1731">
        <f t="shared" si="105"/>
        <v>0</v>
      </c>
      <c r="F1731">
        <f t="shared" si="106"/>
        <v>0</v>
      </c>
      <c r="G1731" t="str">
        <f t="shared" si="107"/>
        <v>extra</v>
      </c>
      <c r="J1731">
        <v>1700</v>
      </c>
      <c r="K1731">
        <v>0.81865838174827832</v>
      </c>
    </row>
    <row r="1732" spans="1:11" x14ac:dyDescent="0.25">
      <c r="A1732" s="3">
        <v>39014</v>
      </c>
      <c r="B1732">
        <v>1440.05</v>
      </c>
      <c r="C1732">
        <f t="shared" si="104"/>
        <v>1.0222473042712836</v>
      </c>
      <c r="D1732">
        <v>1716</v>
      </c>
      <c r="E1732">
        <f t="shared" si="105"/>
        <v>0</v>
      </c>
      <c r="F1732">
        <f t="shared" si="106"/>
        <v>0</v>
      </c>
      <c r="G1732" t="str">
        <f t="shared" si="107"/>
        <v>extra</v>
      </c>
      <c r="J1732">
        <v>1701</v>
      </c>
      <c r="K1732">
        <v>0.81909734185161831</v>
      </c>
    </row>
    <row r="1733" spans="1:11" x14ac:dyDescent="0.25">
      <c r="A1733" s="3">
        <v>39013</v>
      </c>
      <c r="B1733">
        <v>1408.71</v>
      </c>
      <c r="C1733">
        <f t="shared" si="104"/>
        <v>0.97814856476273793</v>
      </c>
      <c r="D1733">
        <v>1717</v>
      </c>
      <c r="E1733">
        <f t="shared" si="105"/>
        <v>0</v>
      </c>
      <c r="F1733">
        <f t="shared" si="106"/>
        <v>0</v>
      </c>
      <c r="G1733" t="str">
        <f t="shared" si="107"/>
        <v>extra</v>
      </c>
      <c r="J1733">
        <v>1702</v>
      </c>
      <c r="K1733">
        <v>0.81918301377626179</v>
      </c>
    </row>
    <row r="1734" spans="1:11" x14ac:dyDescent="0.25">
      <c r="A1734" s="3">
        <v>39010</v>
      </c>
      <c r="B1734">
        <v>1440.18</v>
      </c>
      <c r="C1734">
        <f t="shared" si="104"/>
        <v>1.0005627462014632</v>
      </c>
      <c r="D1734">
        <v>1718</v>
      </c>
      <c r="E1734">
        <f t="shared" si="105"/>
        <v>0</v>
      </c>
      <c r="F1734">
        <f t="shared" si="106"/>
        <v>0</v>
      </c>
      <c r="G1734" t="str">
        <f t="shared" si="107"/>
        <v>extra</v>
      </c>
      <c r="J1734">
        <v>1703</v>
      </c>
      <c r="K1734">
        <v>0.81940929092137293</v>
      </c>
    </row>
    <row r="1735" spans="1:11" x14ac:dyDescent="0.25">
      <c r="A1735" s="3">
        <v>39009</v>
      </c>
      <c r="B1735">
        <v>1439.37</v>
      </c>
      <c r="C1735">
        <f t="shared" si="104"/>
        <v>1.0012381833485207</v>
      </c>
      <c r="D1735">
        <v>1719</v>
      </c>
      <c r="E1735">
        <f t="shared" si="105"/>
        <v>0</v>
      </c>
      <c r="F1735">
        <f t="shared" si="106"/>
        <v>0</v>
      </c>
      <c r="G1735" t="str">
        <f t="shared" si="107"/>
        <v>extra</v>
      </c>
      <c r="J1735">
        <v>1704</v>
      </c>
      <c r="K1735">
        <v>0.81952693914559471</v>
      </c>
    </row>
    <row r="1736" spans="1:11" x14ac:dyDescent="0.25">
      <c r="A1736" s="3">
        <v>39008</v>
      </c>
      <c r="B1736">
        <v>1437.59</v>
      </c>
      <c r="C1736">
        <f t="shared" si="104"/>
        <v>1.0163740870880849</v>
      </c>
      <c r="D1736">
        <v>1720</v>
      </c>
      <c r="E1736">
        <f t="shared" si="105"/>
        <v>0</v>
      </c>
      <c r="F1736">
        <f t="shared" si="106"/>
        <v>0</v>
      </c>
      <c r="G1736" t="str">
        <f t="shared" si="107"/>
        <v>extra</v>
      </c>
      <c r="J1736">
        <v>1705</v>
      </c>
      <c r="K1736">
        <v>0.81970946224857866</v>
      </c>
    </row>
    <row r="1737" spans="1:11" x14ac:dyDescent="0.25">
      <c r="A1737" s="3">
        <v>39007</v>
      </c>
      <c r="B1737">
        <v>1414.43</v>
      </c>
      <c r="C1737">
        <f t="shared" si="104"/>
        <v>0.99712374251855829</v>
      </c>
      <c r="D1737">
        <v>1721</v>
      </c>
      <c r="E1737">
        <f t="shared" si="105"/>
        <v>0</v>
      </c>
      <c r="F1737">
        <f t="shared" si="106"/>
        <v>0</v>
      </c>
      <c r="G1737" t="str">
        <f t="shared" si="107"/>
        <v>extra</v>
      </c>
      <c r="J1737">
        <v>1706</v>
      </c>
      <c r="K1737">
        <v>0.81979944056057796</v>
      </c>
    </row>
    <row r="1738" spans="1:11" x14ac:dyDescent="0.25">
      <c r="A1738" s="3">
        <v>39006</v>
      </c>
      <c r="B1738">
        <v>1418.51</v>
      </c>
      <c r="C1738">
        <f t="shared" si="104"/>
        <v>0.99135497036788545</v>
      </c>
      <c r="D1738">
        <v>1722</v>
      </c>
      <c r="E1738">
        <f t="shared" si="105"/>
        <v>0</v>
      </c>
      <c r="F1738">
        <f t="shared" si="106"/>
        <v>0</v>
      </c>
      <c r="G1738" t="str">
        <f t="shared" si="107"/>
        <v>extra</v>
      </c>
      <c r="J1738">
        <v>1707</v>
      </c>
      <c r="K1738">
        <v>0.81981548720061426</v>
      </c>
    </row>
    <row r="1739" spans="1:11" x14ac:dyDescent="0.25">
      <c r="A1739" s="3">
        <v>39003</v>
      </c>
      <c r="B1739">
        <v>1430.88</v>
      </c>
      <c r="C1739">
        <f t="shared" si="104"/>
        <v>1.0030704521556257</v>
      </c>
      <c r="D1739">
        <v>1723</v>
      </c>
      <c r="E1739">
        <f t="shared" si="105"/>
        <v>0</v>
      </c>
      <c r="F1739">
        <f t="shared" si="106"/>
        <v>0</v>
      </c>
      <c r="G1739" t="str">
        <f t="shared" si="107"/>
        <v>extra</v>
      </c>
      <c r="J1739">
        <v>1708</v>
      </c>
      <c r="K1739">
        <v>0.8199155465327298</v>
      </c>
    </row>
    <row r="1740" spans="1:11" x14ac:dyDescent="0.25">
      <c r="A1740" s="3">
        <v>39002</v>
      </c>
      <c r="B1740">
        <v>1426.5</v>
      </c>
      <c r="C1740">
        <f t="shared" si="104"/>
        <v>0.99345358311860155</v>
      </c>
      <c r="D1740">
        <v>1724</v>
      </c>
      <c r="E1740">
        <f t="shared" si="105"/>
        <v>0</v>
      </c>
      <c r="F1740">
        <f t="shared" si="106"/>
        <v>0</v>
      </c>
      <c r="G1740" t="str">
        <f t="shared" si="107"/>
        <v>extra</v>
      </c>
      <c r="J1740">
        <v>1709</v>
      </c>
      <c r="K1740">
        <v>0.81993409025207442</v>
      </c>
    </row>
    <row r="1741" spans="1:11" x14ac:dyDescent="0.25">
      <c r="A1741" s="3">
        <v>39001</v>
      </c>
      <c r="B1741">
        <v>1435.9</v>
      </c>
      <c r="C1741">
        <f t="shared" si="104"/>
        <v>0.99906765745456572</v>
      </c>
      <c r="D1741">
        <v>1725</v>
      </c>
      <c r="E1741">
        <f t="shared" si="105"/>
        <v>0</v>
      </c>
      <c r="F1741">
        <f t="shared" si="106"/>
        <v>0</v>
      </c>
      <c r="G1741" t="str">
        <f t="shared" si="107"/>
        <v>extra</v>
      </c>
      <c r="J1741">
        <v>1710</v>
      </c>
      <c r="K1741">
        <v>0.81993381570907442</v>
      </c>
    </row>
    <row r="1742" spans="1:11" x14ac:dyDescent="0.25">
      <c r="A1742" s="3">
        <v>39000</v>
      </c>
      <c r="B1742">
        <v>1437.24</v>
      </c>
      <c r="C1742">
        <f t="shared" si="104"/>
        <v>1.0008216926869351</v>
      </c>
      <c r="D1742">
        <v>1726</v>
      </c>
      <c r="E1742">
        <f t="shared" si="105"/>
        <v>0</v>
      </c>
      <c r="F1742">
        <f t="shared" si="106"/>
        <v>0</v>
      </c>
      <c r="G1742" t="str">
        <f t="shared" si="107"/>
        <v>extra</v>
      </c>
      <c r="J1742">
        <v>1711</v>
      </c>
      <c r="K1742">
        <v>0.81999299991298857</v>
      </c>
    </row>
    <row r="1743" spans="1:11" x14ac:dyDescent="0.25">
      <c r="A1743" s="3">
        <v>38999</v>
      </c>
      <c r="B1743">
        <v>1436.06</v>
      </c>
      <c r="C1743">
        <f t="shared" si="104"/>
        <v>1.0233741430668586</v>
      </c>
      <c r="D1743">
        <v>1727</v>
      </c>
      <c r="E1743">
        <f t="shared" si="105"/>
        <v>0</v>
      </c>
      <c r="F1743">
        <f t="shared" si="106"/>
        <v>0</v>
      </c>
      <c r="G1743" t="str">
        <f t="shared" si="107"/>
        <v>extra</v>
      </c>
      <c r="J1743">
        <v>1712</v>
      </c>
      <c r="K1743">
        <v>0.82008436734592682</v>
      </c>
    </row>
    <row r="1744" spans="1:11" x14ac:dyDescent="0.25">
      <c r="A1744" s="3">
        <v>38989</v>
      </c>
      <c r="B1744">
        <v>1403.26</v>
      </c>
      <c r="C1744">
        <f t="shared" si="104"/>
        <v>1.0117231434751262</v>
      </c>
      <c r="D1744">
        <v>1728</v>
      </c>
      <c r="E1744">
        <f t="shared" si="105"/>
        <v>0</v>
      </c>
      <c r="F1744">
        <f t="shared" si="106"/>
        <v>0</v>
      </c>
      <c r="G1744" t="str">
        <f t="shared" si="107"/>
        <v>extra</v>
      </c>
      <c r="J1744">
        <v>1713</v>
      </c>
      <c r="K1744">
        <v>0.8200975236686725</v>
      </c>
    </row>
    <row r="1745" spans="1:11" x14ac:dyDescent="0.25">
      <c r="A1745" s="3">
        <v>38988</v>
      </c>
      <c r="B1745">
        <v>1387</v>
      </c>
      <c r="C1745">
        <f t="shared" si="104"/>
        <v>1.0115891503963943</v>
      </c>
      <c r="D1745">
        <v>1729</v>
      </c>
      <c r="E1745">
        <f t="shared" si="105"/>
        <v>0</v>
      </c>
      <c r="F1745">
        <f t="shared" si="106"/>
        <v>0</v>
      </c>
      <c r="G1745" t="str">
        <f t="shared" si="107"/>
        <v>extra</v>
      </c>
      <c r="J1745">
        <v>1714</v>
      </c>
      <c r="K1745">
        <v>0.82018593964972863</v>
      </c>
    </row>
    <row r="1746" spans="1:11" x14ac:dyDescent="0.25">
      <c r="A1746" s="3">
        <v>38987</v>
      </c>
      <c r="B1746">
        <v>1371.11</v>
      </c>
      <c r="C1746">
        <f t="shared" ref="C1746:C1809" si="108">B1746/B1747</f>
        <v>1.0099216287086412</v>
      </c>
      <c r="D1746">
        <v>1730</v>
      </c>
      <c r="E1746">
        <f t="shared" ref="E1746:E1809" si="109">IF(D1746&gt;$B$6,0,LN(C1746))</f>
        <v>0</v>
      </c>
      <c r="F1746">
        <f t="shared" ref="F1746:F1809" si="110">IF(D1746&gt;$B$6,0,(E1746-$B$7)^2)</f>
        <v>0</v>
      </c>
      <c r="G1746" t="str">
        <f t="shared" ref="G1746:G1809" si="111">IF(D1746&lt;=$B$6,E1746,"extra")</f>
        <v>extra</v>
      </c>
      <c r="J1746">
        <v>1715</v>
      </c>
      <c r="K1746">
        <v>0.82020846155053984</v>
      </c>
    </row>
    <row r="1747" spans="1:11" x14ac:dyDescent="0.25">
      <c r="A1747" s="3">
        <v>38986</v>
      </c>
      <c r="B1747">
        <v>1357.64</v>
      </c>
      <c r="C1747">
        <f t="shared" si="108"/>
        <v>0.98925232623379655</v>
      </c>
      <c r="D1747">
        <v>1731</v>
      </c>
      <c r="E1747">
        <f t="shared" si="109"/>
        <v>0</v>
      </c>
      <c r="F1747">
        <f t="shared" si="110"/>
        <v>0</v>
      </c>
      <c r="G1747" t="str">
        <f t="shared" si="111"/>
        <v>extra</v>
      </c>
      <c r="J1747">
        <v>1716</v>
      </c>
      <c r="K1747">
        <v>0.82021999184941541</v>
      </c>
    </row>
    <row r="1748" spans="1:11" x14ac:dyDescent="0.25">
      <c r="A1748" s="3">
        <v>38985</v>
      </c>
      <c r="B1748">
        <v>1372.39</v>
      </c>
      <c r="C1748">
        <f t="shared" si="108"/>
        <v>0.99821071389606153</v>
      </c>
      <c r="D1748">
        <v>1732</v>
      </c>
      <c r="E1748">
        <f t="shared" si="109"/>
        <v>0</v>
      </c>
      <c r="F1748">
        <f t="shared" si="110"/>
        <v>0</v>
      </c>
      <c r="G1748" t="str">
        <f t="shared" si="111"/>
        <v>extra</v>
      </c>
      <c r="J1748">
        <v>1717</v>
      </c>
      <c r="K1748">
        <v>0.82050734988611085</v>
      </c>
    </row>
    <row r="1749" spans="1:11" x14ac:dyDescent="0.25">
      <c r="A1749" s="3">
        <v>38982</v>
      </c>
      <c r="B1749">
        <v>1374.85</v>
      </c>
      <c r="C1749">
        <f t="shared" si="108"/>
        <v>0.99097573105948666</v>
      </c>
      <c r="D1749">
        <v>1733</v>
      </c>
      <c r="E1749">
        <f t="shared" si="109"/>
        <v>0</v>
      </c>
      <c r="F1749">
        <f t="shared" si="110"/>
        <v>0</v>
      </c>
      <c r="G1749" t="str">
        <f t="shared" si="111"/>
        <v>extra</v>
      </c>
      <c r="J1749">
        <v>1718</v>
      </c>
      <c r="K1749">
        <v>0.82081273926245335</v>
      </c>
    </row>
    <row r="1750" spans="1:11" x14ac:dyDescent="0.25">
      <c r="A1750" s="3">
        <v>38981</v>
      </c>
      <c r="B1750">
        <v>1387.37</v>
      </c>
      <c r="C1750">
        <f t="shared" si="108"/>
        <v>1.0064710363088976</v>
      </c>
      <c r="D1750">
        <v>1734</v>
      </c>
      <c r="E1750">
        <f t="shared" si="109"/>
        <v>0</v>
      </c>
      <c r="F1750">
        <f t="shared" si="110"/>
        <v>0</v>
      </c>
      <c r="G1750" t="str">
        <f t="shared" si="111"/>
        <v>extra</v>
      </c>
      <c r="J1750">
        <v>1719</v>
      </c>
      <c r="K1750">
        <v>0.82081250784740778</v>
      </c>
    </row>
    <row r="1751" spans="1:11" x14ac:dyDescent="0.25">
      <c r="A1751" s="3">
        <v>38980</v>
      </c>
      <c r="B1751">
        <v>1378.45</v>
      </c>
      <c r="C1751">
        <f t="shared" si="108"/>
        <v>1.0001088297177683</v>
      </c>
      <c r="D1751">
        <v>1735</v>
      </c>
      <c r="E1751">
        <f t="shared" si="109"/>
        <v>0</v>
      </c>
      <c r="F1751">
        <f t="shared" si="110"/>
        <v>0</v>
      </c>
      <c r="G1751" t="str">
        <f t="shared" si="111"/>
        <v>extra</v>
      </c>
      <c r="J1751">
        <v>1720</v>
      </c>
      <c r="K1751">
        <v>0.82081278219277476</v>
      </c>
    </row>
    <row r="1752" spans="1:11" x14ac:dyDescent="0.25">
      <c r="A1752" s="3">
        <v>38979</v>
      </c>
      <c r="B1752">
        <v>1378.3</v>
      </c>
      <c r="C1752">
        <f t="shared" si="108"/>
        <v>1.0019919160196575</v>
      </c>
      <c r="D1752">
        <v>1736</v>
      </c>
      <c r="E1752">
        <f t="shared" si="109"/>
        <v>0</v>
      </c>
      <c r="F1752">
        <f t="shared" si="110"/>
        <v>0</v>
      </c>
      <c r="G1752" t="str">
        <f t="shared" si="111"/>
        <v>extra</v>
      </c>
      <c r="J1752">
        <v>1721</v>
      </c>
      <c r="K1752">
        <v>0.82096765505216263</v>
      </c>
    </row>
    <row r="1753" spans="1:11" x14ac:dyDescent="0.25">
      <c r="A1753" s="3">
        <v>38978</v>
      </c>
      <c r="B1753">
        <v>1375.56</v>
      </c>
      <c r="C1753">
        <f t="shared" si="108"/>
        <v>1.0097261269461431</v>
      </c>
      <c r="D1753">
        <v>1737</v>
      </c>
      <c r="E1753">
        <f t="shared" si="109"/>
        <v>0</v>
      </c>
      <c r="F1753">
        <f t="shared" si="110"/>
        <v>0</v>
      </c>
      <c r="G1753" t="str">
        <f t="shared" si="111"/>
        <v>extra</v>
      </c>
      <c r="J1753">
        <v>1722</v>
      </c>
      <c r="K1753">
        <v>0.8209735236371245</v>
      </c>
    </row>
    <row r="1754" spans="1:11" x14ac:dyDescent="0.25">
      <c r="A1754" s="3">
        <v>38975</v>
      </c>
      <c r="B1754">
        <v>1362.31</v>
      </c>
      <c r="C1754">
        <f t="shared" si="108"/>
        <v>1.0179634901776173</v>
      </c>
      <c r="D1754">
        <v>1738</v>
      </c>
      <c r="E1754">
        <f t="shared" si="109"/>
        <v>0</v>
      </c>
      <c r="F1754">
        <f t="shared" si="110"/>
        <v>0</v>
      </c>
      <c r="G1754" t="str">
        <f t="shared" si="111"/>
        <v>extra</v>
      </c>
      <c r="J1754">
        <v>1723</v>
      </c>
      <c r="K1754">
        <v>0.82102234387176998</v>
      </c>
    </row>
    <row r="1755" spans="1:11" x14ac:dyDescent="0.25">
      <c r="A1755" s="3">
        <v>38974</v>
      </c>
      <c r="B1755">
        <v>1338.27</v>
      </c>
      <c r="C1755">
        <f t="shared" si="108"/>
        <v>0.99991781108504296</v>
      </c>
      <c r="D1755">
        <v>1739</v>
      </c>
      <c r="E1755">
        <f t="shared" si="109"/>
        <v>0</v>
      </c>
      <c r="F1755">
        <f t="shared" si="110"/>
        <v>0</v>
      </c>
      <c r="G1755" t="str">
        <f t="shared" si="111"/>
        <v>extra</v>
      </c>
      <c r="J1755">
        <v>1724</v>
      </c>
      <c r="K1755">
        <v>0.82102676783478634</v>
      </c>
    </row>
    <row r="1756" spans="1:11" x14ac:dyDescent="0.25">
      <c r="A1756" s="3">
        <v>38973</v>
      </c>
      <c r="B1756">
        <v>1338.38</v>
      </c>
      <c r="C1756">
        <f t="shared" si="108"/>
        <v>0.99313609818718784</v>
      </c>
      <c r="D1756">
        <v>1740</v>
      </c>
      <c r="E1756">
        <f t="shared" si="109"/>
        <v>0</v>
      </c>
      <c r="F1756">
        <f t="shared" si="110"/>
        <v>0</v>
      </c>
      <c r="G1756" t="str">
        <f t="shared" si="111"/>
        <v>extra</v>
      </c>
      <c r="J1756">
        <v>1725</v>
      </c>
      <c r="K1756">
        <v>0.82105514851681338</v>
      </c>
    </row>
    <row r="1757" spans="1:11" x14ac:dyDescent="0.25">
      <c r="A1757" s="3">
        <v>38972</v>
      </c>
      <c r="B1757">
        <v>1347.63</v>
      </c>
      <c r="C1757">
        <f t="shared" si="108"/>
        <v>1.0066330532212886</v>
      </c>
      <c r="D1757">
        <v>1741</v>
      </c>
      <c r="E1757">
        <f t="shared" si="109"/>
        <v>0</v>
      </c>
      <c r="F1757">
        <f t="shared" si="110"/>
        <v>0</v>
      </c>
      <c r="G1757" t="str">
        <f t="shared" si="111"/>
        <v>extra</v>
      </c>
      <c r="J1757">
        <v>1726</v>
      </c>
      <c r="K1757">
        <v>0.82105577742102598</v>
      </c>
    </row>
    <row r="1758" spans="1:11" x14ac:dyDescent="0.25">
      <c r="A1758" s="3">
        <v>38971</v>
      </c>
      <c r="B1758">
        <v>1338.75</v>
      </c>
      <c r="C1758">
        <f t="shared" si="108"/>
        <v>1.0049543970273618</v>
      </c>
      <c r="D1758">
        <v>1742</v>
      </c>
      <c r="E1758">
        <f t="shared" si="109"/>
        <v>0</v>
      </c>
      <c r="F1758">
        <f t="shared" si="110"/>
        <v>0</v>
      </c>
      <c r="G1758" t="str">
        <f t="shared" si="111"/>
        <v>extra</v>
      </c>
      <c r="J1758">
        <v>1727</v>
      </c>
      <c r="K1758">
        <v>0.82105567679989433</v>
      </c>
    </row>
    <row r="1759" spans="1:11" x14ac:dyDescent="0.25">
      <c r="A1759" s="3">
        <v>38968</v>
      </c>
      <c r="B1759">
        <v>1332.15</v>
      </c>
      <c r="C1759">
        <f t="shared" si="108"/>
        <v>1.0028455927188962</v>
      </c>
      <c r="D1759">
        <v>1743</v>
      </c>
      <c r="E1759">
        <f t="shared" si="109"/>
        <v>0</v>
      </c>
      <c r="F1759">
        <f t="shared" si="110"/>
        <v>0</v>
      </c>
      <c r="G1759" t="str">
        <f t="shared" si="111"/>
        <v>extra</v>
      </c>
      <c r="J1759">
        <v>1728</v>
      </c>
      <c r="K1759">
        <v>0.82137263698623475</v>
      </c>
    </row>
    <row r="1760" spans="1:11" x14ac:dyDescent="0.25">
      <c r="A1760" s="3">
        <v>38967</v>
      </c>
      <c r="B1760">
        <v>1328.37</v>
      </c>
      <c r="C1760">
        <f t="shared" si="108"/>
        <v>0.98663804628776852</v>
      </c>
      <c r="D1760">
        <v>1744</v>
      </c>
      <c r="E1760">
        <f t="shared" si="109"/>
        <v>0</v>
      </c>
      <c r="F1760">
        <f t="shared" si="110"/>
        <v>0</v>
      </c>
      <c r="G1760" t="str">
        <f t="shared" si="111"/>
        <v>extra</v>
      </c>
      <c r="J1760">
        <v>1729</v>
      </c>
      <c r="K1760">
        <v>0.82145090842822721</v>
      </c>
    </row>
    <row r="1761" spans="1:11" x14ac:dyDescent="0.25">
      <c r="A1761" s="3">
        <v>38966</v>
      </c>
      <c r="B1761">
        <v>1346.36</v>
      </c>
      <c r="C1761">
        <f t="shared" si="108"/>
        <v>1.0042366560253004</v>
      </c>
      <c r="D1761">
        <v>1745</v>
      </c>
      <c r="E1761">
        <f t="shared" si="109"/>
        <v>0</v>
      </c>
      <c r="F1761">
        <f t="shared" si="110"/>
        <v>0</v>
      </c>
      <c r="G1761" t="str">
        <f t="shared" si="111"/>
        <v>extra</v>
      </c>
      <c r="J1761">
        <v>1730</v>
      </c>
      <c r="K1761">
        <v>0.82152726158230449</v>
      </c>
    </row>
    <row r="1762" spans="1:11" x14ac:dyDescent="0.25">
      <c r="A1762" s="3">
        <v>38965</v>
      </c>
      <c r="B1762">
        <v>1340.68</v>
      </c>
      <c r="C1762">
        <f t="shared" si="108"/>
        <v>1.0025724626843349</v>
      </c>
      <c r="D1762">
        <v>1746</v>
      </c>
      <c r="E1762">
        <f t="shared" si="109"/>
        <v>0</v>
      </c>
      <c r="F1762">
        <f t="shared" si="110"/>
        <v>0</v>
      </c>
      <c r="G1762" t="str">
        <f t="shared" si="111"/>
        <v>extra</v>
      </c>
      <c r="J1762">
        <v>1731</v>
      </c>
      <c r="K1762">
        <v>0.82158265225833049</v>
      </c>
    </row>
    <row r="1763" spans="1:11" x14ac:dyDescent="0.25">
      <c r="A1763" s="3">
        <v>38964</v>
      </c>
      <c r="B1763">
        <v>1337.24</v>
      </c>
      <c r="C1763">
        <f t="shared" si="108"/>
        <v>1.0145285981989092</v>
      </c>
      <c r="D1763">
        <v>1747</v>
      </c>
      <c r="E1763">
        <f t="shared" si="109"/>
        <v>0</v>
      </c>
      <c r="F1763">
        <f t="shared" si="110"/>
        <v>0</v>
      </c>
      <c r="G1763" t="str">
        <f t="shared" si="111"/>
        <v>extra</v>
      </c>
      <c r="J1763">
        <v>1732</v>
      </c>
      <c r="K1763">
        <v>0.82165771474280702</v>
      </c>
    </row>
    <row r="1764" spans="1:11" x14ac:dyDescent="0.25">
      <c r="A1764" s="3">
        <v>38961</v>
      </c>
      <c r="B1764">
        <v>1318.09</v>
      </c>
      <c r="C1764">
        <f t="shared" si="108"/>
        <v>0.9846191770998296</v>
      </c>
      <c r="D1764">
        <v>1748</v>
      </c>
      <c r="E1764">
        <f t="shared" si="109"/>
        <v>0</v>
      </c>
      <c r="F1764">
        <f t="shared" si="110"/>
        <v>0</v>
      </c>
      <c r="G1764" t="str">
        <f t="shared" si="111"/>
        <v>extra</v>
      </c>
      <c r="J1764">
        <v>1733</v>
      </c>
      <c r="K1764">
        <v>0.82166013041039487</v>
      </c>
    </row>
    <row r="1765" spans="1:11" x14ac:dyDescent="0.25">
      <c r="A1765" s="3">
        <v>38960</v>
      </c>
      <c r="B1765">
        <v>1338.68</v>
      </c>
      <c r="C1765">
        <f t="shared" si="108"/>
        <v>1.0030044880007791</v>
      </c>
      <c r="D1765">
        <v>1749</v>
      </c>
      <c r="E1765">
        <f t="shared" si="109"/>
        <v>0</v>
      </c>
      <c r="F1765">
        <f t="shared" si="110"/>
        <v>0</v>
      </c>
      <c r="G1765" t="str">
        <f t="shared" si="111"/>
        <v>extra</v>
      </c>
      <c r="J1765">
        <v>1734</v>
      </c>
      <c r="K1765">
        <v>0.82171336849107324</v>
      </c>
    </row>
    <row r="1766" spans="1:11" x14ac:dyDescent="0.25">
      <c r="A1766" s="3">
        <v>38959</v>
      </c>
      <c r="B1766">
        <v>1334.67</v>
      </c>
      <c r="C1766">
        <f t="shared" si="108"/>
        <v>1.0033981129947751</v>
      </c>
      <c r="D1766">
        <v>1750</v>
      </c>
      <c r="E1766">
        <f t="shared" si="109"/>
        <v>0</v>
      </c>
      <c r="F1766">
        <f t="shared" si="110"/>
        <v>0</v>
      </c>
      <c r="G1766" t="str">
        <f t="shared" si="111"/>
        <v>extra</v>
      </c>
      <c r="J1766">
        <v>1735</v>
      </c>
      <c r="K1766">
        <v>0.82173609179406071</v>
      </c>
    </row>
    <row r="1767" spans="1:11" x14ac:dyDescent="0.25">
      <c r="A1767" s="3">
        <v>38958</v>
      </c>
      <c r="B1767">
        <v>1330.15</v>
      </c>
      <c r="C1767">
        <f t="shared" si="108"/>
        <v>1.0032129362164282</v>
      </c>
      <c r="D1767">
        <v>1751</v>
      </c>
      <c r="E1767">
        <f t="shared" si="109"/>
        <v>0</v>
      </c>
      <c r="F1767">
        <f t="shared" si="110"/>
        <v>0</v>
      </c>
      <c r="G1767" t="str">
        <f t="shared" si="111"/>
        <v>extra</v>
      </c>
      <c r="J1767">
        <v>1736</v>
      </c>
      <c r="K1767">
        <v>0.82173584276476841</v>
      </c>
    </row>
    <row r="1768" spans="1:11" x14ac:dyDescent="0.25">
      <c r="A1768" s="3">
        <v>38957</v>
      </c>
      <c r="B1768">
        <v>1325.89</v>
      </c>
      <c r="C1768">
        <f t="shared" si="108"/>
        <v>1.023513427973723</v>
      </c>
      <c r="D1768">
        <v>1752</v>
      </c>
      <c r="E1768">
        <f t="shared" si="109"/>
        <v>0</v>
      </c>
      <c r="F1768">
        <f t="shared" si="110"/>
        <v>0</v>
      </c>
      <c r="G1768" t="str">
        <f t="shared" si="111"/>
        <v>extra</v>
      </c>
      <c r="J1768">
        <v>1737</v>
      </c>
      <c r="K1768">
        <v>0.82173729282486874</v>
      </c>
    </row>
    <row r="1769" spans="1:11" x14ac:dyDescent="0.25">
      <c r="A1769" s="3">
        <v>38954</v>
      </c>
      <c r="B1769">
        <v>1295.43</v>
      </c>
      <c r="C1769">
        <f t="shared" si="108"/>
        <v>1.0023444753946147</v>
      </c>
      <c r="D1769">
        <v>1753</v>
      </c>
      <c r="E1769">
        <f t="shared" si="109"/>
        <v>0</v>
      </c>
      <c r="F1769">
        <f t="shared" si="110"/>
        <v>0</v>
      </c>
      <c r="G1769" t="str">
        <f t="shared" si="111"/>
        <v>extra</v>
      </c>
      <c r="J1769">
        <v>1738</v>
      </c>
      <c r="K1769">
        <v>0.82179047604922273</v>
      </c>
    </row>
    <row r="1770" spans="1:11" x14ac:dyDescent="0.25">
      <c r="A1770" s="3">
        <v>38953</v>
      </c>
      <c r="B1770">
        <v>1292.4000000000001</v>
      </c>
      <c r="C1770">
        <f t="shared" si="108"/>
        <v>1.0052268060481613</v>
      </c>
      <c r="D1770">
        <v>1754</v>
      </c>
      <c r="E1770">
        <f t="shared" si="109"/>
        <v>0</v>
      </c>
      <c r="F1770">
        <f t="shared" si="110"/>
        <v>0</v>
      </c>
      <c r="G1770" t="str">
        <f t="shared" si="111"/>
        <v>extra</v>
      </c>
      <c r="J1770">
        <v>1739</v>
      </c>
      <c r="K1770">
        <v>0.82197640753645862</v>
      </c>
    </row>
    <row r="1771" spans="1:11" x14ac:dyDescent="0.25">
      <c r="A1771" s="3">
        <v>38952</v>
      </c>
      <c r="B1771">
        <v>1285.68</v>
      </c>
      <c r="C1771">
        <f t="shared" si="108"/>
        <v>1.000326782129686</v>
      </c>
      <c r="D1771">
        <v>1755</v>
      </c>
      <c r="E1771">
        <f t="shared" si="109"/>
        <v>0</v>
      </c>
      <c r="F1771">
        <f t="shared" si="110"/>
        <v>0</v>
      </c>
      <c r="G1771" t="str">
        <f t="shared" si="111"/>
        <v>extra</v>
      </c>
      <c r="J1771">
        <v>1740</v>
      </c>
      <c r="K1771">
        <v>0.82197623606133441</v>
      </c>
    </row>
    <row r="1772" spans="1:11" x14ac:dyDescent="0.25">
      <c r="A1772" s="3">
        <v>38951</v>
      </c>
      <c r="B1772">
        <v>1285.26</v>
      </c>
      <c r="C1772">
        <f t="shared" si="108"/>
        <v>1.0115697015489233</v>
      </c>
      <c r="D1772">
        <v>1756</v>
      </c>
      <c r="E1772">
        <f t="shared" si="109"/>
        <v>0</v>
      </c>
      <c r="F1772">
        <f t="shared" si="110"/>
        <v>0</v>
      </c>
      <c r="G1772" t="str">
        <f t="shared" si="111"/>
        <v>extra</v>
      </c>
      <c r="J1772">
        <v>1741</v>
      </c>
      <c r="K1772">
        <v>0.8220076162919705</v>
      </c>
    </row>
    <row r="1773" spans="1:11" x14ac:dyDescent="0.25">
      <c r="A1773" s="3">
        <v>38950</v>
      </c>
      <c r="B1773">
        <v>1270.56</v>
      </c>
      <c r="C1773">
        <f t="shared" si="108"/>
        <v>1.0021295726657518</v>
      </c>
      <c r="D1773">
        <v>1757</v>
      </c>
      <c r="E1773">
        <f t="shared" si="109"/>
        <v>0</v>
      </c>
      <c r="F1773">
        <f t="shared" si="110"/>
        <v>0</v>
      </c>
      <c r="G1773" t="str">
        <f t="shared" si="111"/>
        <v>extra</v>
      </c>
      <c r="J1773">
        <v>1742</v>
      </c>
      <c r="K1773">
        <v>0.82203143462342243</v>
      </c>
    </row>
    <row r="1774" spans="1:11" x14ac:dyDescent="0.25">
      <c r="A1774" s="3">
        <v>38947</v>
      </c>
      <c r="B1774">
        <v>1267.8599999999999</v>
      </c>
      <c r="C1774">
        <f t="shared" si="108"/>
        <v>0.99704314181909692</v>
      </c>
      <c r="D1774">
        <v>1758</v>
      </c>
      <c r="E1774">
        <f t="shared" si="109"/>
        <v>0</v>
      </c>
      <c r="F1774">
        <f t="shared" si="110"/>
        <v>0</v>
      </c>
      <c r="G1774" t="str">
        <f t="shared" si="111"/>
        <v>extra</v>
      </c>
      <c r="J1774">
        <v>1743</v>
      </c>
      <c r="K1774">
        <v>0.82204414686145355</v>
      </c>
    </row>
    <row r="1775" spans="1:11" x14ac:dyDescent="0.25">
      <c r="A1775" s="3">
        <v>38946</v>
      </c>
      <c r="B1775">
        <v>1271.6199999999999</v>
      </c>
      <c r="C1775">
        <f t="shared" si="108"/>
        <v>0.99069774689145806</v>
      </c>
      <c r="D1775">
        <v>1759</v>
      </c>
      <c r="E1775">
        <f t="shared" si="109"/>
        <v>0</v>
      </c>
      <c r="F1775">
        <f t="shared" si="110"/>
        <v>0</v>
      </c>
      <c r="G1775" t="str">
        <f t="shared" si="111"/>
        <v>extra</v>
      </c>
      <c r="J1775">
        <v>1744</v>
      </c>
      <c r="K1775">
        <v>0.82204772719566666</v>
      </c>
    </row>
    <row r="1776" spans="1:11" x14ac:dyDescent="0.25">
      <c r="A1776" s="3">
        <v>38945</v>
      </c>
      <c r="B1776">
        <v>1283.56</v>
      </c>
      <c r="C1776">
        <f t="shared" si="108"/>
        <v>1.0139825889118861</v>
      </c>
      <c r="D1776">
        <v>1760</v>
      </c>
      <c r="E1776">
        <f t="shared" si="109"/>
        <v>0</v>
      </c>
      <c r="F1776">
        <f t="shared" si="110"/>
        <v>0</v>
      </c>
      <c r="G1776" t="str">
        <f t="shared" si="111"/>
        <v>extra</v>
      </c>
      <c r="J1776">
        <v>1745</v>
      </c>
      <c r="K1776">
        <v>0.82216300360837657</v>
      </c>
    </row>
    <row r="1777" spans="1:11" x14ac:dyDescent="0.25">
      <c r="A1777" s="3">
        <v>38944</v>
      </c>
      <c r="B1777">
        <v>1265.8599999999999</v>
      </c>
      <c r="C1777">
        <f t="shared" si="108"/>
        <v>1.0161673570304723</v>
      </c>
      <c r="D1777">
        <v>1761</v>
      </c>
      <c r="E1777">
        <f t="shared" si="109"/>
        <v>0</v>
      </c>
      <c r="F1777">
        <f t="shared" si="110"/>
        <v>0</v>
      </c>
      <c r="G1777" t="str">
        <f t="shared" si="111"/>
        <v>extra</v>
      </c>
      <c r="J1777">
        <v>1746</v>
      </c>
      <c r="K1777">
        <v>0.82217202737678674</v>
      </c>
    </row>
    <row r="1778" spans="1:11" x14ac:dyDescent="0.25">
      <c r="A1778" s="3">
        <v>38943</v>
      </c>
      <c r="B1778">
        <v>1245.72</v>
      </c>
      <c r="C1778">
        <f t="shared" si="108"/>
        <v>0.97653745149531601</v>
      </c>
      <c r="D1778">
        <v>1762</v>
      </c>
      <c r="E1778">
        <f t="shared" si="109"/>
        <v>0</v>
      </c>
      <c r="F1778">
        <f t="shared" si="110"/>
        <v>0</v>
      </c>
      <c r="G1778" t="str">
        <f t="shared" si="111"/>
        <v>extra</v>
      </c>
      <c r="J1778">
        <v>1747</v>
      </c>
      <c r="K1778">
        <v>0.82217483078184495</v>
      </c>
    </row>
    <row r="1779" spans="1:11" x14ac:dyDescent="0.25">
      <c r="A1779" s="3">
        <v>38940</v>
      </c>
      <c r="B1779">
        <v>1275.6500000000001</v>
      </c>
      <c r="C1779">
        <f t="shared" si="108"/>
        <v>1.0032875333275657</v>
      </c>
      <c r="D1779">
        <v>1763</v>
      </c>
      <c r="E1779">
        <f t="shared" si="109"/>
        <v>0</v>
      </c>
      <c r="F1779">
        <f t="shared" si="110"/>
        <v>0</v>
      </c>
      <c r="G1779" t="str">
        <f t="shared" si="111"/>
        <v>extra</v>
      </c>
      <c r="J1779">
        <v>1748</v>
      </c>
      <c r="K1779">
        <v>0.82229554330292243</v>
      </c>
    </row>
    <row r="1780" spans="1:11" x14ac:dyDescent="0.25">
      <c r="A1780" s="3">
        <v>38939</v>
      </c>
      <c r="B1780">
        <v>1271.47</v>
      </c>
      <c r="C1780">
        <f t="shared" si="108"/>
        <v>1.0161273565680218</v>
      </c>
      <c r="D1780">
        <v>1764</v>
      </c>
      <c r="E1780">
        <f t="shared" si="109"/>
        <v>0</v>
      </c>
      <c r="F1780">
        <f t="shared" si="110"/>
        <v>0</v>
      </c>
      <c r="G1780" t="str">
        <f t="shared" si="111"/>
        <v>extra</v>
      </c>
      <c r="J1780">
        <v>1749</v>
      </c>
      <c r="K1780">
        <v>0.82244774752337169</v>
      </c>
    </row>
    <row r="1781" spans="1:11" x14ac:dyDescent="0.25">
      <c r="A1781" s="3">
        <v>38938</v>
      </c>
      <c r="B1781">
        <v>1251.29</v>
      </c>
      <c r="C1781">
        <f t="shared" si="108"/>
        <v>0.99912965713281898</v>
      </c>
      <c r="D1781">
        <v>1765</v>
      </c>
      <c r="E1781">
        <f t="shared" si="109"/>
        <v>0</v>
      </c>
      <c r="F1781">
        <f t="shared" si="110"/>
        <v>0</v>
      </c>
      <c r="G1781" t="str">
        <f t="shared" si="111"/>
        <v>extra</v>
      </c>
      <c r="J1781">
        <v>1750</v>
      </c>
      <c r="K1781">
        <v>0.82245184055394771</v>
      </c>
    </row>
    <row r="1782" spans="1:11" x14ac:dyDescent="0.25">
      <c r="A1782" s="3">
        <v>38937</v>
      </c>
      <c r="B1782">
        <v>1252.3800000000001</v>
      </c>
      <c r="C1782">
        <f t="shared" si="108"/>
        <v>1.0231026876889144</v>
      </c>
      <c r="D1782">
        <v>1766</v>
      </c>
      <c r="E1782">
        <f t="shared" si="109"/>
        <v>0</v>
      </c>
      <c r="F1782">
        <f t="shared" si="110"/>
        <v>0</v>
      </c>
      <c r="G1782" t="str">
        <f t="shared" si="111"/>
        <v>extra</v>
      </c>
      <c r="J1782">
        <v>1751</v>
      </c>
      <c r="K1782">
        <v>0.82245730006052886</v>
      </c>
    </row>
    <row r="1783" spans="1:11" x14ac:dyDescent="0.25">
      <c r="A1783" s="3">
        <v>38936</v>
      </c>
      <c r="B1783">
        <v>1224.0999999999999</v>
      </c>
      <c r="C1783">
        <f t="shared" si="108"/>
        <v>0.98566712295675962</v>
      </c>
      <c r="D1783">
        <v>1767</v>
      </c>
      <c r="E1783">
        <f t="shared" si="109"/>
        <v>0</v>
      </c>
      <c r="F1783">
        <f t="shared" si="110"/>
        <v>0</v>
      </c>
      <c r="G1783" t="str">
        <f t="shared" si="111"/>
        <v>extra</v>
      </c>
      <c r="J1783">
        <v>1752</v>
      </c>
      <c r="K1783">
        <v>0.82246208536661047</v>
      </c>
    </row>
    <row r="1784" spans="1:11" x14ac:dyDescent="0.25">
      <c r="A1784" s="3">
        <v>38933</v>
      </c>
      <c r="B1784">
        <v>1241.9000000000001</v>
      </c>
      <c r="C1784">
        <f t="shared" si="108"/>
        <v>0.97653608441977136</v>
      </c>
      <c r="D1784">
        <v>1768</v>
      </c>
      <c r="E1784">
        <f t="shared" si="109"/>
        <v>0</v>
      </c>
      <c r="F1784">
        <f t="shared" si="110"/>
        <v>0</v>
      </c>
      <c r="G1784" t="str">
        <f t="shared" si="111"/>
        <v>extra</v>
      </c>
      <c r="J1784">
        <v>1753</v>
      </c>
      <c r="K1784">
        <v>0.82278113828030863</v>
      </c>
    </row>
    <row r="1785" spans="1:11" x14ac:dyDescent="0.25">
      <c r="A1785" s="3">
        <v>38932</v>
      </c>
      <c r="B1785">
        <v>1271.74</v>
      </c>
      <c r="C1785">
        <f t="shared" si="108"/>
        <v>0.99738055651410118</v>
      </c>
      <c r="D1785">
        <v>1769</v>
      </c>
      <c r="E1785">
        <f t="shared" si="109"/>
        <v>0</v>
      </c>
      <c r="F1785">
        <f t="shared" si="110"/>
        <v>0</v>
      </c>
      <c r="G1785" t="str">
        <f t="shared" si="111"/>
        <v>extra</v>
      </c>
      <c r="J1785">
        <v>1754</v>
      </c>
      <c r="K1785">
        <v>0.82278330647739673</v>
      </c>
    </row>
    <row r="1786" spans="1:11" x14ac:dyDescent="0.25">
      <c r="A1786" s="3">
        <v>38931</v>
      </c>
      <c r="B1786">
        <v>1275.08</v>
      </c>
      <c r="C1786">
        <f t="shared" si="108"/>
        <v>0.99456339456339449</v>
      </c>
      <c r="D1786">
        <v>1770</v>
      </c>
      <c r="E1786">
        <f t="shared" si="109"/>
        <v>0</v>
      </c>
      <c r="F1786">
        <f t="shared" si="110"/>
        <v>0</v>
      </c>
      <c r="G1786" t="str">
        <f t="shared" si="111"/>
        <v>extra</v>
      </c>
      <c r="J1786">
        <v>1755</v>
      </c>
      <c r="K1786">
        <v>0.82279747105117507</v>
      </c>
    </row>
    <row r="1787" spans="1:11" x14ac:dyDescent="0.25">
      <c r="A1787" s="3">
        <v>38930</v>
      </c>
      <c r="B1787">
        <v>1282.05</v>
      </c>
      <c r="C1787">
        <f t="shared" si="108"/>
        <v>0.99052777155395544</v>
      </c>
      <c r="D1787">
        <v>1771</v>
      </c>
      <c r="E1787">
        <f t="shared" si="109"/>
        <v>0</v>
      </c>
      <c r="F1787">
        <f t="shared" si="110"/>
        <v>0</v>
      </c>
      <c r="G1787" t="str">
        <f t="shared" si="111"/>
        <v>extra</v>
      </c>
      <c r="J1787">
        <v>1756</v>
      </c>
      <c r="K1787">
        <v>0.82279720394107847</v>
      </c>
    </row>
    <row r="1788" spans="1:11" x14ac:dyDescent="0.25">
      <c r="A1788" s="3">
        <v>38929</v>
      </c>
      <c r="B1788">
        <v>1294.31</v>
      </c>
      <c r="C1788">
        <f t="shared" si="108"/>
        <v>0.96490207918651538</v>
      </c>
      <c r="D1788">
        <v>1772</v>
      </c>
      <c r="E1788">
        <f t="shared" si="109"/>
        <v>0</v>
      </c>
      <c r="F1788">
        <f t="shared" si="110"/>
        <v>0</v>
      </c>
      <c r="G1788" t="str">
        <f t="shared" si="111"/>
        <v>extra</v>
      </c>
      <c r="J1788">
        <v>1757</v>
      </c>
      <c r="K1788">
        <v>0.82287265079870353</v>
      </c>
    </row>
    <row r="1789" spans="1:11" x14ac:dyDescent="0.25">
      <c r="A1789" s="3">
        <v>38926</v>
      </c>
      <c r="B1789">
        <v>1341.39</v>
      </c>
      <c r="C1789">
        <f t="shared" si="108"/>
        <v>0.98956135562211378</v>
      </c>
      <c r="D1789">
        <v>1773</v>
      </c>
      <c r="E1789">
        <f t="shared" si="109"/>
        <v>0</v>
      </c>
      <c r="F1789">
        <f t="shared" si="110"/>
        <v>0</v>
      </c>
      <c r="G1789" t="str">
        <f t="shared" si="111"/>
        <v>extra</v>
      </c>
      <c r="J1789">
        <v>1758</v>
      </c>
      <c r="K1789">
        <v>0.82287430374774573</v>
      </c>
    </row>
    <row r="1790" spans="1:11" x14ac:dyDescent="0.25">
      <c r="A1790" s="3">
        <v>38925</v>
      </c>
      <c r="B1790">
        <v>1355.54</v>
      </c>
      <c r="C1790">
        <f t="shared" si="108"/>
        <v>0.9885144644823487</v>
      </c>
      <c r="D1790">
        <v>1774</v>
      </c>
      <c r="E1790">
        <f t="shared" si="109"/>
        <v>0</v>
      </c>
      <c r="F1790">
        <f t="shared" si="110"/>
        <v>0</v>
      </c>
      <c r="G1790" t="str">
        <f t="shared" si="111"/>
        <v>extra</v>
      </c>
      <c r="J1790">
        <v>1759</v>
      </c>
      <c r="K1790">
        <v>0.82288070890796627</v>
      </c>
    </row>
    <row r="1791" spans="1:11" x14ac:dyDescent="0.25">
      <c r="A1791" s="3">
        <v>38924</v>
      </c>
      <c r="B1791">
        <v>1371.29</v>
      </c>
      <c r="C1791">
        <f t="shared" si="108"/>
        <v>0.99790418943798798</v>
      </c>
      <c r="D1791">
        <v>1775</v>
      </c>
      <c r="E1791">
        <f t="shared" si="109"/>
        <v>0</v>
      </c>
      <c r="F1791">
        <f t="shared" si="110"/>
        <v>0</v>
      </c>
      <c r="G1791" t="str">
        <f t="shared" si="111"/>
        <v>extra</v>
      </c>
      <c r="J1791">
        <v>1760</v>
      </c>
      <c r="K1791">
        <v>0.82293758898663338</v>
      </c>
    </row>
    <row r="1792" spans="1:11" x14ac:dyDescent="0.25">
      <c r="A1792" s="3">
        <v>38923</v>
      </c>
      <c r="B1792">
        <v>1374.17</v>
      </c>
      <c r="C1792">
        <f t="shared" si="108"/>
        <v>1.0118178069684565</v>
      </c>
      <c r="D1792">
        <v>1776</v>
      </c>
      <c r="E1792">
        <f t="shared" si="109"/>
        <v>0</v>
      </c>
      <c r="F1792">
        <f t="shared" si="110"/>
        <v>0</v>
      </c>
      <c r="G1792" t="str">
        <f t="shared" si="111"/>
        <v>extra</v>
      </c>
      <c r="J1792">
        <v>1761</v>
      </c>
      <c r="K1792">
        <v>0.8230487960850198</v>
      </c>
    </row>
    <row r="1793" spans="1:11" x14ac:dyDescent="0.25">
      <c r="A1793" s="3">
        <v>38922</v>
      </c>
      <c r="B1793">
        <v>1358.12</v>
      </c>
      <c r="C1793">
        <f t="shared" si="108"/>
        <v>1.0015412638363457</v>
      </c>
      <c r="D1793">
        <v>1777</v>
      </c>
      <c r="E1793">
        <f t="shared" si="109"/>
        <v>0</v>
      </c>
      <c r="F1793">
        <f t="shared" si="110"/>
        <v>0</v>
      </c>
      <c r="G1793" t="str">
        <f t="shared" si="111"/>
        <v>extra</v>
      </c>
      <c r="J1793">
        <v>1762</v>
      </c>
      <c r="K1793">
        <v>0.82319808397070782</v>
      </c>
    </row>
    <row r="1794" spans="1:11" x14ac:dyDescent="0.25">
      <c r="A1794" s="3">
        <v>38919</v>
      </c>
      <c r="B1794">
        <v>1356.03</v>
      </c>
      <c r="C1794">
        <f t="shared" si="108"/>
        <v>1.0080658350555316</v>
      </c>
      <c r="D1794">
        <v>1778</v>
      </c>
      <c r="E1794">
        <f t="shared" si="109"/>
        <v>0</v>
      </c>
      <c r="F1794">
        <f t="shared" si="110"/>
        <v>0</v>
      </c>
      <c r="G1794" t="str">
        <f t="shared" si="111"/>
        <v>extra</v>
      </c>
      <c r="J1794">
        <v>1763</v>
      </c>
      <c r="K1794">
        <v>0.82355080115955692</v>
      </c>
    </row>
    <row r="1795" spans="1:11" x14ac:dyDescent="0.25">
      <c r="A1795" s="3">
        <v>38918</v>
      </c>
      <c r="B1795">
        <v>1345.18</v>
      </c>
      <c r="C1795">
        <f t="shared" si="108"/>
        <v>1.0063891548958583</v>
      </c>
      <c r="D1795">
        <v>1779</v>
      </c>
      <c r="E1795">
        <f t="shared" si="109"/>
        <v>0</v>
      </c>
      <c r="F1795">
        <f t="shared" si="110"/>
        <v>0</v>
      </c>
      <c r="G1795" t="str">
        <f t="shared" si="111"/>
        <v>extra</v>
      </c>
      <c r="J1795">
        <v>1764</v>
      </c>
      <c r="K1795">
        <v>0.8235557697215351</v>
      </c>
    </row>
    <row r="1796" spans="1:11" x14ac:dyDescent="0.25">
      <c r="A1796" s="3">
        <v>38917</v>
      </c>
      <c r="B1796">
        <v>1336.64</v>
      </c>
      <c r="C1796">
        <f t="shared" si="108"/>
        <v>0.97322722275212792</v>
      </c>
      <c r="D1796">
        <v>1780</v>
      </c>
      <c r="E1796">
        <f t="shared" si="109"/>
        <v>0</v>
      </c>
      <c r="F1796">
        <f t="shared" si="110"/>
        <v>0</v>
      </c>
      <c r="G1796" t="str">
        <f t="shared" si="111"/>
        <v>extra</v>
      </c>
      <c r="J1796">
        <v>1765</v>
      </c>
      <c r="K1796">
        <v>0.82370427607368435</v>
      </c>
    </row>
    <row r="1797" spans="1:11" x14ac:dyDescent="0.25">
      <c r="A1797" s="3">
        <v>38916</v>
      </c>
      <c r="B1797">
        <v>1373.41</v>
      </c>
      <c r="C1797">
        <f t="shared" si="108"/>
        <v>1.0008453270176718</v>
      </c>
      <c r="D1797">
        <v>1781</v>
      </c>
      <c r="E1797">
        <f t="shared" si="109"/>
        <v>0</v>
      </c>
      <c r="F1797">
        <f t="shared" si="110"/>
        <v>0</v>
      </c>
      <c r="G1797" t="str">
        <f t="shared" si="111"/>
        <v>extra</v>
      </c>
      <c r="J1797">
        <v>1766</v>
      </c>
      <c r="K1797">
        <v>0.82370492766108905</v>
      </c>
    </row>
    <row r="1798" spans="1:11" x14ac:dyDescent="0.25">
      <c r="A1798" s="3">
        <v>38915</v>
      </c>
      <c r="B1798">
        <v>1372.25</v>
      </c>
      <c r="C1798">
        <f t="shared" si="108"/>
        <v>1.011148608818675</v>
      </c>
      <c r="D1798">
        <v>1782</v>
      </c>
      <c r="E1798">
        <f t="shared" si="109"/>
        <v>0</v>
      </c>
      <c r="F1798">
        <f t="shared" si="110"/>
        <v>0</v>
      </c>
      <c r="G1798" t="str">
        <f t="shared" si="111"/>
        <v>extra</v>
      </c>
      <c r="J1798">
        <v>1767</v>
      </c>
      <c r="K1798">
        <v>0.82401161921150867</v>
      </c>
    </row>
    <row r="1799" spans="1:11" x14ac:dyDescent="0.25">
      <c r="A1799" s="3">
        <v>38912</v>
      </c>
      <c r="B1799">
        <v>1357.12</v>
      </c>
      <c r="C1799">
        <f t="shared" si="108"/>
        <v>1.0082015927730892</v>
      </c>
      <c r="D1799">
        <v>1783</v>
      </c>
      <c r="E1799">
        <f t="shared" si="109"/>
        <v>0</v>
      </c>
      <c r="F1799">
        <f t="shared" si="110"/>
        <v>0</v>
      </c>
      <c r="G1799" t="str">
        <f t="shared" si="111"/>
        <v>extra</v>
      </c>
      <c r="J1799">
        <v>1768</v>
      </c>
      <c r="K1799">
        <v>0.82414443961190798</v>
      </c>
    </row>
    <row r="1800" spans="1:11" x14ac:dyDescent="0.25">
      <c r="A1800" s="3">
        <v>38911</v>
      </c>
      <c r="B1800">
        <v>1346.08</v>
      </c>
      <c r="C1800">
        <f t="shared" si="108"/>
        <v>0.9484913823475527</v>
      </c>
      <c r="D1800">
        <v>1784</v>
      </c>
      <c r="E1800">
        <f t="shared" si="109"/>
        <v>0</v>
      </c>
      <c r="F1800">
        <f t="shared" si="110"/>
        <v>0</v>
      </c>
      <c r="G1800" t="str">
        <f t="shared" si="111"/>
        <v>extra</v>
      </c>
      <c r="J1800">
        <v>1769</v>
      </c>
      <c r="K1800">
        <v>0.82449680843835316</v>
      </c>
    </row>
    <row r="1801" spans="1:11" x14ac:dyDescent="0.25">
      <c r="A1801" s="3">
        <v>38910</v>
      </c>
      <c r="B1801">
        <v>1419.18</v>
      </c>
      <c r="C1801">
        <f t="shared" si="108"/>
        <v>1.0004370629370629</v>
      </c>
      <c r="D1801">
        <v>1785</v>
      </c>
      <c r="E1801">
        <f t="shared" si="109"/>
        <v>0</v>
      </c>
      <c r="F1801">
        <f t="shared" si="110"/>
        <v>0</v>
      </c>
      <c r="G1801" t="str">
        <f t="shared" si="111"/>
        <v>extra</v>
      </c>
      <c r="J1801">
        <v>1770</v>
      </c>
      <c r="K1801">
        <v>0.8245018983776059</v>
      </c>
    </row>
    <row r="1802" spans="1:11" x14ac:dyDescent="0.25">
      <c r="A1802" s="3">
        <v>38909</v>
      </c>
      <c r="B1802">
        <v>1418.56</v>
      </c>
      <c r="C1802">
        <f t="shared" si="108"/>
        <v>1.0045605189360678</v>
      </c>
      <c r="D1802">
        <v>1786</v>
      </c>
      <c r="E1802">
        <f t="shared" si="109"/>
        <v>0</v>
      </c>
      <c r="F1802">
        <f t="shared" si="110"/>
        <v>0</v>
      </c>
      <c r="G1802" t="str">
        <f t="shared" si="111"/>
        <v>extra</v>
      </c>
      <c r="J1802">
        <v>1771</v>
      </c>
      <c r="K1802">
        <v>0.82452202707734135</v>
      </c>
    </row>
    <row r="1803" spans="1:11" x14ac:dyDescent="0.25">
      <c r="A1803" s="3">
        <v>38908</v>
      </c>
      <c r="B1803">
        <v>1412.12</v>
      </c>
      <c r="C1803">
        <f t="shared" si="108"/>
        <v>1.0012053147289459</v>
      </c>
      <c r="D1803">
        <v>1787</v>
      </c>
      <c r="E1803">
        <f t="shared" si="109"/>
        <v>0</v>
      </c>
      <c r="F1803">
        <f t="shared" si="110"/>
        <v>0</v>
      </c>
      <c r="G1803" t="str">
        <f t="shared" si="111"/>
        <v>extra</v>
      </c>
      <c r="J1803">
        <v>1772</v>
      </c>
      <c r="K1803">
        <v>0.82458074915071411</v>
      </c>
    </row>
    <row r="1804" spans="1:11" x14ac:dyDescent="0.25">
      <c r="A1804" s="3">
        <v>38905</v>
      </c>
      <c r="B1804">
        <v>1410.42</v>
      </c>
      <c r="C1804">
        <f t="shared" si="108"/>
        <v>0.99418469411491039</v>
      </c>
      <c r="D1804">
        <v>1788</v>
      </c>
      <c r="E1804">
        <f t="shared" si="109"/>
        <v>0</v>
      </c>
      <c r="F1804">
        <f t="shared" si="110"/>
        <v>0</v>
      </c>
      <c r="G1804" t="str">
        <f t="shared" si="111"/>
        <v>extra</v>
      </c>
      <c r="J1804">
        <v>1773</v>
      </c>
      <c r="K1804">
        <v>0.82536927545206451</v>
      </c>
    </row>
    <row r="1805" spans="1:11" x14ac:dyDescent="0.25">
      <c r="A1805" s="3">
        <v>38904</v>
      </c>
      <c r="B1805">
        <v>1418.67</v>
      </c>
      <c r="C1805">
        <f t="shared" si="108"/>
        <v>1.0184278535534816</v>
      </c>
      <c r="D1805">
        <v>1789</v>
      </c>
      <c r="E1805">
        <f t="shared" si="109"/>
        <v>0</v>
      </c>
      <c r="F1805">
        <f t="shared" si="110"/>
        <v>0</v>
      </c>
      <c r="G1805" t="str">
        <f t="shared" si="111"/>
        <v>extra</v>
      </c>
      <c r="J1805">
        <v>1774</v>
      </c>
      <c r="K1805">
        <v>0.82543984130802295</v>
      </c>
    </row>
    <row r="1806" spans="1:11" x14ac:dyDescent="0.25">
      <c r="A1806" s="3">
        <v>38903</v>
      </c>
      <c r="B1806">
        <v>1393</v>
      </c>
      <c r="C1806">
        <f t="shared" si="108"/>
        <v>0.98723609329487394</v>
      </c>
      <c r="D1806">
        <v>1790</v>
      </c>
      <c r="E1806">
        <f t="shared" si="109"/>
        <v>0</v>
      </c>
      <c r="F1806">
        <f t="shared" si="110"/>
        <v>0</v>
      </c>
      <c r="G1806" t="str">
        <f t="shared" si="111"/>
        <v>extra</v>
      </c>
      <c r="J1806">
        <v>1775</v>
      </c>
      <c r="K1806">
        <v>0.82552486141462045</v>
      </c>
    </row>
    <row r="1807" spans="1:11" x14ac:dyDescent="0.25">
      <c r="A1807" s="3">
        <v>38902</v>
      </c>
      <c r="B1807">
        <v>1411.01</v>
      </c>
      <c r="C1807">
        <f t="shared" si="108"/>
        <v>0.99345213368912422</v>
      </c>
      <c r="D1807">
        <v>1791</v>
      </c>
      <c r="E1807">
        <f t="shared" si="109"/>
        <v>0</v>
      </c>
      <c r="F1807">
        <f t="shared" si="110"/>
        <v>0</v>
      </c>
      <c r="G1807" t="str">
        <f t="shared" si="111"/>
        <v>extra</v>
      </c>
      <c r="J1807">
        <v>1776</v>
      </c>
      <c r="K1807">
        <v>0.82552809521670989</v>
      </c>
    </row>
    <row r="1808" spans="1:11" x14ac:dyDescent="0.25">
      <c r="A1808" s="3">
        <v>38901</v>
      </c>
      <c r="B1808">
        <v>1420.31</v>
      </c>
      <c r="C1808">
        <f t="shared" si="108"/>
        <v>1.0189029814341874</v>
      </c>
      <c r="D1808">
        <v>1792</v>
      </c>
      <c r="E1808">
        <f t="shared" si="109"/>
        <v>0</v>
      </c>
      <c r="F1808">
        <f t="shared" si="110"/>
        <v>0</v>
      </c>
      <c r="G1808" t="str">
        <f t="shared" si="111"/>
        <v>extra</v>
      </c>
      <c r="J1808">
        <v>1777</v>
      </c>
      <c r="K1808">
        <v>0.82560722477854331</v>
      </c>
    </row>
    <row r="1809" spans="1:11" x14ac:dyDescent="0.25">
      <c r="A1809" s="3">
        <v>38898</v>
      </c>
      <c r="B1809">
        <v>1393.96</v>
      </c>
      <c r="C1809">
        <f t="shared" si="108"/>
        <v>0.9991685303056369</v>
      </c>
      <c r="D1809">
        <v>1793</v>
      </c>
      <c r="E1809">
        <f t="shared" si="109"/>
        <v>0</v>
      </c>
      <c r="F1809">
        <f t="shared" si="110"/>
        <v>0</v>
      </c>
      <c r="G1809" t="str">
        <f t="shared" si="111"/>
        <v>extra</v>
      </c>
      <c r="J1809">
        <v>1778</v>
      </c>
      <c r="K1809">
        <v>0.82560788166594379</v>
      </c>
    </row>
    <row r="1810" spans="1:11" x14ac:dyDescent="0.25">
      <c r="A1810" s="3">
        <v>38897</v>
      </c>
      <c r="B1810">
        <v>1395.12</v>
      </c>
      <c r="C1810">
        <f t="shared" ref="C1810:C1873" si="112">B1810/B1811</f>
        <v>1.0236557877436017</v>
      </c>
      <c r="D1810">
        <v>1794</v>
      </c>
      <c r="E1810">
        <f t="shared" ref="E1810:E1873" si="113">IF(D1810&gt;$B$6,0,LN(C1810))</f>
        <v>0</v>
      </c>
      <c r="F1810">
        <f t="shared" ref="F1810:F1873" si="114">IF(D1810&gt;$B$6,0,(E1810-$B$7)^2)</f>
        <v>0</v>
      </c>
      <c r="G1810" t="str">
        <f t="shared" ref="G1810:G1873" si="115">IF(D1810&lt;=$B$6,E1810,"extra")</f>
        <v>extra</v>
      </c>
      <c r="J1810">
        <v>1779</v>
      </c>
      <c r="K1810">
        <v>0.82564376980697263</v>
      </c>
    </row>
    <row r="1811" spans="1:11" x14ac:dyDescent="0.25">
      <c r="A1811" s="3">
        <v>38896</v>
      </c>
      <c r="B1811">
        <v>1362.88</v>
      </c>
      <c r="C1811">
        <f t="shared" si="112"/>
        <v>0.99925947107171398</v>
      </c>
      <c r="D1811">
        <v>1795</v>
      </c>
      <c r="E1811">
        <f t="shared" si="113"/>
        <v>0</v>
      </c>
      <c r="F1811">
        <f t="shared" si="114"/>
        <v>0</v>
      </c>
      <c r="G1811" t="str">
        <f t="shared" si="115"/>
        <v>extra</v>
      </c>
      <c r="J1811">
        <v>1780</v>
      </c>
      <c r="K1811">
        <v>0.82566572280441497</v>
      </c>
    </row>
    <row r="1812" spans="1:11" x14ac:dyDescent="0.25">
      <c r="A1812" s="3">
        <v>38895</v>
      </c>
      <c r="B1812">
        <v>1363.89</v>
      </c>
      <c r="C1812">
        <f t="shared" si="112"/>
        <v>1.0003520584417014</v>
      </c>
      <c r="D1812">
        <v>1796</v>
      </c>
      <c r="E1812">
        <f t="shared" si="113"/>
        <v>0</v>
      </c>
      <c r="F1812">
        <f t="shared" si="114"/>
        <v>0</v>
      </c>
      <c r="G1812" t="str">
        <f t="shared" si="115"/>
        <v>extra</v>
      </c>
      <c r="J1812">
        <v>1781</v>
      </c>
      <c r="K1812">
        <v>0.82612206017619727</v>
      </c>
    </row>
    <row r="1813" spans="1:11" x14ac:dyDescent="0.25">
      <c r="A1813" s="3">
        <v>38894</v>
      </c>
      <c r="B1813">
        <v>1363.41</v>
      </c>
      <c r="C1813">
        <f t="shared" si="112"/>
        <v>1.0179031379019434</v>
      </c>
      <c r="D1813">
        <v>1797</v>
      </c>
      <c r="E1813">
        <f t="shared" si="113"/>
        <v>0</v>
      </c>
      <c r="F1813">
        <f t="shared" si="114"/>
        <v>0</v>
      </c>
      <c r="G1813" t="str">
        <f t="shared" si="115"/>
        <v>extra</v>
      </c>
      <c r="J1813">
        <v>1782</v>
      </c>
      <c r="K1813">
        <v>0.82612197816705912</v>
      </c>
    </row>
    <row r="1814" spans="1:11" x14ac:dyDescent="0.25">
      <c r="A1814" s="3">
        <v>38891</v>
      </c>
      <c r="B1814">
        <v>1339.43</v>
      </c>
      <c r="C1814">
        <f t="shared" si="112"/>
        <v>1.0059179152115956</v>
      </c>
      <c r="D1814">
        <v>1798</v>
      </c>
      <c r="E1814">
        <f t="shared" si="113"/>
        <v>0</v>
      </c>
      <c r="F1814">
        <f t="shared" si="114"/>
        <v>0</v>
      </c>
      <c r="G1814" t="str">
        <f t="shared" si="115"/>
        <v>extra</v>
      </c>
      <c r="J1814">
        <v>1783</v>
      </c>
      <c r="K1814">
        <v>0.82619214928145601</v>
      </c>
    </row>
    <row r="1815" spans="1:11" x14ac:dyDescent="0.25">
      <c r="A1815" s="3">
        <v>38890</v>
      </c>
      <c r="B1815">
        <v>1331.55</v>
      </c>
      <c r="C1815">
        <f t="shared" si="112"/>
        <v>0.99851521900519669</v>
      </c>
      <c r="D1815">
        <v>1799</v>
      </c>
      <c r="E1815">
        <f t="shared" si="113"/>
        <v>0</v>
      </c>
      <c r="F1815">
        <f t="shared" si="114"/>
        <v>0</v>
      </c>
      <c r="G1815" t="str">
        <f t="shared" si="115"/>
        <v>extra</v>
      </c>
      <c r="J1815">
        <v>1784</v>
      </c>
      <c r="K1815">
        <v>0.82622929619945429</v>
      </c>
    </row>
    <row r="1816" spans="1:11" x14ac:dyDescent="0.25">
      <c r="A1816" s="3">
        <v>38889</v>
      </c>
      <c r="B1816">
        <v>1333.53</v>
      </c>
      <c r="C1816">
        <f t="shared" si="112"/>
        <v>0.99649534456217959</v>
      </c>
      <c r="D1816">
        <v>1800</v>
      </c>
      <c r="E1816">
        <f t="shared" si="113"/>
        <v>0</v>
      </c>
      <c r="F1816">
        <f t="shared" si="114"/>
        <v>0</v>
      </c>
      <c r="G1816" t="str">
        <f t="shared" si="115"/>
        <v>extra</v>
      </c>
      <c r="J1816">
        <v>1785</v>
      </c>
      <c r="K1816">
        <v>0.82794066409789413</v>
      </c>
    </row>
    <row r="1817" spans="1:11" x14ac:dyDescent="0.25">
      <c r="A1817" s="3">
        <v>38888</v>
      </c>
      <c r="B1817">
        <v>1338.22</v>
      </c>
      <c r="C1817">
        <f t="shared" si="112"/>
        <v>1.0024945875690132</v>
      </c>
      <c r="D1817">
        <v>1801</v>
      </c>
      <c r="E1817">
        <f t="shared" si="113"/>
        <v>0</v>
      </c>
      <c r="F1817">
        <f t="shared" si="114"/>
        <v>0</v>
      </c>
      <c r="G1817" t="str">
        <f t="shared" si="115"/>
        <v>extra</v>
      </c>
      <c r="J1817">
        <v>1786</v>
      </c>
      <c r="K1817">
        <v>0.82794041844993094</v>
      </c>
    </row>
    <row r="1818" spans="1:11" x14ac:dyDescent="0.25">
      <c r="A1818" s="3">
        <v>38887</v>
      </c>
      <c r="B1818">
        <v>1334.89</v>
      </c>
      <c r="C1818">
        <f t="shared" si="112"/>
        <v>1.0128071865919075</v>
      </c>
      <c r="D1818">
        <v>1802</v>
      </c>
      <c r="E1818">
        <f t="shared" si="113"/>
        <v>0</v>
      </c>
      <c r="F1818">
        <f t="shared" si="114"/>
        <v>0</v>
      </c>
      <c r="G1818" t="str">
        <f t="shared" si="115"/>
        <v>extra</v>
      </c>
      <c r="J1818">
        <v>1787</v>
      </c>
      <c r="K1818">
        <v>0.82795116134948676</v>
      </c>
    </row>
    <row r="1819" spans="1:11" x14ac:dyDescent="0.25">
      <c r="A1819" s="3">
        <v>38884</v>
      </c>
      <c r="B1819">
        <v>1318.01</v>
      </c>
      <c r="C1819">
        <f t="shared" si="112"/>
        <v>1.025385489116059</v>
      </c>
      <c r="D1819">
        <v>1803</v>
      </c>
      <c r="E1819">
        <f t="shared" si="113"/>
        <v>0</v>
      </c>
      <c r="F1819">
        <f t="shared" si="114"/>
        <v>0</v>
      </c>
      <c r="G1819" t="str">
        <f t="shared" si="115"/>
        <v>extra</v>
      </c>
      <c r="J1819">
        <v>1788</v>
      </c>
      <c r="K1819">
        <v>0.82795141251456805</v>
      </c>
    </row>
    <row r="1820" spans="1:11" x14ac:dyDescent="0.25">
      <c r="A1820" s="3">
        <v>38883</v>
      </c>
      <c r="B1820">
        <v>1285.3800000000001</v>
      </c>
      <c r="C1820">
        <f t="shared" si="112"/>
        <v>1.0011683334891111</v>
      </c>
      <c r="D1820">
        <v>1804</v>
      </c>
      <c r="E1820">
        <f t="shared" si="113"/>
        <v>0</v>
      </c>
      <c r="F1820">
        <f t="shared" si="114"/>
        <v>0</v>
      </c>
      <c r="G1820" t="str">
        <f t="shared" si="115"/>
        <v>extra</v>
      </c>
      <c r="J1820">
        <v>1789</v>
      </c>
      <c r="K1820">
        <v>0.82797377073198475</v>
      </c>
    </row>
    <row r="1821" spans="1:11" x14ac:dyDescent="0.25">
      <c r="A1821" s="3">
        <v>38882</v>
      </c>
      <c r="B1821">
        <v>1283.8800000000001</v>
      </c>
      <c r="C1821">
        <f t="shared" si="112"/>
        <v>0.98891601900991333</v>
      </c>
      <c r="D1821">
        <v>1805</v>
      </c>
      <c r="E1821">
        <f t="shared" si="113"/>
        <v>0</v>
      </c>
      <c r="F1821">
        <f t="shared" si="114"/>
        <v>0</v>
      </c>
      <c r="G1821" t="str">
        <f t="shared" si="115"/>
        <v>extra</v>
      </c>
      <c r="J1821">
        <v>1790</v>
      </c>
      <c r="K1821">
        <v>0.82816877138085154</v>
      </c>
    </row>
    <row r="1822" spans="1:11" x14ac:dyDescent="0.25">
      <c r="A1822" s="3">
        <v>38881</v>
      </c>
      <c r="B1822">
        <v>1298.27</v>
      </c>
      <c r="C1822">
        <f t="shared" si="112"/>
        <v>1.0004623671657662</v>
      </c>
      <c r="D1822">
        <v>1806</v>
      </c>
      <c r="E1822">
        <f t="shared" si="113"/>
        <v>0</v>
      </c>
      <c r="F1822">
        <f t="shared" si="114"/>
        <v>0</v>
      </c>
      <c r="G1822" t="str">
        <f t="shared" si="115"/>
        <v>extra</v>
      </c>
      <c r="J1822">
        <v>1791</v>
      </c>
      <c r="K1822">
        <v>0.8282727833441359</v>
      </c>
    </row>
    <row r="1823" spans="1:11" x14ac:dyDescent="0.25">
      <c r="A1823" s="3">
        <v>38880</v>
      </c>
      <c r="B1823">
        <v>1297.67</v>
      </c>
      <c r="C1823">
        <f t="shared" si="112"/>
        <v>1.0026966882504753</v>
      </c>
      <c r="D1823">
        <v>1807</v>
      </c>
      <c r="E1823">
        <f t="shared" si="113"/>
        <v>0</v>
      </c>
      <c r="F1823">
        <f t="shared" si="114"/>
        <v>0</v>
      </c>
      <c r="G1823" t="str">
        <f t="shared" si="115"/>
        <v>extra</v>
      </c>
      <c r="J1823">
        <v>1792</v>
      </c>
      <c r="K1823">
        <v>0.82830090348482033</v>
      </c>
    </row>
    <row r="1824" spans="1:11" x14ac:dyDescent="0.25">
      <c r="A1824" s="3">
        <v>38877</v>
      </c>
      <c r="B1824">
        <v>1294.18</v>
      </c>
      <c r="C1824">
        <f t="shared" si="112"/>
        <v>0.97602509860705755</v>
      </c>
      <c r="D1824">
        <v>1808</v>
      </c>
      <c r="E1824">
        <f t="shared" si="113"/>
        <v>0</v>
      </c>
      <c r="F1824">
        <f t="shared" si="114"/>
        <v>0</v>
      </c>
      <c r="G1824" t="str">
        <f t="shared" si="115"/>
        <v>extra</v>
      </c>
      <c r="J1824">
        <v>1793</v>
      </c>
      <c r="K1824">
        <v>0.82850611044499611</v>
      </c>
    </row>
    <row r="1825" spans="1:11" x14ac:dyDescent="0.25">
      <c r="A1825" s="3">
        <v>38876</v>
      </c>
      <c r="B1825">
        <v>1325.97</v>
      </c>
      <c r="C1825">
        <f t="shared" si="112"/>
        <v>1.0043477272899419</v>
      </c>
      <c r="D1825">
        <v>1809</v>
      </c>
      <c r="E1825">
        <f t="shared" si="113"/>
        <v>0</v>
      </c>
      <c r="F1825">
        <f t="shared" si="114"/>
        <v>0</v>
      </c>
      <c r="G1825" t="str">
        <f t="shared" si="115"/>
        <v>extra</v>
      </c>
      <c r="J1825">
        <v>1794</v>
      </c>
      <c r="K1825">
        <v>0.82850661468580633</v>
      </c>
    </row>
    <row r="1826" spans="1:11" x14ac:dyDescent="0.25">
      <c r="A1826" s="3">
        <v>38875</v>
      </c>
      <c r="B1826">
        <v>1320.23</v>
      </c>
      <c r="C1826">
        <f t="shared" si="112"/>
        <v>0.94360106922824016</v>
      </c>
      <c r="D1826">
        <v>1810</v>
      </c>
      <c r="E1826">
        <f t="shared" si="113"/>
        <v>0</v>
      </c>
      <c r="F1826">
        <f t="shared" si="114"/>
        <v>0</v>
      </c>
      <c r="G1826" t="str">
        <f t="shared" si="115"/>
        <v>extra</v>
      </c>
      <c r="J1826">
        <v>1795</v>
      </c>
      <c r="K1826">
        <v>0.82882820798114532</v>
      </c>
    </row>
    <row r="1827" spans="1:11" x14ac:dyDescent="0.25">
      <c r="A1827" s="3">
        <v>38874</v>
      </c>
      <c r="B1827">
        <v>1399.14</v>
      </c>
      <c r="C1827">
        <f t="shared" si="112"/>
        <v>0.99713503805695713</v>
      </c>
      <c r="D1827">
        <v>1811</v>
      </c>
      <c r="E1827">
        <f t="shared" si="113"/>
        <v>0</v>
      </c>
      <c r="F1827">
        <f t="shared" si="114"/>
        <v>0</v>
      </c>
      <c r="G1827" t="str">
        <f t="shared" si="115"/>
        <v>extra</v>
      </c>
      <c r="J1827">
        <v>1796</v>
      </c>
      <c r="K1827">
        <v>0.8288286093187599</v>
      </c>
    </row>
    <row r="1828" spans="1:11" x14ac:dyDescent="0.25">
      <c r="A1828" s="3">
        <v>38873</v>
      </c>
      <c r="B1828">
        <v>1403.16</v>
      </c>
      <c r="C1828">
        <f t="shared" si="112"/>
        <v>1.0093877462934588</v>
      </c>
      <c r="D1828">
        <v>1812</v>
      </c>
      <c r="E1828">
        <f t="shared" si="113"/>
        <v>0</v>
      </c>
      <c r="F1828">
        <f t="shared" si="114"/>
        <v>0</v>
      </c>
      <c r="G1828" t="str">
        <f t="shared" si="115"/>
        <v>extra</v>
      </c>
      <c r="J1828">
        <v>1797</v>
      </c>
      <c r="K1828">
        <v>0.82882835365613128</v>
      </c>
    </row>
    <row r="1829" spans="1:11" x14ac:dyDescent="0.25">
      <c r="A1829" s="3">
        <v>38870</v>
      </c>
      <c r="B1829">
        <v>1390.11</v>
      </c>
      <c r="C1829">
        <f t="shared" si="112"/>
        <v>0.99090436034700291</v>
      </c>
      <c r="D1829">
        <v>1813</v>
      </c>
      <c r="E1829">
        <f t="shared" si="113"/>
        <v>0</v>
      </c>
      <c r="F1829">
        <f t="shared" si="114"/>
        <v>0</v>
      </c>
      <c r="G1829" t="str">
        <f t="shared" si="115"/>
        <v>extra</v>
      </c>
      <c r="J1829">
        <v>1798</v>
      </c>
      <c r="K1829">
        <v>0.82901169345362591</v>
      </c>
    </row>
    <row r="1830" spans="1:11" x14ac:dyDescent="0.25">
      <c r="A1830" s="3">
        <v>38869</v>
      </c>
      <c r="B1830">
        <v>1402.87</v>
      </c>
      <c r="C1830">
        <f t="shared" si="112"/>
        <v>1.0274048848365007</v>
      </c>
      <c r="D1830">
        <v>1814</v>
      </c>
      <c r="E1830">
        <f t="shared" si="113"/>
        <v>0</v>
      </c>
      <c r="F1830">
        <f t="shared" si="114"/>
        <v>0</v>
      </c>
      <c r="G1830" t="str">
        <f t="shared" si="115"/>
        <v>extra</v>
      </c>
      <c r="J1830">
        <v>1799</v>
      </c>
      <c r="K1830">
        <v>0.8290302766229648</v>
      </c>
    </row>
    <row r="1831" spans="1:11" x14ac:dyDescent="0.25">
      <c r="A1831" s="3">
        <v>38868</v>
      </c>
      <c r="B1831">
        <v>1365.45</v>
      </c>
      <c r="C1831">
        <f t="shared" si="112"/>
        <v>0.99035358114233907</v>
      </c>
      <c r="D1831">
        <v>1815</v>
      </c>
      <c r="E1831">
        <f t="shared" si="113"/>
        <v>0</v>
      </c>
      <c r="F1831">
        <f t="shared" si="114"/>
        <v>0</v>
      </c>
      <c r="G1831" t="str">
        <f t="shared" si="115"/>
        <v>extra</v>
      </c>
      <c r="J1831">
        <v>1800</v>
      </c>
      <c r="K1831">
        <v>0.82903197985207311</v>
      </c>
    </row>
    <row r="1832" spans="1:11" x14ac:dyDescent="0.25">
      <c r="A1832" s="3">
        <v>38867</v>
      </c>
      <c r="B1832">
        <v>1378.75</v>
      </c>
      <c r="C1832">
        <f t="shared" si="112"/>
        <v>1.0091195866177751</v>
      </c>
      <c r="D1832">
        <v>1816</v>
      </c>
      <c r="E1832">
        <f t="shared" si="113"/>
        <v>0</v>
      </c>
      <c r="F1832">
        <f t="shared" si="114"/>
        <v>0</v>
      </c>
      <c r="G1832" t="str">
        <f t="shared" si="115"/>
        <v>extra</v>
      </c>
      <c r="J1832">
        <v>1801</v>
      </c>
      <c r="K1832">
        <v>0.8290405569017042</v>
      </c>
    </row>
    <row r="1833" spans="1:11" x14ac:dyDescent="0.25">
      <c r="A1833" s="3">
        <v>38866</v>
      </c>
      <c r="B1833">
        <v>1366.29</v>
      </c>
      <c r="C1833">
        <f t="shared" si="112"/>
        <v>1.0264984748538715</v>
      </c>
      <c r="D1833">
        <v>1817</v>
      </c>
      <c r="E1833">
        <f t="shared" si="113"/>
        <v>0</v>
      </c>
      <c r="F1833">
        <f t="shared" si="114"/>
        <v>0</v>
      </c>
      <c r="G1833" t="str">
        <f t="shared" si="115"/>
        <v>extra</v>
      </c>
      <c r="J1833">
        <v>1802</v>
      </c>
      <c r="K1833">
        <v>0.82904316498585096</v>
      </c>
    </row>
    <row r="1834" spans="1:11" x14ac:dyDescent="0.25">
      <c r="A1834" s="3">
        <v>38863</v>
      </c>
      <c r="B1834">
        <v>1331.02</v>
      </c>
      <c r="C1834">
        <f t="shared" si="112"/>
        <v>1.0178484032790895</v>
      </c>
      <c r="D1834">
        <v>1818</v>
      </c>
      <c r="E1834">
        <f t="shared" si="113"/>
        <v>0</v>
      </c>
      <c r="F1834">
        <f t="shared" si="114"/>
        <v>0</v>
      </c>
      <c r="G1834" t="str">
        <f t="shared" si="115"/>
        <v>extra</v>
      </c>
      <c r="J1834">
        <v>1803</v>
      </c>
      <c r="K1834">
        <v>0.82913586389943206</v>
      </c>
    </row>
    <row r="1835" spans="1:11" x14ac:dyDescent="0.25">
      <c r="A1835" s="3">
        <v>38862</v>
      </c>
      <c r="B1835">
        <v>1307.68</v>
      </c>
      <c r="C1835">
        <f t="shared" si="112"/>
        <v>0.99957194398581306</v>
      </c>
      <c r="D1835">
        <v>1819</v>
      </c>
      <c r="E1835">
        <f t="shared" si="113"/>
        <v>0</v>
      </c>
      <c r="F1835">
        <f t="shared" si="114"/>
        <v>0</v>
      </c>
      <c r="G1835" t="str">
        <f t="shared" si="115"/>
        <v>extra</v>
      </c>
      <c r="J1835">
        <v>1804</v>
      </c>
      <c r="K1835">
        <v>0.82950505604896652</v>
      </c>
    </row>
    <row r="1836" spans="1:11" x14ac:dyDescent="0.25">
      <c r="A1836" s="3">
        <v>38861</v>
      </c>
      <c r="B1836">
        <v>1308.24</v>
      </c>
      <c r="C1836">
        <f t="shared" si="112"/>
        <v>0.99285849808370952</v>
      </c>
      <c r="D1836">
        <v>1820</v>
      </c>
      <c r="E1836">
        <f t="shared" si="113"/>
        <v>0</v>
      </c>
      <c r="F1836">
        <f t="shared" si="114"/>
        <v>0</v>
      </c>
      <c r="G1836" t="str">
        <f t="shared" si="115"/>
        <v>extra</v>
      </c>
      <c r="J1836">
        <v>1805</v>
      </c>
      <c r="K1836">
        <v>0.82950521934398336</v>
      </c>
    </row>
    <row r="1837" spans="1:11" x14ac:dyDescent="0.25">
      <c r="A1837" s="3">
        <v>38860</v>
      </c>
      <c r="B1837">
        <v>1317.65</v>
      </c>
      <c r="C1837">
        <f t="shared" si="112"/>
        <v>0.95921873521296963</v>
      </c>
      <c r="D1837">
        <v>1821</v>
      </c>
      <c r="E1837">
        <f t="shared" si="113"/>
        <v>0</v>
      </c>
      <c r="F1837">
        <f t="shared" si="114"/>
        <v>0</v>
      </c>
      <c r="G1837" t="str">
        <f t="shared" si="115"/>
        <v>extra</v>
      </c>
      <c r="J1837">
        <v>1806</v>
      </c>
      <c r="K1837">
        <v>0.82958445981193518</v>
      </c>
    </row>
    <row r="1838" spans="1:11" x14ac:dyDescent="0.25">
      <c r="A1838" s="3">
        <v>38859</v>
      </c>
      <c r="B1838">
        <v>1373.67</v>
      </c>
      <c r="C1838">
        <f t="shared" si="112"/>
        <v>1.0055486827368623</v>
      </c>
      <c r="D1838">
        <v>1822</v>
      </c>
      <c r="E1838">
        <f t="shared" si="113"/>
        <v>0</v>
      </c>
      <c r="F1838">
        <f t="shared" si="114"/>
        <v>0</v>
      </c>
      <c r="G1838" t="str">
        <f t="shared" si="115"/>
        <v>extra</v>
      </c>
      <c r="J1838">
        <v>1807</v>
      </c>
      <c r="K1838">
        <v>0.82958421604744093</v>
      </c>
    </row>
    <row r="1839" spans="1:11" x14ac:dyDescent="0.25">
      <c r="A1839" s="3">
        <v>38856</v>
      </c>
      <c r="B1839">
        <v>1366.09</v>
      </c>
      <c r="C1839">
        <f t="shared" si="112"/>
        <v>1.0262094350961537</v>
      </c>
      <c r="D1839">
        <v>1823</v>
      </c>
      <c r="E1839">
        <f t="shared" si="113"/>
        <v>0</v>
      </c>
      <c r="F1839">
        <f t="shared" si="114"/>
        <v>0</v>
      </c>
      <c r="G1839" t="str">
        <f t="shared" si="115"/>
        <v>extra</v>
      </c>
      <c r="J1839">
        <v>1808</v>
      </c>
      <c r="K1839">
        <v>0.82958733214795866</v>
      </c>
    </row>
    <row r="1840" spans="1:11" x14ac:dyDescent="0.25">
      <c r="A1840" s="3">
        <v>38855</v>
      </c>
      <c r="B1840">
        <v>1331.2</v>
      </c>
      <c r="C1840">
        <f t="shared" si="112"/>
        <v>0.99676530489996407</v>
      </c>
      <c r="D1840">
        <v>1824</v>
      </c>
      <c r="E1840">
        <f t="shared" si="113"/>
        <v>0</v>
      </c>
      <c r="F1840">
        <f t="shared" si="114"/>
        <v>0</v>
      </c>
      <c r="G1840" t="str">
        <f t="shared" si="115"/>
        <v>extra</v>
      </c>
      <c r="J1840">
        <v>1809</v>
      </c>
      <c r="K1840">
        <v>0.82995185459128373</v>
      </c>
    </row>
    <row r="1841" spans="1:11" x14ac:dyDescent="0.25">
      <c r="A1841" s="3">
        <v>38854</v>
      </c>
      <c r="B1841">
        <v>1335.52</v>
      </c>
      <c r="C1841">
        <f t="shared" si="112"/>
        <v>1.0033054871086002</v>
      </c>
      <c r="D1841">
        <v>1825</v>
      </c>
      <c r="E1841">
        <f t="shared" si="113"/>
        <v>0</v>
      </c>
      <c r="F1841">
        <f t="shared" si="114"/>
        <v>0</v>
      </c>
      <c r="G1841" t="str">
        <f t="shared" si="115"/>
        <v>extra</v>
      </c>
      <c r="J1841">
        <v>1810</v>
      </c>
      <c r="K1841">
        <v>0.82996134971188051</v>
      </c>
    </row>
    <row r="1842" spans="1:11" x14ac:dyDescent="0.25">
      <c r="A1842" s="3">
        <v>38853</v>
      </c>
      <c r="B1842">
        <v>1331.12</v>
      </c>
      <c r="C1842">
        <f t="shared" si="112"/>
        <v>0.98444699182782958</v>
      </c>
      <c r="D1842">
        <v>1826</v>
      </c>
      <c r="E1842">
        <f t="shared" si="113"/>
        <v>0</v>
      </c>
      <c r="F1842">
        <f t="shared" si="114"/>
        <v>0</v>
      </c>
      <c r="G1842" t="str">
        <f t="shared" si="115"/>
        <v>extra</v>
      </c>
      <c r="J1842">
        <v>1811</v>
      </c>
      <c r="K1842">
        <v>0.83201228597135179</v>
      </c>
    </row>
    <row r="1843" spans="1:11" x14ac:dyDescent="0.25">
      <c r="A1843" s="3">
        <v>38852</v>
      </c>
      <c r="B1843">
        <v>1352.15</v>
      </c>
      <c r="C1843">
        <f t="shared" si="112"/>
        <v>1.0431243972999036</v>
      </c>
      <c r="D1843">
        <v>1827</v>
      </c>
      <c r="E1843">
        <f t="shared" si="113"/>
        <v>0</v>
      </c>
      <c r="F1843">
        <f t="shared" si="114"/>
        <v>0</v>
      </c>
      <c r="G1843" t="str">
        <f t="shared" si="115"/>
        <v>extra</v>
      </c>
      <c r="J1843">
        <v>1812</v>
      </c>
      <c r="K1843">
        <v>0.83201802014137793</v>
      </c>
    </row>
    <row r="1844" spans="1:11" x14ac:dyDescent="0.25">
      <c r="A1844" s="3">
        <v>38849</v>
      </c>
      <c r="B1844">
        <v>1296.25</v>
      </c>
      <c r="C1844">
        <f t="shared" si="112"/>
        <v>1.0328438364023171</v>
      </c>
      <c r="D1844">
        <v>1828</v>
      </c>
      <c r="E1844">
        <f t="shared" si="113"/>
        <v>0</v>
      </c>
      <c r="F1844">
        <f t="shared" si="114"/>
        <v>0</v>
      </c>
      <c r="G1844" t="str">
        <f t="shared" si="115"/>
        <v>extra</v>
      </c>
      <c r="J1844">
        <v>1813</v>
      </c>
      <c r="K1844">
        <v>0.8320671098242991</v>
      </c>
    </row>
    <row r="1845" spans="1:11" x14ac:dyDescent="0.25">
      <c r="A1845" s="3">
        <v>38848</v>
      </c>
      <c r="B1845">
        <v>1255.03</v>
      </c>
      <c r="C1845">
        <f t="shared" si="112"/>
        <v>0.99138972928992908</v>
      </c>
      <c r="D1845">
        <v>1829</v>
      </c>
      <c r="E1845">
        <f t="shared" si="113"/>
        <v>0</v>
      </c>
      <c r="F1845">
        <f t="shared" si="114"/>
        <v>0</v>
      </c>
      <c r="G1845" t="str">
        <f t="shared" si="115"/>
        <v>extra</v>
      </c>
      <c r="J1845">
        <v>1814</v>
      </c>
      <c r="K1845">
        <v>0.83212028850204189</v>
      </c>
    </row>
    <row r="1846" spans="1:11" x14ac:dyDescent="0.25">
      <c r="A1846" s="3">
        <v>38847</v>
      </c>
      <c r="B1846">
        <v>1265.93</v>
      </c>
      <c r="C1846">
        <f t="shared" si="112"/>
        <v>1.0114412636524157</v>
      </c>
      <c r="D1846">
        <v>1830</v>
      </c>
      <c r="E1846">
        <f t="shared" si="113"/>
        <v>0</v>
      </c>
      <c r="F1846">
        <f t="shared" si="114"/>
        <v>0</v>
      </c>
      <c r="G1846" t="str">
        <f t="shared" si="115"/>
        <v>extra</v>
      </c>
      <c r="J1846">
        <v>1815</v>
      </c>
      <c r="K1846">
        <v>0.83255016888015809</v>
      </c>
    </row>
    <row r="1847" spans="1:11" x14ac:dyDescent="0.25">
      <c r="A1847" s="3">
        <v>38846</v>
      </c>
      <c r="B1847">
        <v>1251.6099999999999</v>
      </c>
      <c r="C1847">
        <f t="shared" si="112"/>
        <v>1.0272317654686767</v>
      </c>
      <c r="D1847">
        <v>1831</v>
      </c>
      <c r="E1847">
        <f t="shared" si="113"/>
        <v>0</v>
      </c>
      <c r="F1847">
        <f t="shared" si="114"/>
        <v>0</v>
      </c>
      <c r="G1847" t="str">
        <f t="shared" si="115"/>
        <v>extra</v>
      </c>
      <c r="J1847">
        <v>1816</v>
      </c>
      <c r="K1847">
        <v>0.83260991592326683</v>
      </c>
    </row>
    <row r="1848" spans="1:11" x14ac:dyDescent="0.25">
      <c r="A1848" s="3">
        <v>38845</v>
      </c>
      <c r="B1848">
        <v>1218.43</v>
      </c>
      <c r="C1848">
        <f t="shared" si="112"/>
        <v>1.0393145333265095</v>
      </c>
      <c r="D1848">
        <v>1832</v>
      </c>
      <c r="E1848">
        <f t="shared" si="113"/>
        <v>0</v>
      </c>
      <c r="F1848">
        <f t="shared" si="114"/>
        <v>0</v>
      </c>
      <c r="G1848" t="str">
        <f t="shared" si="115"/>
        <v>extra</v>
      </c>
      <c r="J1848">
        <v>1817</v>
      </c>
      <c r="K1848">
        <v>0.83265602601100441</v>
      </c>
    </row>
    <row r="1849" spans="1:11" x14ac:dyDescent="0.25">
      <c r="A1849" s="3">
        <v>38835</v>
      </c>
      <c r="B1849">
        <v>1172.3399999999999</v>
      </c>
      <c r="C1849">
        <f t="shared" si="112"/>
        <v>1.0147845506639197</v>
      </c>
      <c r="D1849">
        <v>1833</v>
      </c>
      <c r="E1849">
        <f t="shared" si="113"/>
        <v>0</v>
      </c>
      <c r="F1849">
        <f t="shared" si="114"/>
        <v>0</v>
      </c>
      <c r="G1849" t="str">
        <f t="shared" si="115"/>
        <v>extra</v>
      </c>
      <c r="J1849">
        <v>1818</v>
      </c>
      <c r="K1849">
        <v>0.83305730246429166</v>
      </c>
    </row>
    <row r="1850" spans="1:11" x14ac:dyDescent="0.25">
      <c r="A1850" s="3">
        <v>38834</v>
      </c>
      <c r="B1850">
        <v>1155.26</v>
      </c>
      <c r="C1850">
        <f t="shared" si="112"/>
        <v>0.99960197971827081</v>
      </c>
      <c r="D1850">
        <v>1834</v>
      </c>
      <c r="E1850">
        <f t="shared" si="113"/>
        <v>0</v>
      </c>
      <c r="F1850">
        <f t="shared" si="114"/>
        <v>0</v>
      </c>
      <c r="G1850" t="str">
        <f t="shared" si="115"/>
        <v>extra</v>
      </c>
      <c r="J1850">
        <v>1819</v>
      </c>
      <c r="K1850">
        <v>0.83323838639111536</v>
      </c>
    </row>
    <row r="1851" spans="1:11" x14ac:dyDescent="0.25">
      <c r="A1851" s="3">
        <v>38833</v>
      </c>
      <c r="B1851">
        <v>1155.72</v>
      </c>
      <c r="C1851">
        <f t="shared" si="112"/>
        <v>1.0120760466928795</v>
      </c>
      <c r="D1851">
        <v>1835</v>
      </c>
      <c r="E1851">
        <f t="shared" si="113"/>
        <v>0</v>
      </c>
      <c r="F1851">
        <f t="shared" si="114"/>
        <v>0</v>
      </c>
      <c r="G1851" t="str">
        <f t="shared" si="115"/>
        <v>extra</v>
      </c>
      <c r="J1851">
        <v>1820</v>
      </c>
      <c r="K1851">
        <v>0.83323847281470498</v>
      </c>
    </row>
    <row r="1852" spans="1:11" x14ac:dyDescent="0.25">
      <c r="A1852" s="3">
        <v>38832</v>
      </c>
      <c r="B1852">
        <v>1141.93</v>
      </c>
      <c r="C1852">
        <f t="shared" si="112"/>
        <v>0.99934364826548117</v>
      </c>
      <c r="D1852">
        <v>1836</v>
      </c>
      <c r="E1852">
        <f t="shared" si="113"/>
        <v>0</v>
      </c>
      <c r="F1852">
        <f t="shared" si="114"/>
        <v>0</v>
      </c>
      <c r="G1852" t="str">
        <f t="shared" si="115"/>
        <v>extra</v>
      </c>
      <c r="J1852">
        <v>1821</v>
      </c>
      <c r="K1852">
        <v>0.83327189657747947</v>
      </c>
    </row>
    <row r="1853" spans="1:11" x14ac:dyDescent="0.25">
      <c r="A1853" s="3">
        <v>38831</v>
      </c>
      <c r="B1853">
        <v>1142.68</v>
      </c>
      <c r="C1853">
        <f t="shared" si="112"/>
        <v>0.99436975155549756</v>
      </c>
      <c r="D1853">
        <v>1837</v>
      </c>
      <c r="E1853">
        <f t="shared" si="113"/>
        <v>0</v>
      </c>
      <c r="F1853">
        <f t="shared" si="114"/>
        <v>0</v>
      </c>
      <c r="G1853" t="str">
        <f t="shared" si="115"/>
        <v>extra</v>
      </c>
      <c r="J1853">
        <v>1822</v>
      </c>
      <c r="K1853">
        <v>0.83432772739473515</v>
      </c>
    </row>
    <row r="1854" spans="1:11" x14ac:dyDescent="0.25">
      <c r="A1854" s="3">
        <v>38828</v>
      </c>
      <c r="B1854">
        <v>1149.1500000000001</v>
      </c>
      <c r="C1854">
        <f t="shared" si="112"/>
        <v>1.0130203282850543</v>
      </c>
      <c r="D1854">
        <v>1838</v>
      </c>
      <c r="E1854">
        <f t="shared" si="113"/>
        <v>0</v>
      </c>
      <c r="F1854">
        <f t="shared" si="114"/>
        <v>0</v>
      </c>
      <c r="G1854" t="str">
        <f t="shared" si="115"/>
        <v>extra</v>
      </c>
      <c r="J1854">
        <v>1823</v>
      </c>
      <c r="K1854">
        <v>0.83434392917786537</v>
      </c>
    </row>
    <row r="1855" spans="1:11" x14ac:dyDescent="0.25">
      <c r="A1855" s="3">
        <v>38827</v>
      </c>
      <c r="B1855">
        <v>1134.3800000000001</v>
      </c>
      <c r="C1855">
        <f t="shared" si="112"/>
        <v>0.99660879955018278</v>
      </c>
      <c r="D1855">
        <v>1839</v>
      </c>
      <c r="E1855">
        <f t="shared" si="113"/>
        <v>0</v>
      </c>
      <c r="F1855">
        <f t="shared" si="114"/>
        <v>0</v>
      </c>
      <c r="G1855" t="str">
        <f t="shared" si="115"/>
        <v>extra</v>
      </c>
      <c r="J1855">
        <v>1824</v>
      </c>
      <c r="K1855">
        <v>0.83473574194303191</v>
      </c>
    </row>
    <row r="1856" spans="1:11" x14ac:dyDescent="0.25">
      <c r="A1856" s="3">
        <v>38826</v>
      </c>
      <c r="B1856">
        <v>1138.24</v>
      </c>
      <c r="C1856">
        <f t="shared" si="112"/>
        <v>1.0061523230323175</v>
      </c>
      <c r="D1856">
        <v>1840</v>
      </c>
      <c r="E1856">
        <f t="shared" si="113"/>
        <v>0</v>
      </c>
      <c r="F1856">
        <f t="shared" si="114"/>
        <v>0</v>
      </c>
      <c r="G1856" t="str">
        <f t="shared" si="115"/>
        <v>extra</v>
      </c>
      <c r="J1856">
        <v>1825</v>
      </c>
      <c r="K1856">
        <v>0.83474305175224461</v>
      </c>
    </row>
    <row r="1857" spans="1:11" x14ac:dyDescent="0.25">
      <c r="A1857" s="3">
        <v>38825</v>
      </c>
      <c r="B1857">
        <v>1131.28</v>
      </c>
      <c r="C1857">
        <f t="shared" si="112"/>
        <v>1.0061098709545448</v>
      </c>
      <c r="D1857">
        <v>1841</v>
      </c>
      <c r="E1857">
        <f t="shared" si="113"/>
        <v>0</v>
      </c>
      <c r="F1857">
        <f t="shared" si="114"/>
        <v>0</v>
      </c>
      <c r="G1857" t="str">
        <f t="shared" si="115"/>
        <v>extra</v>
      </c>
      <c r="J1857">
        <v>1826</v>
      </c>
      <c r="K1857">
        <v>0.83474815910546385</v>
      </c>
    </row>
    <row r="1858" spans="1:11" x14ac:dyDescent="0.25">
      <c r="A1858" s="3">
        <v>38824</v>
      </c>
      <c r="B1858">
        <v>1124.4100000000001</v>
      </c>
      <c r="C1858">
        <f t="shared" si="112"/>
        <v>1.0051939924906135</v>
      </c>
      <c r="D1858">
        <v>1842</v>
      </c>
      <c r="E1858">
        <f t="shared" si="113"/>
        <v>0</v>
      </c>
      <c r="F1858">
        <f t="shared" si="114"/>
        <v>0</v>
      </c>
      <c r="G1858" t="str">
        <f t="shared" si="115"/>
        <v>extra</v>
      </c>
      <c r="J1858">
        <v>1827</v>
      </c>
      <c r="K1858">
        <v>0.83490106605312708</v>
      </c>
    </row>
    <row r="1859" spans="1:11" x14ac:dyDescent="0.25">
      <c r="A1859" s="3">
        <v>38821</v>
      </c>
      <c r="B1859">
        <v>1118.5999999999999</v>
      </c>
      <c r="C1859">
        <f t="shared" si="112"/>
        <v>1.0225610647945003</v>
      </c>
      <c r="D1859">
        <v>1843</v>
      </c>
      <c r="E1859">
        <f t="shared" si="113"/>
        <v>0</v>
      </c>
      <c r="F1859">
        <f t="shared" si="114"/>
        <v>0</v>
      </c>
      <c r="G1859" t="str">
        <f t="shared" si="115"/>
        <v>extra</v>
      </c>
      <c r="J1859">
        <v>1828</v>
      </c>
      <c r="K1859">
        <v>0.83595299921971289</v>
      </c>
    </row>
    <row r="1860" spans="1:11" x14ac:dyDescent="0.25">
      <c r="A1860" s="3">
        <v>38820</v>
      </c>
      <c r="B1860">
        <v>1093.92</v>
      </c>
      <c r="C1860">
        <f t="shared" si="112"/>
        <v>0.97928490859935913</v>
      </c>
      <c r="D1860">
        <v>1844</v>
      </c>
      <c r="E1860">
        <f t="shared" si="113"/>
        <v>0</v>
      </c>
      <c r="F1860">
        <f t="shared" si="114"/>
        <v>0</v>
      </c>
      <c r="G1860" t="str">
        <f t="shared" si="115"/>
        <v>extra</v>
      </c>
      <c r="J1860">
        <v>1829</v>
      </c>
      <c r="K1860">
        <v>0.83656495917050999</v>
      </c>
    </row>
    <row r="1861" spans="1:11" x14ac:dyDescent="0.25">
      <c r="A1861" s="3">
        <v>38819</v>
      </c>
      <c r="B1861">
        <v>1117.06</v>
      </c>
      <c r="C1861">
        <f t="shared" si="112"/>
        <v>0.99444493901896203</v>
      </c>
      <c r="D1861">
        <v>1845</v>
      </c>
      <c r="E1861">
        <f t="shared" si="113"/>
        <v>0</v>
      </c>
      <c r="F1861">
        <f t="shared" si="114"/>
        <v>0</v>
      </c>
      <c r="G1861" t="str">
        <f t="shared" si="115"/>
        <v>extra</v>
      </c>
      <c r="J1861">
        <v>1830</v>
      </c>
      <c r="K1861">
        <v>0.83661304797985792</v>
      </c>
    </row>
    <row r="1862" spans="1:11" x14ac:dyDescent="0.25">
      <c r="A1862" s="3">
        <v>38818</v>
      </c>
      <c r="B1862">
        <v>1123.3</v>
      </c>
      <c r="C1862">
        <f t="shared" si="112"/>
        <v>1.0048214972582765</v>
      </c>
      <c r="D1862">
        <v>1846</v>
      </c>
      <c r="E1862">
        <f t="shared" si="113"/>
        <v>0</v>
      </c>
      <c r="F1862">
        <f t="shared" si="114"/>
        <v>0</v>
      </c>
      <c r="G1862" t="str">
        <f t="shared" si="115"/>
        <v>extra</v>
      </c>
      <c r="J1862">
        <v>1831</v>
      </c>
      <c r="K1862">
        <v>0.83668564943744683</v>
      </c>
    </row>
    <row r="1863" spans="1:11" x14ac:dyDescent="0.25">
      <c r="A1863" s="3">
        <v>38817</v>
      </c>
      <c r="B1863">
        <v>1117.9100000000001</v>
      </c>
      <c r="C1863">
        <f t="shared" si="112"/>
        <v>1.0133798667452296</v>
      </c>
      <c r="D1863">
        <v>1847</v>
      </c>
      <c r="E1863">
        <f t="shared" si="113"/>
        <v>0</v>
      </c>
      <c r="F1863">
        <f t="shared" si="114"/>
        <v>0</v>
      </c>
      <c r="G1863" t="str">
        <f t="shared" si="115"/>
        <v>extra</v>
      </c>
      <c r="J1863">
        <v>1832</v>
      </c>
      <c r="K1863">
        <v>0.83710591924934585</v>
      </c>
    </row>
    <row r="1864" spans="1:11" x14ac:dyDescent="0.25">
      <c r="A1864" s="3">
        <v>38814</v>
      </c>
      <c r="B1864">
        <v>1103.1500000000001</v>
      </c>
      <c r="C1864">
        <f t="shared" si="112"/>
        <v>0.9999274856557564</v>
      </c>
      <c r="D1864">
        <v>1848</v>
      </c>
      <c r="E1864">
        <f t="shared" si="113"/>
        <v>0</v>
      </c>
      <c r="F1864">
        <f t="shared" si="114"/>
        <v>0</v>
      </c>
      <c r="G1864" t="str">
        <f t="shared" si="115"/>
        <v>extra</v>
      </c>
      <c r="J1864">
        <v>1833</v>
      </c>
      <c r="K1864">
        <v>0.8379774034272377</v>
      </c>
    </row>
    <row r="1865" spans="1:11" x14ac:dyDescent="0.25">
      <c r="A1865" s="3">
        <v>38813</v>
      </c>
      <c r="B1865">
        <v>1103.23</v>
      </c>
      <c r="C1865">
        <f t="shared" si="112"/>
        <v>1.0029637171922872</v>
      </c>
      <c r="D1865">
        <v>1849</v>
      </c>
      <c r="E1865">
        <f t="shared" si="113"/>
        <v>0</v>
      </c>
      <c r="F1865">
        <f t="shared" si="114"/>
        <v>0</v>
      </c>
      <c r="G1865" t="str">
        <f t="shared" si="115"/>
        <v>extra</v>
      </c>
      <c r="J1865">
        <v>1834</v>
      </c>
      <c r="K1865">
        <v>0.83809916694804754</v>
      </c>
    </row>
    <row r="1866" spans="1:11" x14ac:dyDescent="0.25">
      <c r="A1866" s="3">
        <v>38812</v>
      </c>
      <c r="B1866">
        <v>1099.97</v>
      </c>
      <c r="C1866">
        <f t="shared" si="112"/>
        <v>1.0097303946317597</v>
      </c>
      <c r="D1866">
        <v>1850</v>
      </c>
      <c r="E1866">
        <f t="shared" si="113"/>
        <v>0</v>
      </c>
      <c r="F1866">
        <f t="shared" si="114"/>
        <v>0</v>
      </c>
      <c r="G1866" t="str">
        <f t="shared" si="115"/>
        <v>extra</v>
      </c>
      <c r="J1866">
        <v>1835</v>
      </c>
      <c r="K1866">
        <v>0.83809928609436202</v>
      </c>
    </row>
    <row r="1867" spans="1:11" x14ac:dyDescent="0.25">
      <c r="A1867" s="3">
        <v>38811</v>
      </c>
      <c r="B1867">
        <v>1089.3699999999999</v>
      </c>
      <c r="C1867">
        <f t="shared" si="112"/>
        <v>1.0093207697510447</v>
      </c>
      <c r="D1867">
        <v>1851</v>
      </c>
      <c r="E1867">
        <f t="shared" si="113"/>
        <v>0</v>
      </c>
      <c r="F1867">
        <f t="shared" si="114"/>
        <v>0</v>
      </c>
      <c r="G1867" t="str">
        <f t="shared" si="115"/>
        <v>extra</v>
      </c>
      <c r="J1867">
        <v>1836</v>
      </c>
      <c r="K1867">
        <v>0.83817958361223566</v>
      </c>
    </row>
    <row r="1868" spans="1:11" x14ac:dyDescent="0.25">
      <c r="A1868" s="3">
        <v>38810</v>
      </c>
      <c r="B1868">
        <v>1079.31</v>
      </c>
      <c r="C1868">
        <f t="shared" si="112"/>
        <v>1.0171806084366872</v>
      </c>
      <c r="D1868">
        <v>1852</v>
      </c>
      <c r="E1868">
        <f t="shared" si="113"/>
        <v>0</v>
      </c>
      <c r="F1868">
        <f t="shared" si="114"/>
        <v>0</v>
      </c>
      <c r="G1868" t="str">
        <f t="shared" si="115"/>
        <v>extra</v>
      </c>
      <c r="J1868">
        <v>1837</v>
      </c>
      <c r="K1868">
        <v>0.83817999289717604</v>
      </c>
    </row>
    <row r="1869" spans="1:11" x14ac:dyDescent="0.25">
      <c r="A1869" s="3">
        <v>38807</v>
      </c>
      <c r="B1869">
        <v>1061.08</v>
      </c>
      <c r="C1869">
        <f t="shared" si="112"/>
        <v>1.0051627937819121</v>
      </c>
      <c r="D1869">
        <v>1853</v>
      </c>
      <c r="E1869">
        <f t="shared" si="113"/>
        <v>0</v>
      </c>
      <c r="F1869">
        <f t="shared" si="114"/>
        <v>0</v>
      </c>
      <c r="G1869" t="str">
        <f t="shared" si="115"/>
        <v>extra</v>
      </c>
      <c r="J1869">
        <v>1838</v>
      </c>
      <c r="K1869">
        <v>0.83820151149176403</v>
      </c>
    </row>
    <row r="1870" spans="1:11" x14ac:dyDescent="0.25">
      <c r="A1870" s="3">
        <v>38806</v>
      </c>
      <c r="B1870">
        <v>1055.6300000000001</v>
      </c>
      <c r="C1870">
        <f t="shared" si="112"/>
        <v>0.99093204667273715</v>
      </c>
      <c r="D1870">
        <v>1854</v>
      </c>
      <c r="E1870">
        <f t="shared" si="113"/>
        <v>0</v>
      </c>
      <c r="F1870">
        <f t="shared" si="114"/>
        <v>0</v>
      </c>
      <c r="G1870" t="str">
        <f t="shared" si="115"/>
        <v>extra</v>
      </c>
      <c r="J1870">
        <v>1839</v>
      </c>
      <c r="K1870">
        <v>0.8382952121556615</v>
      </c>
    </row>
    <row r="1871" spans="1:11" x14ac:dyDescent="0.25">
      <c r="A1871" s="3">
        <v>38805</v>
      </c>
      <c r="B1871">
        <v>1065.29</v>
      </c>
      <c r="C1871">
        <f t="shared" si="112"/>
        <v>1.0088164548570995</v>
      </c>
      <c r="D1871">
        <v>1855</v>
      </c>
      <c r="E1871">
        <f t="shared" si="113"/>
        <v>0</v>
      </c>
      <c r="F1871">
        <f t="shared" si="114"/>
        <v>0</v>
      </c>
      <c r="G1871" t="str">
        <f t="shared" si="115"/>
        <v>extra</v>
      </c>
      <c r="J1871">
        <v>1840</v>
      </c>
      <c r="K1871">
        <v>0.83830355157110314</v>
      </c>
    </row>
    <row r="1872" spans="1:11" x14ac:dyDescent="0.25">
      <c r="A1872" s="3">
        <v>38804</v>
      </c>
      <c r="B1872">
        <v>1055.98</v>
      </c>
      <c r="C1872">
        <f t="shared" si="112"/>
        <v>1.0050252212810507</v>
      </c>
      <c r="D1872">
        <v>1856</v>
      </c>
      <c r="E1872">
        <f t="shared" si="113"/>
        <v>0</v>
      </c>
      <c r="F1872">
        <f t="shared" si="114"/>
        <v>0</v>
      </c>
      <c r="G1872" t="str">
        <f t="shared" si="115"/>
        <v>extra</v>
      </c>
      <c r="J1872">
        <v>1841</v>
      </c>
      <c r="K1872">
        <v>0.83832295951865654</v>
      </c>
    </row>
    <row r="1873" spans="1:11" x14ac:dyDescent="0.25">
      <c r="A1873" s="3">
        <v>38803</v>
      </c>
      <c r="B1873">
        <v>1050.7</v>
      </c>
      <c r="C1873">
        <f t="shared" si="112"/>
        <v>1.0077690389411089</v>
      </c>
      <c r="D1873">
        <v>1857</v>
      </c>
      <c r="E1873">
        <f t="shared" si="113"/>
        <v>0</v>
      </c>
      <c r="F1873">
        <f t="shared" si="114"/>
        <v>0</v>
      </c>
      <c r="G1873" t="str">
        <f t="shared" si="115"/>
        <v>extra</v>
      </c>
      <c r="J1873">
        <v>1842</v>
      </c>
      <c r="K1873">
        <v>0.83834205812632412</v>
      </c>
    </row>
    <row r="1874" spans="1:11" x14ac:dyDescent="0.25">
      <c r="A1874" s="3">
        <v>38800</v>
      </c>
      <c r="B1874">
        <v>1042.5999999999999</v>
      </c>
      <c r="C1874">
        <f t="shared" ref="C1874:C1937" si="116">B1874/B1875</f>
        <v>0.99434446320086212</v>
      </c>
      <c r="D1874">
        <v>1858</v>
      </c>
      <c r="E1874">
        <f t="shared" ref="E1874:E1937" si="117">IF(D1874&gt;$B$6,0,LN(C1874))</f>
        <v>0</v>
      </c>
      <c r="F1874">
        <f t="shared" ref="F1874:F1937" si="118">IF(D1874&gt;$B$6,0,(E1874-$B$7)^2)</f>
        <v>0</v>
      </c>
      <c r="G1874" t="str">
        <f t="shared" ref="G1874:G1937" si="119">IF(D1874&lt;=$B$6,E1874,"extra")</f>
        <v>extra</v>
      </c>
      <c r="J1874">
        <v>1843</v>
      </c>
      <c r="K1874">
        <v>0.83835544516643734</v>
      </c>
    </row>
    <row r="1875" spans="1:11" x14ac:dyDescent="0.25">
      <c r="A1875" s="3">
        <v>38799</v>
      </c>
      <c r="B1875">
        <v>1048.53</v>
      </c>
      <c r="C1875">
        <f t="shared" si="116"/>
        <v>1.0008304220835003</v>
      </c>
      <c r="D1875">
        <v>1859</v>
      </c>
      <c r="E1875">
        <f t="shared" si="117"/>
        <v>0</v>
      </c>
      <c r="F1875">
        <f t="shared" si="118"/>
        <v>0</v>
      </c>
      <c r="G1875" t="str">
        <f t="shared" si="119"/>
        <v>extra</v>
      </c>
      <c r="J1875">
        <v>1844</v>
      </c>
      <c r="K1875">
        <v>0.83864153375925254</v>
      </c>
    </row>
    <row r="1876" spans="1:11" x14ac:dyDescent="0.25">
      <c r="A1876" s="3">
        <v>38798</v>
      </c>
      <c r="B1876">
        <v>1047.6600000000001</v>
      </c>
      <c r="C1876">
        <f t="shared" si="116"/>
        <v>1.0066394427095846</v>
      </c>
      <c r="D1876">
        <v>1860</v>
      </c>
      <c r="E1876">
        <f t="shared" si="117"/>
        <v>0</v>
      </c>
      <c r="F1876">
        <f t="shared" si="118"/>
        <v>0</v>
      </c>
      <c r="G1876" t="str">
        <f t="shared" si="119"/>
        <v>extra</v>
      </c>
      <c r="J1876">
        <v>1845</v>
      </c>
      <c r="K1876">
        <v>0.83891309475130871</v>
      </c>
    </row>
    <row r="1877" spans="1:11" x14ac:dyDescent="0.25">
      <c r="A1877" s="3">
        <v>38797</v>
      </c>
      <c r="B1877">
        <v>1040.75</v>
      </c>
      <c r="C1877">
        <f t="shared" si="116"/>
        <v>1.0029875198766443</v>
      </c>
      <c r="D1877">
        <v>1861</v>
      </c>
      <c r="E1877">
        <f t="shared" si="117"/>
        <v>0</v>
      </c>
      <c r="F1877">
        <f t="shared" si="118"/>
        <v>0</v>
      </c>
      <c r="G1877" t="str">
        <f t="shared" si="119"/>
        <v>extra</v>
      </c>
      <c r="J1877">
        <v>1846</v>
      </c>
      <c r="K1877">
        <v>0.83893413044847975</v>
      </c>
    </row>
    <row r="1878" spans="1:11" x14ac:dyDescent="0.25">
      <c r="A1878" s="3">
        <v>38796</v>
      </c>
      <c r="B1878">
        <v>1037.6500000000001</v>
      </c>
      <c r="C1878">
        <f t="shared" si="116"/>
        <v>1.0133201824200937</v>
      </c>
      <c r="D1878">
        <v>1862</v>
      </c>
      <c r="E1878">
        <f t="shared" si="117"/>
        <v>0</v>
      </c>
      <c r="F1878">
        <f t="shared" si="118"/>
        <v>0</v>
      </c>
      <c r="G1878" t="str">
        <f t="shared" si="119"/>
        <v>extra</v>
      </c>
      <c r="J1878">
        <v>1847</v>
      </c>
      <c r="K1878">
        <v>0.8389454795231549</v>
      </c>
    </row>
    <row r="1879" spans="1:11" x14ac:dyDescent="0.25">
      <c r="A1879" s="3">
        <v>38793</v>
      </c>
      <c r="B1879">
        <v>1024.01</v>
      </c>
      <c r="C1879">
        <f t="shared" si="116"/>
        <v>0.99649672541139156</v>
      </c>
      <c r="D1879">
        <v>1863</v>
      </c>
      <c r="E1879">
        <f t="shared" si="117"/>
        <v>0</v>
      </c>
      <c r="F1879">
        <f t="shared" si="118"/>
        <v>0</v>
      </c>
      <c r="G1879" t="str">
        <f t="shared" si="119"/>
        <v>extra</v>
      </c>
      <c r="J1879">
        <v>1848</v>
      </c>
      <c r="K1879">
        <v>0.83904428275181375</v>
      </c>
    </row>
    <row r="1880" spans="1:11" x14ac:dyDescent="0.25">
      <c r="A1880" s="3">
        <v>38792</v>
      </c>
      <c r="B1880">
        <v>1027.6099999999999</v>
      </c>
      <c r="C1880">
        <f t="shared" si="116"/>
        <v>0.99869770154040516</v>
      </c>
      <c r="D1880">
        <v>1864</v>
      </c>
      <c r="E1880">
        <f t="shared" si="117"/>
        <v>0</v>
      </c>
      <c r="F1880">
        <f t="shared" si="118"/>
        <v>0</v>
      </c>
      <c r="G1880" t="str">
        <f t="shared" si="119"/>
        <v>extra</v>
      </c>
      <c r="J1880">
        <v>1849</v>
      </c>
      <c r="K1880">
        <v>0.8390441755280339</v>
      </c>
    </row>
    <row r="1881" spans="1:11" x14ac:dyDescent="0.25">
      <c r="A1881" s="3">
        <v>38791</v>
      </c>
      <c r="B1881">
        <v>1028.95</v>
      </c>
      <c r="C1881">
        <f t="shared" si="116"/>
        <v>1.0104883773458906</v>
      </c>
      <c r="D1881">
        <v>1865</v>
      </c>
      <c r="E1881">
        <f t="shared" si="117"/>
        <v>0</v>
      </c>
      <c r="F1881">
        <f t="shared" si="118"/>
        <v>0</v>
      </c>
      <c r="G1881" t="str">
        <f t="shared" si="119"/>
        <v>extra</v>
      </c>
      <c r="J1881">
        <v>1850</v>
      </c>
      <c r="K1881">
        <v>0.83904780695088077</v>
      </c>
    </row>
    <row r="1882" spans="1:11" x14ac:dyDescent="0.25">
      <c r="A1882" s="3">
        <v>38790</v>
      </c>
      <c r="B1882">
        <v>1018.27</v>
      </c>
      <c r="C1882">
        <f t="shared" si="116"/>
        <v>0.99844096248504699</v>
      </c>
      <c r="D1882">
        <v>1866</v>
      </c>
      <c r="E1882">
        <f t="shared" si="117"/>
        <v>0</v>
      </c>
      <c r="F1882">
        <f t="shared" si="118"/>
        <v>0</v>
      </c>
      <c r="G1882" t="str">
        <f t="shared" si="119"/>
        <v>extra</v>
      </c>
      <c r="J1882">
        <v>1851</v>
      </c>
      <c r="K1882">
        <v>0.83909882542357395</v>
      </c>
    </row>
    <row r="1883" spans="1:11" x14ac:dyDescent="0.25">
      <c r="A1883" s="3">
        <v>38789</v>
      </c>
      <c r="B1883">
        <v>1019.86</v>
      </c>
      <c r="C1883">
        <f t="shared" si="116"/>
        <v>1.0108733360425814</v>
      </c>
      <c r="D1883">
        <v>1867</v>
      </c>
      <c r="E1883">
        <f t="shared" si="117"/>
        <v>0</v>
      </c>
      <c r="F1883">
        <f t="shared" si="118"/>
        <v>0</v>
      </c>
      <c r="G1883" t="str">
        <f t="shared" si="119"/>
        <v>extra</v>
      </c>
      <c r="J1883">
        <v>1852</v>
      </c>
      <c r="K1883">
        <v>0.83914540010206651</v>
      </c>
    </row>
    <row r="1884" spans="1:11" x14ac:dyDescent="0.25">
      <c r="A1884" s="3">
        <v>38786</v>
      </c>
      <c r="B1884">
        <v>1008.89</v>
      </c>
      <c r="C1884">
        <f t="shared" si="116"/>
        <v>1.0045303383316406</v>
      </c>
      <c r="D1884">
        <v>1868</v>
      </c>
      <c r="E1884">
        <f t="shared" si="117"/>
        <v>0</v>
      </c>
      <c r="F1884">
        <f t="shared" si="118"/>
        <v>0</v>
      </c>
      <c r="G1884" t="str">
        <f t="shared" si="119"/>
        <v>extra</v>
      </c>
      <c r="J1884">
        <v>1853</v>
      </c>
      <c r="K1884">
        <v>0.83930969910709485</v>
      </c>
    </row>
    <row r="1885" spans="1:11" x14ac:dyDescent="0.25">
      <c r="A1885" s="3">
        <v>38785</v>
      </c>
      <c r="B1885">
        <v>1004.34</v>
      </c>
      <c r="C1885">
        <f t="shared" si="116"/>
        <v>0.99511528134196003</v>
      </c>
      <c r="D1885">
        <v>1869</v>
      </c>
      <c r="E1885">
        <f t="shared" si="117"/>
        <v>0</v>
      </c>
      <c r="F1885">
        <f t="shared" si="118"/>
        <v>0</v>
      </c>
      <c r="G1885" t="str">
        <f t="shared" si="119"/>
        <v>extra</v>
      </c>
      <c r="J1885">
        <v>1854</v>
      </c>
      <c r="K1885">
        <v>0.83932273351056808</v>
      </c>
    </row>
    <row r="1886" spans="1:11" x14ac:dyDescent="0.25">
      <c r="A1886" s="3">
        <v>38784</v>
      </c>
      <c r="B1886">
        <v>1009.27</v>
      </c>
      <c r="C1886">
        <f t="shared" si="116"/>
        <v>0.99438407046513688</v>
      </c>
      <c r="D1886">
        <v>1870</v>
      </c>
      <c r="E1886">
        <f t="shared" si="117"/>
        <v>0</v>
      </c>
      <c r="F1886">
        <f t="shared" si="118"/>
        <v>0</v>
      </c>
      <c r="G1886" t="str">
        <f t="shared" si="119"/>
        <v>extra</v>
      </c>
      <c r="J1886">
        <v>1855</v>
      </c>
      <c r="K1886">
        <v>0.83937674953914743</v>
      </c>
    </row>
    <row r="1887" spans="1:11" x14ac:dyDescent="0.25">
      <c r="A1887" s="3">
        <v>38783</v>
      </c>
      <c r="B1887">
        <v>1014.97</v>
      </c>
      <c r="C1887">
        <f t="shared" si="116"/>
        <v>0.97699423411976483</v>
      </c>
      <c r="D1887">
        <v>1871</v>
      </c>
      <c r="E1887">
        <f t="shared" si="117"/>
        <v>0</v>
      </c>
      <c r="F1887">
        <f t="shared" si="118"/>
        <v>0</v>
      </c>
      <c r="G1887" t="str">
        <f t="shared" si="119"/>
        <v>extra</v>
      </c>
      <c r="J1887">
        <v>1856</v>
      </c>
      <c r="K1887">
        <v>0.8394180682439647</v>
      </c>
    </row>
    <row r="1888" spans="1:11" x14ac:dyDescent="0.25">
      <c r="A1888" s="3">
        <v>38782</v>
      </c>
      <c r="B1888">
        <v>1038.8699999999999</v>
      </c>
      <c r="C1888">
        <f t="shared" si="116"/>
        <v>0.99731200860157232</v>
      </c>
      <c r="D1888">
        <v>1872</v>
      </c>
      <c r="E1888">
        <f t="shared" si="117"/>
        <v>0</v>
      </c>
      <c r="F1888">
        <f t="shared" si="118"/>
        <v>0</v>
      </c>
      <c r="G1888" t="str">
        <f t="shared" si="119"/>
        <v>extra</v>
      </c>
      <c r="J1888">
        <v>1857</v>
      </c>
      <c r="K1888">
        <v>0.8394303324073048</v>
      </c>
    </row>
    <row r="1889" spans="1:11" x14ac:dyDescent="0.25">
      <c r="A1889" s="3">
        <v>38779</v>
      </c>
      <c r="B1889">
        <v>1041.67</v>
      </c>
      <c r="C1889">
        <f t="shared" si="116"/>
        <v>1.0028979646852676</v>
      </c>
      <c r="D1889">
        <v>1873</v>
      </c>
      <c r="E1889">
        <f t="shared" si="117"/>
        <v>0</v>
      </c>
      <c r="F1889">
        <f t="shared" si="118"/>
        <v>0</v>
      </c>
      <c r="G1889" t="str">
        <f t="shared" si="119"/>
        <v>extra</v>
      </c>
      <c r="J1889">
        <v>1858</v>
      </c>
      <c r="K1889">
        <v>0.83946189187288045</v>
      </c>
    </row>
    <row r="1890" spans="1:11" x14ac:dyDescent="0.25">
      <c r="A1890" s="3">
        <v>38778</v>
      </c>
      <c r="B1890">
        <v>1038.6600000000001</v>
      </c>
      <c r="C1890">
        <f t="shared" si="116"/>
        <v>0.98301170725243958</v>
      </c>
      <c r="D1890">
        <v>1874</v>
      </c>
      <c r="E1890">
        <f t="shared" si="117"/>
        <v>0</v>
      </c>
      <c r="F1890">
        <f t="shared" si="118"/>
        <v>0</v>
      </c>
      <c r="G1890" t="str">
        <f t="shared" si="119"/>
        <v>extra</v>
      </c>
      <c r="J1890">
        <v>1859</v>
      </c>
      <c r="K1890">
        <v>0.83948389159494585</v>
      </c>
    </row>
    <row r="1891" spans="1:11" x14ac:dyDescent="0.25">
      <c r="A1891" s="3">
        <v>38777</v>
      </c>
      <c r="B1891">
        <v>1056.6099999999999</v>
      </c>
      <c r="C1891">
        <f t="shared" si="116"/>
        <v>1.0034187709518427</v>
      </c>
      <c r="D1891">
        <v>1875</v>
      </c>
      <c r="E1891">
        <f t="shared" si="117"/>
        <v>0</v>
      </c>
      <c r="F1891">
        <f t="shared" si="118"/>
        <v>0</v>
      </c>
      <c r="G1891" t="str">
        <f t="shared" si="119"/>
        <v>extra</v>
      </c>
      <c r="J1891">
        <v>1860</v>
      </c>
      <c r="K1891">
        <v>0.83948374179171381</v>
      </c>
    </row>
    <row r="1892" spans="1:11" x14ac:dyDescent="0.25">
      <c r="A1892" s="3">
        <v>38776</v>
      </c>
      <c r="B1892">
        <v>1053.01</v>
      </c>
      <c r="C1892">
        <f t="shared" si="116"/>
        <v>1.0049339593831119</v>
      </c>
      <c r="D1892">
        <v>1876</v>
      </c>
      <c r="E1892">
        <f t="shared" si="117"/>
        <v>0</v>
      </c>
      <c r="F1892">
        <f t="shared" si="118"/>
        <v>0</v>
      </c>
      <c r="G1892" t="str">
        <f t="shared" si="119"/>
        <v>extra</v>
      </c>
      <c r="J1892">
        <v>1861</v>
      </c>
      <c r="K1892">
        <v>0.83950627886988216</v>
      </c>
    </row>
    <row r="1893" spans="1:11" x14ac:dyDescent="0.25">
      <c r="A1893" s="3">
        <v>38775</v>
      </c>
      <c r="B1893">
        <v>1047.8399999999999</v>
      </c>
      <c r="C1893">
        <f t="shared" si="116"/>
        <v>0.99848489179840472</v>
      </c>
      <c r="D1893">
        <v>1877</v>
      </c>
      <c r="E1893">
        <f t="shared" si="117"/>
        <v>0</v>
      </c>
      <c r="F1893">
        <f t="shared" si="118"/>
        <v>0</v>
      </c>
      <c r="G1893" t="str">
        <f t="shared" si="119"/>
        <v>extra</v>
      </c>
      <c r="J1893">
        <v>1862</v>
      </c>
      <c r="K1893">
        <v>0.83950989607525484</v>
      </c>
    </row>
    <row r="1894" spans="1:11" x14ac:dyDescent="0.25">
      <c r="A1894" s="3">
        <v>38772</v>
      </c>
      <c r="B1894">
        <v>1049.43</v>
      </c>
      <c r="C1894">
        <f t="shared" si="116"/>
        <v>1.0077398042962638</v>
      </c>
      <c r="D1894">
        <v>1878</v>
      </c>
      <c r="E1894">
        <f t="shared" si="117"/>
        <v>0</v>
      </c>
      <c r="F1894">
        <f t="shared" si="118"/>
        <v>0</v>
      </c>
      <c r="G1894" t="str">
        <f t="shared" si="119"/>
        <v>extra</v>
      </c>
      <c r="J1894">
        <v>1863</v>
      </c>
      <c r="K1894">
        <v>0.83960717189671541</v>
      </c>
    </row>
    <row r="1895" spans="1:11" x14ac:dyDescent="0.25">
      <c r="A1895" s="3">
        <v>38771</v>
      </c>
      <c r="B1895">
        <v>1041.3699999999999</v>
      </c>
      <c r="C1895">
        <f t="shared" si="116"/>
        <v>1.0033626238100741</v>
      </c>
      <c r="D1895">
        <v>1879</v>
      </c>
      <c r="E1895">
        <f t="shared" si="117"/>
        <v>0</v>
      </c>
      <c r="F1895">
        <f t="shared" si="118"/>
        <v>0</v>
      </c>
      <c r="G1895" t="str">
        <f t="shared" si="119"/>
        <v>extra</v>
      </c>
      <c r="J1895">
        <v>1864</v>
      </c>
      <c r="K1895">
        <v>0.8396162532865129</v>
      </c>
    </row>
    <row r="1896" spans="1:11" x14ac:dyDescent="0.25">
      <c r="A1896" s="3">
        <v>38770</v>
      </c>
      <c r="B1896">
        <v>1037.8800000000001</v>
      </c>
      <c r="C1896">
        <f t="shared" si="116"/>
        <v>0.99910474485228307</v>
      </c>
      <c r="D1896">
        <v>1880</v>
      </c>
      <c r="E1896">
        <f t="shared" si="117"/>
        <v>0</v>
      </c>
      <c r="F1896">
        <f t="shared" si="118"/>
        <v>0</v>
      </c>
      <c r="G1896" t="str">
        <f t="shared" si="119"/>
        <v>extra</v>
      </c>
      <c r="J1896">
        <v>1865</v>
      </c>
      <c r="K1896">
        <v>0.83961783064352835</v>
      </c>
    </row>
    <row r="1897" spans="1:11" x14ac:dyDescent="0.25">
      <c r="A1897" s="3">
        <v>38769</v>
      </c>
      <c r="B1897">
        <v>1038.81</v>
      </c>
      <c r="C1897">
        <f t="shared" si="116"/>
        <v>1.0168162642052405</v>
      </c>
      <c r="D1897">
        <v>1881</v>
      </c>
      <c r="E1897">
        <f t="shared" si="117"/>
        <v>0</v>
      </c>
      <c r="F1897">
        <f t="shared" si="118"/>
        <v>0</v>
      </c>
      <c r="G1897" t="str">
        <f t="shared" si="119"/>
        <v>extra</v>
      </c>
      <c r="J1897">
        <v>1866</v>
      </c>
      <c r="K1897">
        <v>0.8396770569807156</v>
      </c>
    </row>
    <row r="1898" spans="1:11" x14ac:dyDescent="0.25">
      <c r="A1898" s="3">
        <v>38768</v>
      </c>
      <c r="B1898">
        <v>1021.63</v>
      </c>
      <c r="C1898">
        <f t="shared" si="116"/>
        <v>1.0012446587478929</v>
      </c>
      <c r="D1898">
        <v>1882</v>
      </c>
      <c r="E1898">
        <f t="shared" si="117"/>
        <v>0</v>
      </c>
      <c r="F1898">
        <f t="shared" si="118"/>
        <v>0</v>
      </c>
      <c r="G1898" t="str">
        <f t="shared" si="119"/>
        <v>extra</v>
      </c>
      <c r="J1898">
        <v>1867</v>
      </c>
      <c r="K1898">
        <v>0.83967921996612849</v>
      </c>
    </row>
    <row r="1899" spans="1:11" x14ac:dyDescent="0.25">
      <c r="A1899" s="3">
        <v>38765</v>
      </c>
      <c r="B1899">
        <v>1020.36</v>
      </c>
      <c r="C1899">
        <f t="shared" si="116"/>
        <v>1.0002352664392424</v>
      </c>
      <c r="D1899">
        <v>1883</v>
      </c>
      <c r="E1899">
        <f t="shared" si="117"/>
        <v>0</v>
      </c>
      <c r="F1899">
        <f t="shared" si="118"/>
        <v>0</v>
      </c>
      <c r="G1899" t="str">
        <f t="shared" si="119"/>
        <v>extra</v>
      </c>
      <c r="J1899">
        <v>1868</v>
      </c>
      <c r="K1899">
        <v>0.83974300990649864</v>
      </c>
    </row>
    <row r="1900" spans="1:11" x14ac:dyDescent="0.25">
      <c r="A1900" s="3">
        <v>38764</v>
      </c>
      <c r="B1900">
        <v>1020.12</v>
      </c>
      <c r="C1900">
        <f t="shared" si="116"/>
        <v>0.97932146765739292</v>
      </c>
      <c r="D1900">
        <v>1884</v>
      </c>
      <c r="E1900">
        <f t="shared" si="117"/>
        <v>0</v>
      </c>
      <c r="F1900">
        <f t="shared" si="118"/>
        <v>0</v>
      </c>
      <c r="G1900" t="str">
        <f t="shared" si="119"/>
        <v>extra</v>
      </c>
      <c r="J1900">
        <v>1869</v>
      </c>
      <c r="K1900">
        <v>0.83975262308057319</v>
      </c>
    </row>
    <row r="1901" spans="1:11" x14ac:dyDescent="0.25">
      <c r="A1901" s="3">
        <v>38763</v>
      </c>
      <c r="B1901">
        <v>1041.6600000000001</v>
      </c>
      <c r="C1901">
        <f t="shared" si="116"/>
        <v>1.003013875381549</v>
      </c>
      <c r="D1901">
        <v>1885</v>
      </c>
      <c r="E1901">
        <f t="shared" si="117"/>
        <v>0</v>
      </c>
      <c r="F1901">
        <f t="shared" si="118"/>
        <v>0</v>
      </c>
      <c r="G1901" t="str">
        <f t="shared" si="119"/>
        <v>extra</v>
      </c>
      <c r="J1901">
        <v>1870</v>
      </c>
      <c r="K1901">
        <v>0.83976944603900772</v>
      </c>
    </row>
    <row r="1902" spans="1:11" x14ac:dyDescent="0.25">
      <c r="A1902" s="3">
        <v>38762</v>
      </c>
      <c r="B1902">
        <v>1038.53</v>
      </c>
      <c r="C1902">
        <f t="shared" si="116"/>
        <v>1.00670796134198</v>
      </c>
      <c r="D1902">
        <v>1886</v>
      </c>
      <c r="E1902">
        <f t="shared" si="117"/>
        <v>0</v>
      </c>
      <c r="F1902">
        <f t="shared" si="118"/>
        <v>0</v>
      </c>
      <c r="G1902" t="str">
        <f t="shared" si="119"/>
        <v>extra</v>
      </c>
      <c r="J1902">
        <v>1871</v>
      </c>
      <c r="K1902">
        <v>0.83979125708933555</v>
      </c>
    </row>
    <row r="1903" spans="1:11" x14ac:dyDescent="0.25">
      <c r="A1903" s="3">
        <v>38761</v>
      </c>
      <c r="B1903">
        <v>1031.6099999999999</v>
      </c>
      <c r="C1903">
        <f t="shared" si="116"/>
        <v>0.9993025486036442</v>
      </c>
      <c r="D1903">
        <v>1887</v>
      </c>
      <c r="E1903">
        <f t="shared" si="117"/>
        <v>0</v>
      </c>
      <c r="F1903">
        <f t="shared" si="118"/>
        <v>0</v>
      </c>
      <c r="G1903" t="str">
        <f t="shared" si="119"/>
        <v>extra</v>
      </c>
      <c r="J1903">
        <v>1872</v>
      </c>
      <c r="K1903">
        <v>0.84012621966481693</v>
      </c>
    </row>
    <row r="1904" spans="1:11" x14ac:dyDescent="0.25">
      <c r="A1904" s="3">
        <v>38758</v>
      </c>
      <c r="B1904">
        <v>1032.33</v>
      </c>
      <c r="C1904">
        <f t="shared" si="116"/>
        <v>1.0124952186663265</v>
      </c>
      <c r="D1904">
        <v>1888</v>
      </c>
      <c r="E1904">
        <f t="shared" si="117"/>
        <v>0</v>
      </c>
      <c r="F1904">
        <f t="shared" si="118"/>
        <v>0</v>
      </c>
      <c r="G1904" t="str">
        <f t="shared" si="119"/>
        <v>extra</v>
      </c>
      <c r="J1904">
        <v>1873</v>
      </c>
      <c r="K1904">
        <v>0.84013180627042039</v>
      </c>
    </row>
    <row r="1905" spans="1:11" x14ac:dyDescent="0.25">
      <c r="A1905" s="3">
        <v>38757</v>
      </c>
      <c r="B1905">
        <v>1019.59</v>
      </c>
      <c r="C1905">
        <f t="shared" si="116"/>
        <v>0.98696106712098042</v>
      </c>
      <c r="D1905">
        <v>1889</v>
      </c>
      <c r="E1905">
        <f t="shared" si="117"/>
        <v>0</v>
      </c>
      <c r="F1905">
        <f t="shared" si="118"/>
        <v>0</v>
      </c>
      <c r="G1905" t="str">
        <f t="shared" si="119"/>
        <v>extra</v>
      </c>
      <c r="J1905">
        <v>1874</v>
      </c>
      <c r="K1905">
        <v>0.84013516721898829</v>
      </c>
    </row>
    <row r="1906" spans="1:11" x14ac:dyDescent="0.25">
      <c r="A1906" s="3">
        <v>38756</v>
      </c>
      <c r="B1906">
        <v>1033.06</v>
      </c>
      <c r="C1906">
        <f t="shared" si="116"/>
        <v>1.0030390414882564</v>
      </c>
      <c r="D1906">
        <v>1890</v>
      </c>
      <c r="E1906">
        <f t="shared" si="117"/>
        <v>0</v>
      </c>
      <c r="F1906">
        <f t="shared" si="118"/>
        <v>0</v>
      </c>
      <c r="G1906" t="str">
        <f t="shared" si="119"/>
        <v>extra</v>
      </c>
      <c r="J1906">
        <v>1875</v>
      </c>
      <c r="K1906">
        <v>0.84031873627495457</v>
      </c>
    </row>
    <row r="1907" spans="1:11" x14ac:dyDescent="0.25">
      <c r="A1907" s="3">
        <v>38755</v>
      </c>
      <c r="B1907">
        <v>1029.93</v>
      </c>
      <c r="C1907">
        <f t="shared" si="116"/>
        <v>0.99680613222612591</v>
      </c>
      <c r="D1907">
        <v>1891</v>
      </c>
      <c r="E1907">
        <f t="shared" si="117"/>
        <v>0</v>
      </c>
      <c r="F1907">
        <f t="shared" si="118"/>
        <v>0</v>
      </c>
      <c r="G1907" t="str">
        <f t="shared" si="119"/>
        <v>extra</v>
      </c>
      <c r="J1907">
        <v>1876</v>
      </c>
      <c r="K1907">
        <v>0.84032380599181689</v>
      </c>
    </row>
    <row r="1908" spans="1:11" x14ac:dyDescent="0.25">
      <c r="A1908" s="3">
        <v>38754</v>
      </c>
      <c r="B1908">
        <v>1033.23</v>
      </c>
      <c r="C1908">
        <f t="shared" si="116"/>
        <v>1.0234154458740676</v>
      </c>
      <c r="D1908">
        <v>1892</v>
      </c>
      <c r="E1908">
        <f t="shared" si="117"/>
        <v>0</v>
      </c>
      <c r="F1908">
        <f t="shared" si="118"/>
        <v>0</v>
      </c>
      <c r="G1908" t="str">
        <f t="shared" si="119"/>
        <v>extra</v>
      </c>
      <c r="J1908">
        <v>1877</v>
      </c>
      <c r="K1908">
        <v>0.84033558767476024</v>
      </c>
    </row>
    <row r="1909" spans="1:11" x14ac:dyDescent="0.25">
      <c r="A1909" s="3">
        <v>38742</v>
      </c>
      <c r="B1909">
        <v>1009.59</v>
      </c>
      <c r="C1909">
        <f t="shared" si="116"/>
        <v>1.0105095637029697</v>
      </c>
      <c r="D1909">
        <v>1893</v>
      </c>
      <c r="E1909">
        <f t="shared" si="117"/>
        <v>0</v>
      </c>
      <c r="F1909">
        <f t="shared" si="118"/>
        <v>0</v>
      </c>
      <c r="G1909" t="str">
        <f t="shared" si="119"/>
        <v>extra</v>
      </c>
      <c r="J1909">
        <v>1878</v>
      </c>
      <c r="K1909">
        <v>0.84033760566289528</v>
      </c>
    </row>
    <row r="1910" spans="1:11" x14ac:dyDescent="0.25">
      <c r="A1910" s="3">
        <v>38741</v>
      </c>
      <c r="B1910">
        <v>999.09</v>
      </c>
      <c r="C1910">
        <f t="shared" si="116"/>
        <v>1.0029412945711533</v>
      </c>
      <c r="D1910">
        <v>1894</v>
      </c>
      <c r="E1910">
        <f t="shared" si="117"/>
        <v>0</v>
      </c>
      <c r="F1910">
        <f t="shared" si="118"/>
        <v>0</v>
      </c>
      <c r="G1910" t="str">
        <f t="shared" si="119"/>
        <v>extra</v>
      </c>
      <c r="J1910">
        <v>1879</v>
      </c>
      <c r="K1910">
        <v>0.8403689204344641</v>
      </c>
    </row>
    <row r="1911" spans="1:11" x14ac:dyDescent="0.25">
      <c r="A1911" s="3">
        <v>38740</v>
      </c>
      <c r="B1911">
        <v>996.16</v>
      </c>
      <c r="C1911">
        <f t="shared" si="116"/>
        <v>1.0028389071214288</v>
      </c>
      <c r="D1911">
        <v>1895</v>
      </c>
      <c r="E1911">
        <f t="shared" si="117"/>
        <v>0</v>
      </c>
      <c r="F1911">
        <f t="shared" si="118"/>
        <v>0</v>
      </c>
      <c r="G1911" t="str">
        <f t="shared" si="119"/>
        <v>extra</v>
      </c>
      <c r="J1911">
        <v>1880</v>
      </c>
      <c r="K1911">
        <v>0.84037376995693869</v>
      </c>
    </row>
    <row r="1912" spans="1:11" x14ac:dyDescent="0.25">
      <c r="A1912" s="3">
        <v>38737</v>
      </c>
      <c r="B1912">
        <v>993.34</v>
      </c>
      <c r="C1912">
        <f t="shared" si="116"/>
        <v>1.0021387784750106</v>
      </c>
      <c r="D1912">
        <v>1896</v>
      </c>
      <c r="E1912">
        <f t="shared" si="117"/>
        <v>0</v>
      </c>
      <c r="F1912">
        <f t="shared" si="118"/>
        <v>0</v>
      </c>
      <c r="G1912" t="str">
        <f t="shared" si="119"/>
        <v>extra</v>
      </c>
      <c r="J1912">
        <v>1881</v>
      </c>
      <c r="K1912">
        <v>0.84037458625994155</v>
      </c>
    </row>
    <row r="1913" spans="1:11" x14ac:dyDescent="0.25">
      <c r="A1913" s="3">
        <v>38736</v>
      </c>
      <c r="B1913">
        <v>991.22</v>
      </c>
      <c r="C1913">
        <f t="shared" si="116"/>
        <v>1.0077265610703321</v>
      </c>
      <c r="D1913">
        <v>1897</v>
      </c>
      <c r="E1913">
        <f t="shared" si="117"/>
        <v>0</v>
      </c>
      <c r="F1913">
        <f t="shared" si="118"/>
        <v>0</v>
      </c>
      <c r="G1913" t="str">
        <f t="shared" si="119"/>
        <v>extra</v>
      </c>
      <c r="J1913">
        <v>1882</v>
      </c>
      <c r="K1913">
        <v>0.84053137370289877</v>
      </c>
    </row>
    <row r="1914" spans="1:11" x14ac:dyDescent="0.25">
      <c r="A1914" s="3">
        <v>38735</v>
      </c>
      <c r="B1914">
        <v>983.62</v>
      </c>
      <c r="C1914">
        <f t="shared" si="116"/>
        <v>1.0200458368333178</v>
      </c>
      <c r="D1914">
        <v>1898</v>
      </c>
      <c r="E1914">
        <f t="shared" si="117"/>
        <v>0</v>
      </c>
      <c r="F1914">
        <f t="shared" si="118"/>
        <v>0</v>
      </c>
      <c r="G1914" t="str">
        <f t="shared" si="119"/>
        <v>extra</v>
      </c>
      <c r="J1914">
        <v>1883</v>
      </c>
      <c r="K1914">
        <v>0.84053151800228987</v>
      </c>
    </row>
    <row r="1915" spans="1:11" x14ac:dyDescent="0.25">
      <c r="A1915" s="3">
        <v>38734</v>
      </c>
      <c r="B1915">
        <v>964.29</v>
      </c>
      <c r="C1915">
        <f t="shared" si="116"/>
        <v>1.0029747355501701</v>
      </c>
      <c r="D1915">
        <v>1899</v>
      </c>
      <c r="E1915">
        <f t="shared" si="117"/>
        <v>0</v>
      </c>
      <c r="F1915">
        <f t="shared" si="118"/>
        <v>0</v>
      </c>
      <c r="G1915" t="str">
        <f t="shared" si="119"/>
        <v>extra</v>
      </c>
      <c r="J1915">
        <v>1884</v>
      </c>
      <c r="K1915">
        <v>0.84053130662074937</v>
      </c>
    </row>
    <row r="1916" spans="1:11" x14ac:dyDescent="0.25">
      <c r="A1916" s="3">
        <v>38733</v>
      </c>
      <c r="B1916">
        <v>961.43</v>
      </c>
      <c r="C1916">
        <f t="shared" si="116"/>
        <v>0.9822537801389456</v>
      </c>
      <c r="D1916">
        <v>1900</v>
      </c>
      <c r="E1916">
        <f t="shared" si="117"/>
        <v>0</v>
      </c>
      <c r="F1916">
        <f t="shared" si="118"/>
        <v>0</v>
      </c>
      <c r="G1916" t="str">
        <f t="shared" si="119"/>
        <v>extra</v>
      </c>
      <c r="J1916">
        <v>1885</v>
      </c>
      <c r="K1916">
        <v>0.84080203343675852</v>
      </c>
    </row>
    <row r="1917" spans="1:11" x14ac:dyDescent="0.25">
      <c r="A1917" s="3">
        <v>38730</v>
      </c>
      <c r="B1917">
        <v>978.8</v>
      </c>
      <c r="C1917">
        <f t="shared" si="116"/>
        <v>0.99500869158593475</v>
      </c>
      <c r="D1917">
        <v>1901</v>
      </c>
      <c r="E1917">
        <f t="shared" si="117"/>
        <v>0</v>
      </c>
      <c r="F1917">
        <f t="shared" si="118"/>
        <v>0</v>
      </c>
      <c r="G1917" t="str">
        <f t="shared" si="119"/>
        <v>extra</v>
      </c>
      <c r="J1917">
        <v>1886</v>
      </c>
      <c r="K1917">
        <v>0.84080574894541515</v>
      </c>
    </row>
    <row r="1918" spans="1:11" x14ac:dyDescent="0.25">
      <c r="A1918" s="3">
        <v>38729</v>
      </c>
      <c r="B1918">
        <v>983.71</v>
      </c>
      <c r="C1918">
        <f t="shared" si="116"/>
        <v>1.0105190709523664</v>
      </c>
      <c r="D1918">
        <v>1902</v>
      </c>
      <c r="E1918">
        <f t="shared" si="117"/>
        <v>0</v>
      </c>
      <c r="F1918">
        <f t="shared" si="118"/>
        <v>0</v>
      </c>
      <c r="G1918" t="str">
        <f t="shared" si="119"/>
        <v>extra</v>
      </c>
      <c r="J1918">
        <v>1887</v>
      </c>
      <c r="K1918">
        <v>0.84082876989218325</v>
      </c>
    </row>
    <row r="1919" spans="1:11" x14ac:dyDescent="0.25">
      <c r="A1919" s="3">
        <v>38728</v>
      </c>
      <c r="B1919">
        <v>973.47</v>
      </c>
      <c r="C1919">
        <f t="shared" si="116"/>
        <v>0.99521545775187858</v>
      </c>
      <c r="D1919">
        <v>1903</v>
      </c>
      <c r="E1919">
        <f t="shared" si="117"/>
        <v>0</v>
      </c>
      <c r="F1919">
        <f t="shared" si="118"/>
        <v>0</v>
      </c>
      <c r="G1919" t="str">
        <f t="shared" si="119"/>
        <v>extra</v>
      </c>
      <c r="J1919">
        <v>1888</v>
      </c>
      <c r="K1919">
        <v>0.84082929925561634</v>
      </c>
    </row>
    <row r="1920" spans="1:11" x14ac:dyDescent="0.25">
      <c r="A1920" s="3">
        <v>38727</v>
      </c>
      <c r="B1920">
        <v>978.15</v>
      </c>
      <c r="C1920">
        <f t="shared" si="116"/>
        <v>1.0029735965137143</v>
      </c>
      <c r="D1920">
        <v>1904</v>
      </c>
      <c r="E1920">
        <f t="shared" si="117"/>
        <v>0</v>
      </c>
      <c r="F1920">
        <f t="shared" si="118"/>
        <v>0</v>
      </c>
      <c r="G1920" t="str">
        <f t="shared" si="119"/>
        <v>extra</v>
      </c>
      <c r="J1920">
        <v>1889</v>
      </c>
      <c r="K1920">
        <v>0.84091447298791777</v>
      </c>
    </row>
    <row r="1921" spans="1:11" x14ac:dyDescent="0.25">
      <c r="A1921" s="3">
        <v>38726</v>
      </c>
      <c r="B1921">
        <v>975.25</v>
      </c>
      <c r="C1921">
        <f t="shared" si="116"/>
        <v>1.0053812768677257</v>
      </c>
      <c r="D1921">
        <v>1905</v>
      </c>
      <c r="E1921">
        <f t="shared" si="117"/>
        <v>0</v>
      </c>
      <c r="F1921">
        <f t="shared" si="118"/>
        <v>0</v>
      </c>
      <c r="G1921" t="str">
        <f t="shared" si="119"/>
        <v>extra</v>
      </c>
      <c r="J1921">
        <v>1890</v>
      </c>
      <c r="K1921">
        <v>0.84102373251789919</v>
      </c>
    </row>
    <row r="1922" spans="1:11" x14ac:dyDescent="0.25">
      <c r="A1922" s="3">
        <v>38723</v>
      </c>
      <c r="B1922">
        <v>970.03</v>
      </c>
      <c r="C1922">
        <f t="shared" si="116"/>
        <v>1.0113644657137197</v>
      </c>
      <c r="D1922">
        <v>1906</v>
      </c>
      <c r="E1922">
        <f t="shared" si="117"/>
        <v>0</v>
      </c>
      <c r="F1922">
        <f t="shared" si="118"/>
        <v>0</v>
      </c>
      <c r="G1922" t="str">
        <f t="shared" si="119"/>
        <v>extra</v>
      </c>
      <c r="J1922">
        <v>1891</v>
      </c>
      <c r="K1922">
        <v>0.84102751543154175</v>
      </c>
    </row>
    <row r="1923" spans="1:11" x14ac:dyDescent="0.25">
      <c r="A1923" s="3">
        <v>38722</v>
      </c>
      <c r="B1923">
        <v>959.13</v>
      </c>
      <c r="C1923">
        <f t="shared" si="116"/>
        <v>1.0188120073930871</v>
      </c>
      <c r="D1923">
        <v>1907</v>
      </c>
      <c r="E1923">
        <f t="shared" si="117"/>
        <v>0</v>
      </c>
      <c r="F1923">
        <f t="shared" si="118"/>
        <v>0</v>
      </c>
      <c r="G1923" t="str">
        <f t="shared" si="119"/>
        <v>extra</v>
      </c>
      <c r="J1923">
        <v>1892</v>
      </c>
      <c r="K1923">
        <v>0.84103514228205001</v>
      </c>
    </row>
    <row r="1924" spans="1:11" x14ac:dyDescent="0.25">
      <c r="A1924" s="3">
        <v>38721</v>
      </c>
      <c r="B1924">
        <v>941.42</v>
      </c>
      <c r="C1924">
        <f t="shared" si="116"/>
        <v>1.0194596350641614</v>
      </c>
      <c r="D1924">
        <v>1908</v>
      </c>
      <c r="E1924">
        <f t="shared" si="117"/>
        <v>0</v>
      </c>
      <c r="F1924">
        <f t="shared" si="118"/>
        <v>0</v>
      </c>
      <c r="G1924" t="str">
        <f t="shared" si="119"/>
        <v>extra</v>
      </c>
      <c r="J1924">
        <v>1893</v>
      </c>
      <c r="K1924">
        <v>0.8413416477296396</v>
      </c>
    </row>
    <row r="1925" spans="1:11" x14ac:dyDescent="0.25">
      <c r="A1925" s="3">
        <v>38716</v>
      </c>
      <c r="B1925">
        <v>923.45</v>
      </c>
      <c r="C1925">
        <f t="shared" si="116"/>
        <v>0.99079428773751921</v>
      </c>
      <c r="D1925">
        <v>1909</v>
      </c>
      <c r="E1925">
        <f t="shared" si="117"/>
        <v>0</v>
      </c>
      <c r="F1925">
        <f t="shared" si="118"/>
        <v>0</v>
      </c>
      <c r="G1925" t="str">
        <f t="shared" si="119"/>
        <v>extra</v>
      </c>
      <c r="J1925">
        <v>1894</v>
      </c>
      <c r="K1925">
        <v>0.84140096629220784</v>
      </c>
    </row>
    <row r="1926" spans="1:11" x14ac:dyDescent="0.25">
      <c r="A1926" s="3">
        <v>38715</v>
      </c>
      <c r="B1926">
        <v>932.03</v>
      </c>
      <c r="C1926">
        <f t="shared" si="116"/>
        <v>1.0120750127591187</v>
      </c>
      <c r="D1926">
        <v>1910</v>
      </c>
      <c r="E1926">
        <f t="shared" si="117"/>
        <v>0</v>
      </c>
      <c r="F1926">
        <f t="shared" si="118"/>
        <v>0</v>
      </c>
      <c r="G1926" t="str">
        <f t="shared" si="119"/>
        <v>extra</v>
      </c>
      <c r="J1926">
        <v>1895</v>
      </c>
      <c r="K1926">
        <v>0.84140440308636977</v>
      </c>
    </row>
    <row r="1927" spans="1:11" x14ac:dyDescent="0.25">
      <c r="A1927" s="3">
        <v>38714</v>
      </c>
      <c r="B1927">
        <v>920.91</v>
      </c>
      <c r="C1927">
        <f t="shared" si="116"/>
        <v>1.0016859554472677</v>
      </c>
      <c r="D1927">
        <v>1911</v>
      </c>
      <c r="E1927">
        <f t="shared" si="117"/>
        <v>0</v>
      </c>
      <c r="F1927">
        <f t="shared" si="118"/>
        <v>0</v>
      </c>
      <c r="G1927" t="str">
        <f t="shared" si="119"/>
        <v>extra</v>
      </c>
      <c r="J1927">
        <v>1896</v>
      </c>
      <c r="K1927">
        <v>0.84140754091719439</v>
      </c>
    </row>
    <row r="1928" spans="1:11" x14ac:dyDescent="0.25">
      <c r="A1928" s="3">
        <v>38713</v>
      </c>
      <c r="B1928">
        <v>919.36</v>
      </c>
      <c r="C1928">
        <f t="shared" si="116"/>
        <v>0.99673666749785883</v>
      </c>
      <c r="D1928">
        <v>1912</v>
      </c>
      <c r="E1928">
        <f t="shared" si="117"/>
        <v>0</v>
      </c>
      <c r="F1928">
        <f t="shared" si="118"/>
        <v>0</v>
      </c>
      <c r="G1928" t="str">
        <f t="shared" si="119"/>
        <v>extra</v>
      </c>
      <c r="J1928">
        <v>1897</v>
      </c>
      <c r="K1928">
        <v>0.84140898865423142</v>
      </c>
    </row>
    <row r="1929" spans="1:11" x14ac:dyDescent="0.25">
      <c r="A1929" s="3">
        <v>38712</v>
      </c>
      <c r="B1929">
        <v>922.37</v>
      </c>
      <c r="C1929">
        <f t="shared" si="116"/>
        <v>1.007075085436024</v>
      </c>
      <c r="D1929">
        <v>1913</v>
      </c>
      <c r="E1929">
        <f t="shared" si="117"/>
        <v>0</v>
      </c>
      <c r="F1929">
        <f t="shared" si="118"/>
        <v>0</v>
      </c>
      <c r="G1929" t="str">
        <f t="shared" si="119"/>
        <v>extra</v>
      </c>
      <c r="J1929">
        <v>1898</v>
      </c>
      <c r="K1929">
        <v>0.84143993139437678</v>
      </c>
    </row>
    <row r="1930" spans="1:11" x14ac:dyDescent="0.25">
      <c r="A1930" s="3">
        <v>38709</v>
      </c>
      <c r="B1930">
        <v>915.89</v>
      </c>
      <c r="C1930">
        <f t="shared" si="116"/>
        <v>1.007856946354883</v>
      </c>
      <c r="D1930">
        <v>1914</v>
      </c>
      <c r="E1930">
        <f t="shared" si="117"/>
        <v>0</v>
      </c>
      <c r="F1930">
        <f t="shared" si="118"/>
        <v>0</v>
      </c>
      <c r="G1930" t="str">
        <f t="shared" si="119"/>
        <v>extra</v>
      </c>
      <c r="J1930">
        <v>1899</v>
      </c>
      <c r="K1930">
        <v>0.84166315633801136</v>
      </c>
    </row>
    <row r="1931" spans="1:11" x14ac:dyDescent="0.25">
      <c r="A1931" s="3">
        <v>38708</v>
      </c>
      <c r="B1931">
        <v>908.75</v>
      </c>
      <c r="C1931">
        <f t="shared" si="116"/>
        <v>1.0062116615364174</v>
      </c>
      <c r="D1931">
        <v>1915</v>
      </c>
      <c r="E1931">
        <f t="shared" si="117"/>
        <v>0</v>
      </c>
      <c r="F1931">
        <f t="shared" si="118"/>
        <v>0</v>
      </c>
      <c r="G1931" t="str">
        <f t="shared" si="119"/>
        <v>extra</v>
      </c>
      <c r="J1931">
        <v>1900</v>
      </c>
      <c r="K1931">
        <v>0.84166664012743864</v>
      </c>
    </row>
    <row r="1932" spans="1:11" x14ac:dyDescent="0.25">
      <c r="A1932" s="3">
        <v>38707</v>
      </c>
      <c r="B1932">
        <v>903.14</v>
      </c>
      <c r="C1932">
        <f t="shared" si="116"/>
        <v>0.99540399642900446</v>
      </c>
      <c r="D1932">
        <v>1916</v>
      </c>
      <c r="E1932">
        <f t="shared" si="117"/>
        <v>0</v>
      </c>
      <c r="F1932">
        <f t="shared" si="118"/>
        <v>0</v>
      </c>
      <c r="G1932" t="str">
        <f t="shared" si="119"/>
        <v>extra</v>
      </c>
      <c r="J1932">
        <v>1901</v>
      </c>
      <c r="K1932">
        <v>0.84186709723795539</v>
      </c>
    </row>
    <row r="1933" spans="1:11" x14ac:dyDescent="0.25">
      <c r="A1933" s="3">
        <v>38706</v>
      </c>
      <c r="B1933">
        <v>907.31</v>
      </c>
      <c r="C1933">
        <f t="shared" si="116"/>
        <v>1.0048731324273736</v>
      </c>
      <c r="D1933">
        <v>1917</v>
      </c>
      <c r="E1933">
        <f t="shared" si="117"/>
        <v>0</v>
      </c>
      <c r="F1933">
        <f t="shared" si="118"/>
        <v>0</v>
      </c>
      <c r="G1933" t="str">
        <f t="shared" si="119"/>
        <v>extra</v>
      </c>
      <c r="J1933">
        <v>1902</v>
      </c>
      <c r="K1933">
        <v>0.84188461100470358</v>
      </c>
    </row>
    <row r="1934" spans="1:11" x14ac:dyDescent="0.25">
      <c r="A1934" s="3">
        <v>38705</v>
      </c>
      <c r="B1934">
        <v>902.91</v>
      </c>
      <c r="C1934">
        <f t="shared" si="116"/>
        <v>1.0003877858535721</v>
      </c>
      <c r="D1934">
        <v>1918</v>
      </c>
      <c r="E1934">
        <f t="shared" si="117"/>
        <v>0</v>
      </c>
      <c r="F1934">
        <f t="shared" si="118"/>
        <v>0</v>
      </c>
      <c r="G1934" t="str">
        <f t="shared" si="119"/>
        <v>extra</v>
      </c>
      <c r="J1934">
        <v>1903</v>
      </c>
      <c r="K1934">
        <v>0.84194386766615936</v>
      </c>
    </row>
    <row r="1935" spans="1:11" x14ac:dyDescent="0.25">
      <c r="A1935" s="3">
        <v>38702</v>
      </c>
      <c r="B1935">
        <v>902.56</v>
      </c>
      <c r="C1935">
        <f t="shared" si="116"/>
        <v>1.0068382361143648</v>
      </c>
      <c r="D1935">
        <v>1919</v>
      </c>
      <c r="E1935">
        <f t="shared" si="117"/>
        <v>0</v>
      </c>
      <c r="F1935">
        <f t="shared" si="118"/>
        <v>0</v>
      </c>
      <c r="G1935" t="str">
        <f t="shared" si="119"/>
        <v>extra</v>
      </c>
      <c r="J1935">
        <v>1904</v>
      </c>
      <c r="K1935">
        <v>0.84196007147010143</v>
      </c>
    </row>
    <row r="1936" spans="1:11" x14ac:dyDescent="0.25">
      <c r="A1936" s="3">
        <v>38701</v>
      </c>
      <c r="B1936">
        <v>896.43</v>
      </c>
      <c r="C1936">
        <f t="shared" si="116"/>
        <v>0.99808495240216</v>
      </c>
      <c r="D1936">
        <v>1920</v>
      </c>
      <c r="E1936">
        <f t="shared" si="117"/>
        <v>0</v>
      </c>
      <c r="F1936">
        <f t="shared" si="118"/>
        <v>0</v>
      </c>
      <c r="G1936" t="str">
        <f t="shared" si="119"/>
        <v>extra</v>
      </c>
      <c r="J1936">
        <v>1905</v>
      </c>
      <c r="K1936">
        <v>0.84196357769797292</v>
      </c>
    </row>
    <row r="1937" spans="1:11" x14ac:dyDescent="0.25">
      <c r="A1937" s="3">
        <v>38700</v>
      </c>
      <c r="B1937">
        <v>898.15</v>
      </c>
      <c r="C1937">
        <f t="shared" si="116"/>
        <v>1.0101788325272747</v>
      </c>
      <c r="D1937">
        <v>1921</v>
      </c>
      <c r="E1937">
        <f t="shared" si="117"/>
        <v>0</v>
      </c>
      <c r="F1937">
        <f t="shared" si="118"/>
        <v>0</v>
      </c>
      <c r="G1937" t="str">
        <f t="shared" si="119"/>
        <v>extra</v>
      </c>
      <c r="J1937">
        <v>1906</v>
      </c>
      <c r="K1937">
        <v>0.84197763909685552</v>
      </c>
    </row>
    <row r="1938" spans="1:11" x14ac:dyDescent="0.25">
      <c r="A1938" s="3">
        <v>38699</v>
      </c>
      <c r="B1938">
        <v>889.1</v>
      </c>
      <c r="C1938">
        <f t="shared" ref="C1938:C2001" si="120">B1938/B1939</f>
        <v>1.000664033044085</v>
      </c>
      <c r="D1938">
        <v>1922</v>
      </c>
      <c r="E1938">
        <f t="shared" ref="E1938:E2001" si="121">IF(D1938&gt;$B$6,0,LN(C1938))</f>
        <v>0</v>
      </c>
      <c r="F1938">
        <f t="shared" ref="F1938:F2001" si="122">IF(D1938&gt;$B$6,0,(E1938-$B$7)^2)</f>
        <v>0</v>
      </c>
      <c r="G1938" t="str">
        <f t="shared" ref="G1938:G2001" si="123">IF(D1938&lt;=$B$6,E1938,"extra")</f>
        <v>extra</v>
      </c>
      <c r="J1938">
        <v>1907</v>
      </c>
      <c r="K1938">
        <v>0.84204716544648262</v>
      </c>
    </row>
    <row r="1939" spans="1:11" x14ac:dyDescent="0.25">
      <c r="A1939" s="3">
        <v>38698</v>
      </c>
      <c r="B1939">
        <v>888.51</v>
      </c>
      <c r="C1939">
        <f t="shared" si="120"/>
        <v>1.001307263199414</v>
      </c>
      <c r="D1939">
        <v>1923</v>
      </c>
      <c r="E1939">
        <f t="shared" si="121"/>
        <v>0</v>
      </c>
      <c r="F1939">
        <f t="shared" si="122"/>
        <v>0</v>
      </c>
      <c r="G1939" t="str">
        <f t="shared" si="123"/>
        <v>extra</v>
      </c>
      <c r="J1939">
        <v>1908</v>
      </c>
      <c r="K1939">
        <v>0.84224298668830944</v>
      </c>
    </row>
    <row r="1940" spans="1:11" x14ac:dyDescent="0.25">
      <c r="A1940" s="3">
        <v>38695</v>
      </c>
      <c r="B1940">
        <v>887.35</v>
      </c>
      <c r="C1940">
        <f t="shared" si="120"/>
        <v>1.0152165207940049</v>
      </c>
      <c r="D1940">
        <v>1924</v>
      </c>
      <c r="E1940">
        <f t="shared" si="121"/>
        <v>0</v>
      </c>
      <c r="F1940">
        <f t="shared" si="122"/>
        <v>0</v>
      </c>
      <c r="G1940" t="str">
        <f t="shared" si="123"/>
        <v>extra</v>
      </c>
      <c r="J1940">
        <v>1909</v>
      </c>
      <c r="K1940">
        <v>0.84245250033320362</v>
      </c>
    </row>
    <row r="1941" spans="1:11" x14ac:dyDescent="0.25">
      <c r="A1941" s="3">
        <v>38694</v>
      </c>
      <c r="B1941">
        <v>874.05</v>
      </c>
      <c r="C1941">
        <f t="shared" si="120"/>
        <v>1.0002517652174907</v>
      </c>
      <c r="D1941">
        <v>1925</v>
      </c>
      <c r="E1941">
        <f t="shared" si="121"/>
        <v>0</v>
      </c>
      <c r="F1941">
        <f t="shared" si="122"/>
        <v>0</v>
      </c>
      <c r="G1941" t="str">
        <f t="shared" si="123"/>
        <v>extra</v>
      </c>
      <c r="J1941">
        <v>1910</v>
      </c>
      <c r="K1941">
        <v>0.84250857859931494</v>
      </c>
    </row>
    <row r="1942" spans="1:11" x14ac:dyDescent="0.25">
      <c r="A1942" s="3">
        <v>38693</v>
      </c>
      <c r="B1942">
        <v>873.83</v>
      </c>
      <c r="C1942">
        <f t="shared" si="120"/>
        <v>1.0089600147794058</v>
      </c>
      <c r="D1942">
        <v>1926</v>
      </c>
      <c r="E1942">
        <f t="shared" si="121"/>
        <v>0</v>
      </c>
      <c r="F1942">
        <f t="shared" si="122"/>
        <v>0</v>
      </c>
      <c r="G1942" t="str">
        <f t="shared" si="123"/>
        <v>extra</v>
      </c>
      <c r="J1942">
        <v>1911</v>
      </c>
      <c r="K1942">
        <v>0.84258711797289521</v>
      </c>
    </row>
    <row r="1943" spans="1:11" x14ac:dyDescent="0.25">
      <c r="A1943" s="3">
        <v>38692</v>
      </c>
      <c r="B1943">
        <v>866.07</v>
      </c>
      <c r="C1943">
        <f t="shared" si="120"/>
        <v>1.007515035888368</v>
      </c>
      <c r="D1943">
        <v>1927</v>
      </c>
      <c r="E1943">
        <f t="shared" si="121"/>
        <v>0</v>
      </c>
      <c r="F1943">
        <f t="shared" si="122"/>
        <v>0</v>
      </c>
      <c r="G1943" t="str">
        <f t="shared" si="123"/>
        <v>extra</v>
      </c>
      <c r="J1943">
        <v>1912</v>
      </c>
      <c r="K1943">
        <v>0.84258773341241711</v>
      </c>
    </row>
    <row r="1944" spans="1:11" x14ac:dyDescent="0.25">
      <c r="A1944" s="3">
        <v>38691</v>
      </c>
      <c r="B1944">
        <v>859.61</v>
      </c>
      <c r="C1944">
        <f t="shared" si="120"/>
        <v>0.9881369765383422</v>
      </c>
      <c r="D1944">
        <v>1928</v>
      </c>
      <c r="E1944">
        <f t="shared" si="121"/>
        <v>0</v>
      </c>
      <c r="F1944">
        <f t="shared" si="122"/>
        <v>0</v>
      </c>
      <c r="G1944" t="str">
        <f t="shared" si="123"/>
        <v>extra</v>
      </c>
      <c r="J1944">
        <v>1913</v>
      </c>
      <c r="K1944">
        <v>0.84259589624525277</v>
      </c>
    </row>
    <row r="1945" spans="1:11" x14ac:dyDescent="0.25">
      <c r="A1945" s="3">
        <v>38688</v>
      </c>
      <c r="B1945">
        <v>869.93</v>
      </c>
      <c r="C1945">
        <f t="shared" si="120"/>
        <v>0.99641490848280756</v>
      </c>
      <c r="D1945">
        <v>1929</v>
      </c>
      <c r="E1945">
        <f t="shared" si="121"/>
        <v>0</v>
      </c>
      <c r="F1945">
        <f t="shared" si="122"/>
        <v>0</v>
      </c>
      <c r="G1945" t="str">
        <f t="shared" si="123"/>
        <v>extra</v>
      </c>
      <c r="J1945">
        <v>1914</v>
      </c>
      <c r="K1945">
        <v>0.84262122201024292</v>
      </c>
    </row>
    <row r="1946" spans="1:11" x14ac:dyDescent="0.25">
      <c r="A1946" s="3">
        <v>38687</v>
      </c>
      <c r="B1946">
        <v>873.06</v>
      </c>
      <c r="C1946">
        <f t="shared" si="120"/>
        <v>0.99913025565906011</v>
      </c>
      <c r="D1946">
        <v>1930</v>
      </c>
      <c r="E1946">
        <f t="shared" si="121"/>
        <v>0</v>
      </c>
      <c r="F1946">
        <f t="shared" si="122"/>
        <v>0</v>
      </c>
      <c r="G1946" t="str">
        <f t="shared" si="123"/>
        <v>extra</v>
      </c>
      <c r="J1946">
        <v>1915</v>
      </c>
      <c r="K1946">
        <v>0.84265292054279561</v>
      </c>
    </row>
    <row r="1947" spans="1:11" x14ac:dyDescent="0.25">
      <c r="A1947" s="3">
        <v>38686</v>
      </c>
      <c r="B1947">
        <v>873.82</v>
      </c>
      <c r="C1947">
        <f t="shared" si="120"/>
        <v>1.00288071983565</v>
      </c>
      <c r="D1947">
        <v>1931</v>
      </c>
      <c r="E1947">
        <f t="shared" si="121"/>
        <v>0</v>
      </c>
      <c r="F1947">
        <f t="shared" si="122"/>
        <v>0</v>
      </c>
      <c r="G1947" t="str">
        <f t="shared" si="123"/>
        <v>extra</v>
      </c>
      <c r="J1947">
        <v>1916</v>
      </c>
      <c r="K1947">
        <v>0.84267195109704496</v>
      </c>
    </row>
    <row r="1948" spans="1:11" x14ac:dyDescent="0.25">
      <c r="A1948" s="3">
        <v>38685</v>
      </c>
      <c r="B1948">
        <v>871.31</v>
      </c>
      <c r="C1948">
        <f t="shared" si="120"/>
        <v>0.98994500999818213</v>
      </c>
      <c r="D1948">
        <v>1932</v>
      </c>
      <c r="E1948">
        <f t="shared" si="121"/>
        <v>0</v>
      </c>
      <c r="F1948">
        <f t="shared" si="122"/>
        <v>0</v>
      </c>
      <c r="G1948" t="str">
        <f t="shared" si="123"/>
        <v>extra</v>
      </c>
      <c r="J1948">
        <v>1917</v>
      </c>
      <c r="K1948">
        <v>0.84268719954014948</v>
      </c>
    </row>
    <row r="1949" spans="1:11" x14ac:dyDescent="0.25">
      <c r="A1949" s="3">
        <v>38684</v>
      </c>
      <c r="B1949">
        <v>880.16</v>
      </c>
      <c r="C1949">
        <f t="shared" si="120"/>
        <v>0.99554349055536695</v>
      </c>
      <c r="D1949">
        <v>1933</v>
      </c>
      <c r="E1949">
        <f t="shared" si="121"/>
        <v>0</v>
      </c>
      <c r="F1949">
        <f t="shared" si="122"/>
        <v>0</v>
      </c>
      <c r="G1949" t="str">
        <f t="shared" si="123"/>
        <v>extra</v>
      </c>
      <c r="J1949">
        <v>1918</v>
      </c>
      <c r="K1949">
        <v>0.84269827802267205</v>
      </c>
    </row>
    <row r="1950" spans="1:11" x14ac:dyDescent="0.25">
      <c r="A1950" s="3">
        <v>38681</v>
      </c>
      <c r="B1950">
        <v>884.1</v>
      </c>
      <c r="C1950">
        <f t="shared" si="120"/>
        <v>1.0029608957560494</v>
      </c>
      <c r="D1950">
        <v>1934</v>
      </c>
      <c r="E1950">
        <f t="shared" si="121"/>
        <v>0</v>
      </c>
      <c r="F1950">
        <f t="shared" si="122"/>
        <v>0</v>
      </c>
      <c r="G1950" t="str">
        <f t="shared" si="123"/>
        <v>extra</v>
      </c>
      <c r="J1950">
        <v>1919</v>
      </c>
      <c r="K1950">
        <v>0.84269805620104532</v>
      </c>
    </row>
    <row r="1951" spans="1:11" x14ac:dyDescent="0.25">
      <c r="A1951" s="3">
        <v>38680</v>
      </c>
      <c r="B1951">
        <v>881.49</v>
      </c>
      <c r="C1951">
        <f t="shared" si="120"/>
        <v>1.0060144712515122</v>
      </c>
      <c r="D1951">
        <v>1935</v>
      </c>
      <c r="E1951">
        <f t="shared" si="121"/>
        <v>0</v>
      </c>
      <c r="F1951">
        <f t="shared" si="122"/>
        <v>0</v>
      </c>
      <c r="G1951" t="str">
        <f t="shared" si="123"/>
        <v>extra</v>
      </c>
      <c r="J1951">
        <v>1920</v>
      </c>
      <c r="K1951">
        <v>0.84272150745196817</v>
      </c>
    </row>
    <row r="1952" spans="1:11" x14ac:dyDescent="0.25">
      <c r="A1952" s="3">
        <v>38679</v>
      </c>
      <c r="B1952">
        <v>876.22</v>
      </c>
      <c r="C1952">
        <f t="shared" si="120"/>
        <v>1.00760110854291</v>
      </c>
      <c r="D1952">
        <v>1936</v>
      </c>
      <c r="E1952">
        <f t="shared" si="121"/>
        <v>0</v>
      </c>
      <c r="F1952">
        <f t="shared" si="122"/>
        <v>0</v>
      </c>
      <c r="G1952" t="str">
        <f t="shared" si="123"/>
        <v>extra</v>
      </c>
      <c r="J1952">
        <v>1921</v>
      </c>
      <c r="K1952">
        <v>0.84272475310358597</v>
      </c>
    </row>
    <row r="1953" spans="1:11" x14ac:dyDescent="0.25">
      <c r="A1953" s="3">
        <v>38678</v>
      </c>
      <c r="B1953">
        <v>869.61</v>
      </c>
      <c r="C1953">
        <f t="shared" si="120"/>
        <v>0.98386640569314499</v>
      </c>
      <c r="D1953">
        <v>1937</v>
      </c>
      <c r="E1953">
        <f t="shared" si="121"/>
        <v>0</v>
      </c>
      <c r="F1953">
        <f t="shared" si="122"/>
        <v>0</v>
      </c>
      <c r="G1953" t="str">
        <f t="shared" si="123"/>
        <v>extra</v>
      </c>
      <c r="J1953">
        <v>1922</v>
      </c>
      <c r="K1953">
        <v>0.84277953079113543</v>
      </c>
    </row>
    <row r="1954" spans="1:11" x14ac:dyDescent="0.25">
      <c r="A1954" s="3">
        <v>38677</v>
      </c>
      <c r="B1954">
        <v>883.87</v>
      </c>
      <c r="C1954">
        <f t="shared" si="120"/>
        <v>1.0018475698222706</v>
      </c>
      <c r="D1954">
        <v>1938</v>
      </c>
      <c r="E1954">
        <f t="shared" si="121"/>
        <v>0</v>
      </c>
      <c r="F1954">
        <f t="shared" si="122"/>
        <v>0</v>
      </c>
      <c r="G1954" t="str">
        <f t="shared" si="123"/>
        <v>extra</v>
      </c>
      <c r="J1954">
        <v>1923</v>
      </c>
      <c r="K1954">
        <v>0.84277931728848576</v>
      </c>
    </row>
    <row r="1955" spans="1:11" x14ac:dyDescent="0.25">
      <c r="A1955" s="3">
        <v>38674</v>
      </c>
      <c r="B1955">
        <v>882.24</v>
      </c>
      <c r="C1955">
        <f t="shared" si="120"/>
        <v>1.0227090940705965</v>
      </c>
      <c r="D1955">
        <v>1939</v>
      </c>
      <c r="E1955">
        <f t="shared" si="121"/>
        <v>0</v>
      </c>
      <c r="F1955">
        <f t="shared" si="122"/>
        <v>0</v>
      </c>
      <c r="G1955" t="str">
        <f t="shared" si="123"/>
        <v>extra</v>
      </c>
      <c r="J1955">
        <v>1924</v>
      </c>
      <c r="K1955">
        <v>0.84277946934729364</v>
      </c>
    </row>
    <row r="1956" spans="1:11" x14ac:dyDescent="0.25">
      <c r="A1956" s="3">
        <v>38673</v>
      </c>
      <c r="B1956">
        <v>862.65</v>
      </c>
      <c r="C1956">
        <f t="shared" si="120"/>
        <v>0.99946704359815086</v>
      </c>
      <c r="D1956">
        <v>1940</v>
      </c>
      <c r="E1956">
        <f t="shared" si="121"/>
        <v>0</v>
      </c>
      <c r="F1956">
        <f t="shared" si="122"/>
        <v>0</v>
      </c>
      <c r="G1956" t="str">
        <f t="shared" si="123"/>
        <v>extra</v>
      </c>
      <c r="J1956">
        <v>1925</v>
      </c>
      <c r="K1956">
        <v>0.84290567862623789</v>
      </c>
    </row>
    <row r="1957" spans="1:11" x14ac:dyDescent="0.25">
      <c r="A1957" s="3">
        <v>38672</v>
      </c>
      <c r="B1957">
        <v>863.11</v>
      </c>
      <c r="C1957">
        <f t="shared" si="120"/>
        <v>1.0075645261081214</v>
      </c>
      <c r="D1957">
        <v>1941</v>
      </c>
      <c r="E1957">
        <f t="shared" si="121"/>
        <v>0</v>
      </c>
      <c r="F1957">
        <f t="shared" si="122"/>
        <v>0</v>
      </c>
      <c r="G1957" t="str">
        <f t="shared" si="123"/>
        <v>extra</v>
      </c>
      <c r="J1957">
        <v>1926</v>
      </c>
      <c r="K1957">
        <v>0.84290549193017272</v>
      </c>
    </row>
    <row r="1958" spans="1:11" x14ac:dyDescent="0.25">
      <c r="A1958" s="3">
        <v>38671</v>
      </c>
      <c r="B1958">
        <v>856.63</v>
      </c>
      <c r="C1958">
        <f t="shared" si="120"/>
        <v>0.99360892662444611</v>
      </c>
      <c r="D1958">
        <v>1942</v>
      </c>
      <c r="E1958">
        <f t="shared" si="121"/>
        <v>0</v>
      </c>
      <c r="F1958">
        <f t="shared" si="122"/>
        <v>0</v>
      </c>
      <c r="G1958" t="str">
        <f t="shared" si="123"/>
        <v>extra</v>
      </c>
      <c r="J1958">
        <v>1927</v>
      </c>
      <c r="K1958">
        <v>0.84294720071767326</v>
      </c>
    </row>
    <row r="1959" spans="1:11" x14ac:dyDescent="0.25">
      <c r="A1959" s="3">
        <v>38670</v>
      </c>
      <c r="B1959">
        <v>862.14</v>
      </c>
      <c r="C1959">
        <f t="shared" si="120"/>
        <v>0.99693567224412871</v>
      </c>
      <c r="D1959">
        <v>1943</v>
      </c>
      <c r="E1959">
        <f t="shared" si="121"/>
        <v>0</v>
      </c>
      <c r="F1959">
        <f t="shared" si="122"/>
        <v>0</v>
      </c>
      <c r="G1959" t="str">
        <f t="shared" si="123"/>
        <v>extra</v>
      </c>
      <c r="J1959">
        <v>1928</v>
      </c>
      <c r="K1959">
        <v>0.84297579174305148</v>
      </c>
    </row>
    <row r="1960" spans="1:11" x14ac:dyDescent="0.25">
      <c r="A1960" s="3">
        <v>38667</v>
      </c>
      <c r="B1960">
        <v>864.79</v>
      </c>
      <c r="C1960">
        <f t="shared" si="120"/>
        <v>1.0021206081394269</v>
      </c>
      <c r="D1960">
        <v>1944</v>
      </c>
      <c r="E1960">
        <f t="shared" si="121"/>
        <v>0</v>
      </c>
      <c r="F1960">
        <f t="shared" si="122"/>
        <v>0</v>
      </c>
      <c r="G1960" t="str">
        <f t="shared" si="123"/>
        <v>extra</v>
      </c>
      <c r="J1960">
        <v>1929</v>
      </c>
      <c r="K1960">
        <v>0.84306763400687557</v>
      </c>
    </row>
    <row r="1961" spans="1:11" x14ac:dyDescent="0.25">
      <c r="A1961" s="3">
        <v>38666</v>
      </c>
      <c r="B1961">
        <v>862.96</v>
      </c>
      <c r="C1961">
        <f t="shared" si="120"/>
        <v>0.98147284617571795</v>
      </c>
      <c r="D1961">
        <v>1945</v>
      </c>
      <c r="E1961">
        <f t="shared" si="121"/>
        <v>0</v>
      </c>
      <c r="F1961">
        <f t="shared" si="122"/>
        <v>0</v>
      </c>
      <c r="G1961" t="str">
        <f t="shared" si="123"/>
        <v>extra</v>
      </c>
      <c r="J1961">
        <v>1930</v>
      </c>
      <c r="K1961">
        <v>0.84307741669527791</v>
      </c>
    </row>
    <row r="1962" spans="1:11" x14ac:dyDescent="0.25">
      <c r="A1962" s="3">
        <v>38665</v>
      </c>
      <c r="B1962">
        <v>879.25</v>
      </c>
      <c r="C1962">
        <f t="shared" si="120"/>
        <v>0.99742490244123794</v>
      </c>
      <c r="D1962">
        <v>1946</v>
      </c>
      <c r="E1962">
        <f t="shared" si="121"/>
        <v>0</v>
      </c>
      <c r="F1962">
        <f t="shared" si="122"/>
        <v>0</v>
      </c>
      <c r="G1962" t="str">
        <f t="shared" si="123"/>
        <v>extra</v>
      </c>
      <c r="J1962">
        <v>1931</v>
      </c>
      <c r="K1962">
        <v>0.84307832614659739</v>
      </c>
    </row>
    <row r="1963" spans="1:11" x14ac:dyDescent="0.25">
      <c r="A1963" s="3">
        <v>38664</v>
      </c>
      <c r="B1963">
        <v>881.52</v>
      </c>
      <c r="C1963">
        <f t="shared" si="120"/>
        <v>1.0048445746463461</v>
      </c>
      <c r="D1963">
        <v>1947</v>
      </c>
      <c r="E1963">
        <f t="shared" si="121"/>
        <v>0</v>
      </c>
      <c r="F1963">
        <f t="shared" si="122"/>
        <v>0</v>
      </c>
      <c r="G1963" t="str">
        <f t="shared" si="123"/>
        <v>extra</v>
      </c>
      <c r="J1963">
        <v>1932</v>
      </c>
      <c r="K1963">
        <v>0.84308141549839311</v>
      </c>
    </row>
    <row r="1964" spans="1:11" x14ac:dyDescent="0.25">
      <c r="A1964" s="3">
        <v>38663</v>
      </c>
      <c r="B1964">
        <v>877.27</v>
      </c>
      <c r="C1964">
        <f t="shared" si="120"/>
        <v>0.99875905095860462</v>
      </c>
      <c r="D1964">
        <v>1948</v>
      </c>
      <c r="E1964">
        <f t="shared" si="121"/>
        <v>0</v>
      </c>
      <c r="F1964">
        <f t="shared" si="122"/>
        <v>0</v>
      </c>
      <c r="G1964" t="str">
        <f t="shared" si="123"/>
        <v>extra</v>
      </c>
      <c r="J1964">
        <v>1933</v>
      </c>
      <c r="K1964">
        <v>0.84314810789159722</v>
      </c>
    </row>
    <row r="1965" spans="1:11" x14ac:dyDescent="0.25">
      <c r="A1965" s="3">
        <v>38660</v>
      </c>
      <c r="B1965">
        <v>878.36</v>
      </c>
      <c r="C1965">
        <f t="shared" si="120"/>
        <v>1.0043335582057469</v>
      </c>
      <c r="D1965">
        <v>1949</v>
      </c>
      <c r="E1965">
        <f t="shared" si="121"/>
        <v>0</v>
      </c>
      <c r="F1965">
        <f t="shared" si="122"/>
        <v>0</v>
      </c>
      <c r="G1965" t="str">
        <f t="shared" si="123"/>
        <v>extra</v>
      </c>
      <c r="J1965">
        <v>1934</v>
      </c>
      <c r="K1965">
        <v>0.84316256678138901</v>
      </c>
    </row>
    <row r="1966" spans="1:11" x14ac:dyDescent="0.25">
      <c r="A1966" s="3">
        <v>38659</v>
      </c>
      <c r="B1966">
        <v>874.57</v>
      </c>
      <c r="C1966">
        <f t="shared" si="120"/>
        <v>0.9910478543179938</v>
      </c>
      <c r="D1966">
        <v>1950</v>
      </c>
      <c r="E1966">
        <f t="shared" si="121"/>
        <v>0</v>
      </c>
      <c r="F1966">
        <f t="shared" si="122"/>
        <v>0</v>
      </c>
      <c r="G1966" t="str">
        <f t="shared" si="123"/>
        <v>extra</v>
      </c>
      <c r="J1966">
        <v>1935</v>
      </c>
      <c r="K1966">
        <v>0.8431659043867431</v>
      </c>
    </row>
    <row r="1967" spans="1:11" x14ac:dyDescent="0.25">
      <c r="A1967" s="3">
        <v>38658</v>
      </c>
      <c r="B1967">
        <v>882.47</v>
      </c>
      <c r="C1967">
        <f t="shared" si="120"/>
        <v>1.0110097839286942</v>
      </c>
      <c r="D1967">
        <v>1951</v>
      </c>
      <c r="E1967">
        <f t="shared" si="121"/>
        <v>0</v>
      </c>
      <c r="F1967">
        <f t="shared" si="122"/>
        <v>0</v>
      </c>
      <c r="G1967" t="str">
        <f t="shared" si="123"/>
        <v>extra</v>
      </c>
      <c r="J1967">
        <v>1936</v>
      </c>
      <c r="K1967">
        <v>0.84318355665390277</v>
      </c>
    </row>
    <row r="1968" spans="1:11" x14ac:dyDescent="0.25">
      <c r="A1968" s="3">
        <v>38657</v>
      </c>
      <c r="B1968">
        <v>872.86</v>
      </c>
      <c r="C1968">
        <f t="shared" si="120"/>
        <v>0.99609713790112753</v>
      </c>
      <c r="D1968">
        <v>1952</v>
      </c>
      <c r="E1968">
        <f t="shared" si="121"/>
        <v>0</v>
      </c>
      <c r="F1968">
        <f t="shared" si="122"/>
        <v>0</v>
      </c>
      <c r="G1968" t="str">
        <f t="shared" si="123"/>
        <v>extra</v>
      </c>
      <c r="J1968">
        <v>1937</v>
      </c>
      <c r="K1968">
        <v>0.84321292288166116</v>
      </c>
    </row>
    <row r="1969" spans="1:11" x14ac:dyDescent="0.25">
      <c r="A1969" s="3">
        <v>38656</v>
      </c>
      <c r="B1969">
        <v>876.28</v>
      </c>
      <c r="C1969">
        <f t="shared" si="120"/>
        <v>1.0098649333886507</v>
      </c>
      <c r="D1969">
        <v>1953</v>
      </c>
      <c r="E1969">
        <f t="shared" si="121"/>
        <v>0</v>
      </c>
      <c r="F1969">
        <f t="shared" si="122"/>
        <v>0</v>
      </c>
      <c r="G1969" t="str">
        <f t="shared" si="123"/>
        <v>extra</v>
      </c>
      <c r="J1969">
        <v>1938</v>
      </c>
      <c r="K1969">
        <v>0.84337970571819165</v>
      </c>
    </row>
    <row r="1970" spans="1:11" x14ac:dyDescent="0.25">
      <c r="A1970" s="3">
        <v>38653</v>
      </c>
      <c r="B1970">
        <v>867.72</v>
      </c>
      <c r="C1970">
        <f t="shared" si="120"/>
        <v>0.99072890025575444</v>
      </c>
      <c r="D1970">
        <v>1954</v>
      </c>
      <c r="E1970">
        <f t="shared" si="121"/>
        <v>0</v>
      </c>
      <c r="F1970">
        <f t="shared" si="122"/>
        <v>0</v>
      </c>
      <c r="G1970" t="str">
        <f t="shared" si="123"/>
        <v>extra</v>
      </c>
      <c r="J1970">
        <v>1939</v>
      </c>
      <c r="K1970">
        <v>0.84338054751336167</v>
      </c>
    </row>
    <row r="1971" spans="1:11" x14ac:dyDescent="0.25">
      <c r="A1971" s="3">
        <v>38652</v>
      </c>
      <c r="B1971">
        <v>875.84</v>
      </c>
      <c r="C1971">
        <f t="shared" si="120"/>
        <v>1.0000228357425041</v>
      </c>
      <c r="D1971">
        <v>1955</v>
      </c>
      <c r="E1971">
        <f t="shared" si="121"/>
        <v>0</v>
      </c>
      <c r="F1971">
        <f t="shared" si="122"/>
        <v>0</v>
      </c>
      <c r="G1971" t="str">
        <f t="shared" si="123"/>
        <v>extra</v>
      </c>
      <c r="J1971">
        <v>1940</v>
      </c>
      <c r="K1971">
        <v>0.8436660440104411</v>
      </c>
    </row>
    <row r="1972" spans="1:11" x14ac:dyDescent="0.25">
      <c r="A1972" s="3">
        <v>38651</v>
      </c>
      <c r="B1972">
        <v>875.82</v>
      </c>
      <c r="C1972">
        <f t="shared" si="120"/>
        <v>0.97936864705290361</v>
      </c>
      <c r="D1972">
        <v>1956</v>
      </c>
      <c r="E1972">
        <f t="shared" si="121"/>
        <v>0</v>
      </c>
      <c r="F1972">
        <f t="shared" si="122"/>
        <v>0</v>
      </c>
      <c r="G1972" t="str">
        <f t="shared" si="123"/>
        <v>extra</v>
      </c>
      <c r="J1972">
        <v>1941</v>
      </c>
      <c r="K1972">
        <v>0.84366647359373692</v>
      </c>
    </row>
    <row r="1973" spans="1:11" x14ac:dyDescent="0.25">
      <c r="A1973" s="3">
        <v>38650</v>
      </c>
      <c r="B1973">
        <v>894.27</v>
      </c>
      <c r="C1973">
        <f t="shared" si="120"/>
        <v>0.9863453372304638</v>
      </c>
      <c r="D1973">
        <v>1957</v>
      </c>
      <c r="E1973">
        <f t="shared" si="121"/>
        <v>0</v>
      </c>
      <c r="F1973">
        <f t="shared" si="122"/>
        <v>0</v>
      </c>
      <c r="G1973" t="str">
        <f t="shared" si="123"/>
        <v>extra</v>
      </c>
      <c r="J1973">
        <v>1942</v>
      </c>
      <c r="K1973">
        <v>0.84369546681390883</v>
      </c>
    </row>
    <row r="1974" spans="1:11" x14ac:dyDescent="0.25">
      <c r="A1974" s="3">
        <v>38649</v>
      </c>
      <c r="B1974">
        <v>906.65</v>
      </c>
      <c r="C1974">
        <f t="shared" si="120"/>
        <v>1.0024767528001681</v>
      </c>
      <c r="D1974">
        <v>1958</v>
      </c>
      <c r="E1974">
        <f t="shared" si="121"/>
        <v>0</v>
      </c>
      <c r="F1974">
        <f t="shared" si="122"/>
        <v>0</v>
      </c>
      <c r="G1974" t="str">
        <f t="shared" si="123"/>
        <v>extra</v>
      </c>
      <c r="J1974">
        <v>1943</v>
      </c>
      <c r="K1974">
        <v>0.84372373188278615</v>
      </c>
    </row>
    <row r="1975" spans="1:11" x14ac:dyDescent="0.25">
      <c r="A1975" s="3">
        <v>38646</v>
      </c>
      <c r="B1975">
        <v>904.41</v>
      </c>
      <c r="C1975">
        <f t="shared" si="120"/>
        <v>1.0050005000500051</v>
      </c>
      <c r="D1975">
        <v>1959</v>
      </c>
      <c r="E1975">
        <f t="shared" si="121"/>
        <v>0</v>
      </c>
      <c r="F1975">
        <f t="shared" si="122"/>
        <v>0</v>
      </c>
      <c r="G1975" t="str">
        <f t="shared" si="123"/>
        <v>extra</v>
      </c>
      <c r="J1975">
        <v>1944</v>
      </c>
      <c r="K1975">
        <v>0.84373113084592666</v>
      </c>
    </row>
    <row r="1976" spans="1:11" x14ac:dyDescent="0.25">
      <c r="A1976" s="3">
        <v>38645</v>
      </c>
      <c r="B1976">
        <v>899.91</v>
      </c>
      <c r="C1976">
        <f t="shared" si="120"/>
        <v>1.0013018225515722</v>
      </c>
      <c r="D1976">
        <v>1960</v>
      </c>
      <c r="E1976">
        <f t="shared" si="121"/>
        <v>0</v>
      </c>
      <c r="F1976">
        <f t="shared" si="122"/>
        <v>0</v>
      </c>
      <c r="G1976" t="str">
        <f t="shared" si="123"/>
        <v>extra</v>
      </c>
      <c r="J1976">
        <v>1945</v>
      </c>
      <c r="K1976">
        <v>0.8437324323446932</v>
      </c>
    </row>
    <row r="1977" spans="1:11" x14ac:dyDescent="0.25">
      <c r="A1977" s="3">
        <v>38644</v>
      </c>
      <c r="B1977">
        <v>898.74</v>
      </c>
      <c r="C1977">
        <f t="shared" si="120"/>
        <v>0.99598829735360606</v>
      </c>
      <c r="D1977">
        <v>1961</v>
      </c>
      <c r="E1977">
        <f t="shared" si="121"/>
        <v>0</v>
      </c>
      <c r="F1977">
        <f t="shared" si="122"/>
        <v>0</v>
      </c>
      <c r="G1977" t="str">
        <f t="shared" si="123"/>
        <v>extra</v>
      </c>
      <c r="J1977">
        <v>1946</v>
      </c>
      <c r="K1977">
        <v>0.84395112509486392</v>
      </c>
    </row>
    <row r="1978" spans="1:11" x14ac:dyDescent="0.25">
      <c r="A1978" s="3">
        <v>38643</v>
      </c>
      <c r="B1978">
        <v>902.36</v>
      </c>
      <c r="C1978">
        <f t="shared" si="120"/>
        <v>1.0052806310019831</v>
      </c>
      <c r="D1978">
        <v>1962</v>
      </c>
      <c r="E1978">
        <f t="shared" si="121"/>
        <v>0</v>
      </c>
      <c r="F1978">
        <f t="shared" si="122"/>
        <v>0</v>
      </c>
      <c r="G1978" t="str">
        <f t="shared" si="123"/>
        <v>extra</v>
      </c>
      <c r="J1978">
        <v>1947</v>
      </c>
      <c r="K1978">
        <v>0.84395653994320818</v>
      </c>
    </row>
    <row r="1979" spans="1:11" x14ac:dyDescent="0.25">
      <c r="A1979" s="3">
        <v>38642</v>
      </c>
      <c r="B1979">
        <v>897.62</v>
      </c>
      <c r="C1979">
        <f t="shared" si="120"/>
        <v>0.99204261621095902</v>
      </c>
      <c r="D1979">
        <v>1963</v>
      </c>
      <c r="E1979">
        <f t="shared" si="121"/>
        <v>0</v>
      </c>
      <c r="F1979">
        <f t="shared" si="122"/>
        <v>0</v>
      </c>
      <c r="G1979" t="str">
        <f t="shared" si="123"/>
        <v>extra</v>
      </c>
      <c r="J1979">
        <v>1948</v>
      </c>
      <c r="K1979">
        <v>0.84396742467950092</v>
      </c>
    </row>
    <row r="1980" spans="1:11" x14ac:dyDescent="0.25">
      <c r="A1980" s="3">
        <v>38639</v>
      </c>
      <c r="B1980">
        <v>904.82</v>
      </c>
      <c r="C1980">
        <f t="shared" si="120"/>
        <v>0.98726663684273697</v>
      </c>
      <c r="D1980">
        <v>1964</v>
      </c>
      <c r="E1980">
        <f t="shared" si="121"/>
        <v>0</v>
      </c>
      <c r="F1980">
        <f t="shared" si="122"/>
        <v>0</v>
      </c>
      <c r="G1980" t="str">
        <f t="shared" si="123"/>
        <v>extra</v>
      </c>
      <c r="J1980">
        <v>1949</v>
      </c>
      <c r="K1980">
        <v>0.84396901322355444</v>
      </c>
    </row>
    <row r="1981" spans="1:11" x14ac:dyDescent="0.25">
      <c r="A1981" s="3">
        <v>38638</v>
      </c>
      <c r="B1981">
        <v>916.49</v>
      </c>
      <c r="C1981">
        <f t="shared" si="120"/>
        <v>0.99243080521505611</v>
      </c>
      <c r="D1981">
        <v>1965</v>
      </c>
      <c r="E1981">
        <f t="shared" si="121"/>
        <v>0</v>
      </c>
      <c r="F1981">
        <f t="shared" si="122"/>
        <v>0</v>
      </c>
      <c r="G1981" t="str">
        <f t="shared" si="123"/>
        <v>extra</v>
      </c>
      <c r="J1981">
        <v>1950</v>
      </c>
      <c r="K1981">
        <v>0.84397743519374402</v>
      </c>
    </row>
    <row r="1982" spans="1:11" x14ac:dyDescent="0.25">
      <c r="A1982" s="3">
        <v>38637</v>
      </c>
      <c r="B1982">
        <v>923.48</v>
      </c>
      <c r="C1982">
        <f t="shared" si="120"/>
        <v>1.004088200756752</v>
      </c>
      <c r="D1982">
        <v>1966</v>
      </c>
      <c r="E1982">
        <f t="shared" si="121"/>
        <v>0</v>
      </c>
      <c r="F1982">
        <f t="shared" si="122"/>
        <v>0</v>
      </c>
      <c r="G1982" t="str">
        <f t="shared" si="123"/>
        <v>extra</v>
      </c>
      <c r="J1982">
        <v>1951</v>
      </c>
      <c r="K1982">
        <v>0.84403070331833674</v>
      </c>
    </row>
    <row r="1983" spans="1:11" x14ac:dyDescent="0.25">
      <c r="A1983" s="3">
        <v>38636</v>
      </c>
      <c r="B1983">
        <v>919.72</v>
      </c>
      <c r="C1983">
        <f t="shared" si="120"/>
        <v>1.0136666225807873</v>
      </c>
      <c r="D1983">
        <v>1967</v>
      </c>
      <c r="E1983">
        <f t="shared" si="121"/>
        <v>0</v>
      </c>
      <c r="F1983">
        <f t="shared" si="122"/>
        <v>0</v>
      </c>
      <c r="G1983" t="str">
        <f t="shared" si="123"/>
        <v>extra</v>
      </c>
      <c r="J1983">
        <v>1952</v>
      </c>
      <c r="K1983">
        <v>0.84409516828267439</v>
      </c>
    </row>
    <row r="1984" spans="1:11" x14ac:dyDescent="0.25">
      <c r="A1984" s="3">
        <v>38635</v>
      </c>
      <c r="B1984">
        <v>907.32</v>
      </c>
      <c r="C1984">
        <f t="shared" si="120"/>
        <v>0.98902320714200076</v>
      </c>
      <c r="D1984">
        <v>1968</v>
      </c>
      <c r="E1984">
        <f t="shared" si="121"/>
        <v>0</v>
      </c>
      <c r="F1984">
        <f t="shared" si="122"/>
        <v>0</v>
      </c>
      <c r="G1984" t="str">
        <f t="shared" si="123"/>
        <v>extra</v>
      </c>
      <c r="J1984">
        <v>1953</v>
      </c>
      <c r="K1984">
        <v>0.844106515937466</v>
      </c>
    </row>
    <row r="1985" spans="1:11" x14ac:dyDescent="0.25">
      <c r="A1985" s="3">
        <v>38625</v>
      </c>
      <c r="B1985">
        <v>917.39</v>
      </c>
      <c r="C1985">
        <f t="shared" si="120"/>
        <v>1.0015502691136171</v>
      </c>
      <c r="D1985">
        <v>1969</v>
      </c>
      <c r="E1985">
        <f t="shared" si="121"/>
        <v>0</v>
      </c>
      <c r="F1985">
        <f t="shared" si="122"/>
        <v>0</v>
      </c>
      <c r="G1985" t="str">
        <f t="shared" si="123"/>
        <v>extra</v>
      </c>
      <c r="J1985">
        <v>1954</v>
      </c>
      <c r="K1985">
        <v>0.84415767289880483</v>
      </c>
    </row>
    <row r="1986" spans="1:11" x14ac:dyDescent="0.25">
      <c r="A1986" s="3">
        <v>38624</v>
      </c>
      <c r="B1986">
        <v>915.97</v>
      </c>
      <c r="C1986">
        <f t="shared" si="120"/>
        <v>1.0135662989233272</v>
      </c>
      <c r="D1986">
        <v>1970</v>
      </c>
      <c r="E1986">
        <f t="shared" si="121"/>
        <v>0</v>
      </c>
      <c r="F1986">
        <f t="shared" si="122"/>
        <v>0</v>
      </c>
      <c r="G1986" t="str">
        <f t="shared" si="123"/>
        <v>extra</v>
      </c>
      <c r="J1986">
        <v>1955</v>
      </c>
      <c r="K1986">
        <v>0.84421465056923928</v>
      </c>
    </row>
    <row r="1987" spans="1:11" x14ac:dyDescent="0.25">
      <c r="A1987" s="3">
        <v>38623</v>
      </c>
      <c r="B1987">
        <v>903.71</v>
      </c>
      <c r="C1987">
        <f t="shared" si="120"/>
        <v>0.99944703111002975</v>
      </c>
      <c r="D1987">
        <v>1971</v>
      </c>
      <c r="E1987">
        <f t="shared" si="121"/>
        <v>0</v>
      </c>
      <c r="F1987">
        <f t="shared" si="122"/>
        <v>0</v>
      </c>
      <c r="G1987" t="str">
        <f t="shared" si="123"/>
        <v>extra</v>
      </c>
      <c r="J1987">
        <v>1956</v>
      </c>
      <c r="K1987">
        <v>0.8442145674911552</v>
      </c>
    </row>
    <row r="1988" spans="1:11" x14ac:dyDescent="0.25">
      <c r="A1988" s="3">
        <v>38622</v>
      </c>
      <c r="B1988">
        <v>904.21</v>
      </c>
      <c r="C1988">
        <f t="shared" si="120"/>
        <v>0.98446346137096075</v>
      </c>
      <c r="D1988">
        <v>1972</v>
      </c>
      <c r="E1988">
        <f t="shared" si="121"/>
        <v>0</v>
      </c>
      <c r="F1988">
        <f t="shared" si="122"/>
        <v>0</v>
      </c>
      <c r="G1988" t="str">
        <f t="shared" si="123"/>
        <v>extra</v>
      </c>
      <c r="J1988">
        <v>1957</v>
      </c>
      <c r="K1988">
        <v>0.84448446505303176</v>
      </c>
    </row>
    <row r="1989" spans="1:11" x14ac:dyDescent="0.25">
      <c r="A1989" s="3">
        <v>38621</v>
      </c>
      <c r="B1989">
        <v>918.48</v>
      </c>
      <c r="C1989">
        <f t="shared" si="120"/>
        <v>1.0025432516509305</v>
      </c>
      <c r="D1989">
        <v>1973</v>
      </c>
      <c r="E1989">
        <f t="shared" si="121"/>
        <v>0</v>
      </c>
      <c r="F1989">
        <f t="shared" si="122"/>
        <v>0</v>
      </c>
      <c r="G1989" t="str">
        <f t="shared" si="123"/>
        <v>extra</v>
      </c>
      <c r="J1989">
        <v>1958</v>
      </c>
      <c r="K1989">
        <v>0.84460440538930959</v>
      </c>
    </row>
    <row r="1990" spans="1:11" x14ac:dyDescent="0.25">
      <c r="A1990" s="3">
        <v>38618</v>
      </c>
      <c r="B1990">
        <v>916.15</v>
      </c>
      <c r="C1990">
        <f t="shared" si="120"/>
        <v>0.9922882797014958</v>
      </c>
      <c r="D1990">
        <v>1974</v>
      </c>
      <c r="E1990">
        <f t="shared" si="121"/>
        <v>0</v>
      </c>
      <c r="F1990">
        <f t="shared" si="122"/>
        <v>0</v>
      </c>
      <c r="G1990" t="str">
        <f t="shared" si="123"/>
        <v>extra</v>
      </c>
      <c r="J1990">
        <v>1959</v>
      </c>
      <c r="K1990">
        <v>0.84460652312392026</v>
      </c>
    </row>
    <row r="1991" spans="1:11" x14ac:dyDescent="0.25">
      <c r="A1991" s="3">
        <v>38617</v>
      </c>
      <c r="B1991">
        <v>923.27</v>
      </c>
      <c r="C1991">
        <f t="shared" si="120"/>
        <v>0.97762600592969084</v>
      </c>
      <c r="D1991">
        <v>1975</v>
      </c>
      <c r="E1991">
        <f t="shared" si="121"/>
        <v>0</v>
      </c>
      <c r="F1991">
        <f t="shared" si="122"/>
        <v>0</v>
      </c>
      <c r="G1991" t="str">
        <f t="shared" si="123"/>
        <v>extra</v>
      </c>
      <c r="J1991">
        <v>1960</v>
      </c>
      <c r="K1991">
        <v>0.84461829783727382</v>
      </c>
    </row>
    <row r="1992" spans="1:11" x14ac:dyDescent="0.25">
      <c r="A1992" s="3">
        <v>38616</v>
      </c>
      <c r="B1992">
        <v>944.4</v>
      </c>
      <c r="C1992">
        <f t="shared" si="120"/>
        <v>0.98179663378070714</v>
      </c>
      <c r="D1992">
        <v>1976</v>
      </c>
      <c r="E1992">
        <f t="shared" si="121"/>
        <v>0</v>
      </c>
      <c r="F1992">
        <f t="shared" si="122"/>
        <v>0</v>
      </c>
      <c r="G1992" t="str">
        <f t="shared" si="123"/>
        <v>extra</v>
      </c>
      <c r="J1992">
        <v>1961</v>
      </c>
      <c r="K1992">
        <v>0.84461846726382417</v>
      </c>
    </row>
    <row r="1993" spans="1:11" x14ac:dyDescent="0.25">
      <c r="A1993" s="3">
        <v>38615</v>
      </c>
      <c r="B1993">
        <v>961.91</v>
      </c>
      <c r="C1993">
        <f t="shared" si="120"/>
        <v>0.99050590549154072</v>
      </c>
      <c r="D1993">
        <v>1977</v>
      </c>
      <c r="E1993">
        <f t="shared" si="121"/>
        <v>0</v>
      </c>
      <c r="F1993">
        <f t="shared" si="122"/>
        <v>0</v>
      </c>
      <c r="G1993" t="str">
        <f t="shared" si="123"/>
        <v>extra</v>
      </c>
      <c r="J1993">
        <v>1962</v>
      </c>
      <c r="K1993">
        <v>0.84463029631231734</v>
      </c>
    </row>
    <row r="1994" spans="1:11" x14ac:dyDescent="0.25">
      <c r="A1994" s="3">
        <v>38614</v>
      </c>
      <c r="B1994">
        <v>971.13</v>
      </c>
      <c r="C1994">
        <f t="shared" si="120"/>
        <v>1.0037623127887627</v>
      </c>
      <c r="D1994">
        <v>1978</v>
      </c>
      <c r="E1994">
        <f t="shared" si="121"/>
        <v>0</v>
      </c>
      <c r="F1994">
        <f t="shared" si="122"/>
        <v>0</v>
      </c>
      <c r="G1994" t="str">
        <f t="shared" si="123"/>
        <v>extra</v>
      </c>
      <c r="J1994">
        <v>1963</v>
      </c>
      <c r="K1994">
        <v>0.84464360066376942</v>
      </c>
    </row>
    <row r="1995" spans="1:11" x14ac:dyDescent="0.25">
      <c r="A1995" s="3">
        <v>38611</v>
      </c>
      <c r="B1995">
        <v>967.49</v>
      </c>
      <c r="C1995">
        <f t="shared" si="120"/>
        <v>0.99783413607813609</v>
      </c>
      <c r="D1995">
        <v>1979</v>
      </c>
      <c r="E1995">
        <f t="shared" si="121"/>
        <v>0</v>
      </c>
      <c r="F1995">
        <f t="shared" si="122"/>
        <v>0</v>
      </c>
      <c r="G1995" t="str">
        <f t="shared" si="123"/>
        <v>extra</v>
      </c>
      <c r="J1995">
        <v>1964</v>
      </c>
      <c r="K1995">
        <v>0.84468596949154739</v>
      </c>
    </row>
    <row r="1996" spans="1:11" x14ac:dyDescent="0.25">
      <c r="A1996" s="3">
        <v>38610</v>
      </c>
      <c r="B1996">
        <v>969.59</v>
      </c>
      <c r="C1996">
        <f t="shared" si="120"/>
        <v>0.99938156443583215</v>
      </c>
      <c r="D1996">
        <v>1980</v>
      </c>
      <c r="E1996">
        <f t="shared" si="121"/>
        <v>0</v>
      </c>
      <c r="F1996">
        <f t="shared" si="122"/>
        <v>0</v>
      </c>
      <c r="G1996" t="str">
        <f t="shared" si="123"/>
        <v>extra</v>
      </c>
      <c r="J1996">
        <v>1965</v>
      </c>
      <c r="K1996">
        <v>0.84479052838523039</v>
      </c>
    </row>
    <row r="1997" spans="1:11" x14ac:dyDescent="0.25">
      <c r="A1997" s="3">
        <v>38609</v>
      </c>
      <c r="B1997">
        <v>970.19</v>
      </c>
      <c r="C1997">
        <f t="shared" si="120"/>
        <v>1.0066613403612896</v>
      </c>
      <c r="D1997">
        <v>1981</v>
      </c>
      <c r="E1997">
        <f t="shared" si="121"/>
        <v>0</v>
      </c>
      <c r="F1997">
        <f t="shared" si="122"/>
        <v>0</v>
      </c>
      <c r="G1997" t="str">
        <f t="shared" si="123"/>
        <v>extra</v>
      </c>
      <c r="J1997">
        <v>1966</v>
      </c>
      <c r="K1997">
        <v>0.84482894574797329</v>
      </c>
    </row>
    <row r="1998" spans="1:11" x14ac:dyDescent="0.25">
      <c r="A1998" s="3">
        <v>38608</v>
      </c>
      <c r="B1998">
        <v>963.77</v>
      </c>
      <c r="C1998">
        <f t="shared" si="120"/>
        <v>1.0150289626119009</v>
      </c>
      <c r="D1998">
        <v>1982</v>
      </c>
      <c r="E1998">
        <f t="shared" si="121"/>
        <v>0</v>
      </c>
      <c r="F1998">
        <f t="shared" si="122"/>
        <v>0</v>
      </c>
      <c r="G1998" t="str">
        <f t="shared" si="123"/>
        <v>extra</v>
      </c>
      <c r="J1998">
        <v>1967</v>
      </c>
      <c r="K1998">
        <v>0.84483641980498636</v>
      </c>
    </row>
    <row r="1999" spans="1:11" x14ac:dyDescent="0.25">
      <c r="A1999" s="3">
        <v>38607</v>
      </c>
      <c r="B1999">
        <v>949.5</v>
      </c>
      <c r="C1999">
        <f t="shared" si="120"/>
        <v>1.0004636166311931</v>
      </c>
      <c r="D1999">
        <v>1983</v>
      </c>
      <c r="E1999">
        <f t="shared" si="121"/>
        <v>0</v>
      </c>
      <c r="F1999">
        <f t="shared" si="122"/>
        <v>0</v>
      </c>
      <c r="G1999" t="str">
        <f t="shared" si="123"/>
        <v>extra</v>
      </c>
      <c r="J1999">
        <v>1968</v>
      </c>
      <c r="K1999">
        <v>0.84493776061582693</v>
      </c>
    </row>
    <row r="2000" spans="1:11" x14ac:dyDescent="0.25">
      <c r="A2000" s="3">
        <v>38604</v>
      </c>
      <c r="B2000">
        <v>949.06</v>
      </c>
      <c r="C2000">
        <f t="shared" si="120"/>
        <v>0.99348882003182315</v>
      </c>
      <c r="D2000">
        <v>1984</v>
      </c>
      <c r="E2000">
        <f t="shared" si="121"/>
        <v>0</v>
      </c>
      <c r="F2000">
        <f t="shared" si="122"/>
        <v>0</v>
      </c>
      <c r="G2000" t="str">
        <f t="shared" si="123"/>
        <v>extra</v>
      </c>
      <c r="J2000">
        <v>1969</v>
      </c>
      <c r="K2000">
        <v>0.84501613119492913</v>
      </c>
    </row>
    <row r="2001" spans="1:11" x14ac:dyDescent="0.25">
      <c r="A2001" s="3">
        <v>38603</v>
      </c>
      <c r="B2001">
        <v>955.28</v>
      </c>
      <c r="C2001">
        <f t="shared" si="120"/>
        <v>1.0026554710049855</v>
      </c>
      <c r="D2001">
        <v>1985</v>
      </c>
      <c r="E2001">
        <f t="shared" si="121"/>
        <v>0</v>
      </c>
      <c r="F2001">
        <f t="shared" si="122"/>
        <v>0</v>
      </c>
      <c r="G2001" t="str">
        <f t="shared" si="123"/>
        <v>extra</v>
      </c>
      <c r="J2001">
        <v>1970</v>
      </c>
      <c r="K2001">
        <v>0.84501659210944957</v>
      </c>
    </row>
    <row r="2002" spans="1:11" x14ac:dyDescent="0.25">
      <c r="A2002" s="3">
        <v>38602</v>
      </c>
      <c r="B2002">
        <v>952.75</v>
      </c>
      <c r="C2002">
        <f t="shared" ref="C2002:C2065" si="124">B2002/B2003</f>
        <v>1.0172323592530508</v>
      </c>
      <c r="D2002">
        <v>1986</v>
      </c>
      <c r="E2002">
        <f t="shared" ref="E2002:E2065" si="125">IF(D2002&gt;$B$6,0,LN(C2002))</f>
        <v>0</v>
      </c>
      <c r="F2002">
        <f t="shared" ref="F2002:F2065" si="126">IF(D2002&gt;$B$6,0,(E2002-$B$7)^2)</f>
        <v>0</v>
      </c>
      <c r="G2002" t="str">
        <f t="shared" ref="G2002:G2065" si="127">IF(D2002&lt;=$B$6,E2002,"extra")</f>
        <v>extra</v>
      </c>
      <c r="J2002">
        <v>1971</v>
      </c>
      <c r="K2002">
        <v>0.84511636226370612</v>
      </c>
    </row>
    <row r="2003" spans="1:11" x14ac:dyDescent="0.25">
      <c r="A2003" s="3">
        <v>38601</v>
      </c>
      <c r="B2003">
        <v>936.61</v>
      </c>
      <c r="C2003">
        <f t="shared" si="124"/>
        <v>0.98310083866024289</v>
      </c>
      <c r="D2003">
        <v>1987</v>
      </c>
      <c r="E2003">
        <f t="shared" si="125"/>
        <v>0</v>
      </c>
      <c r="F2003">
        <f t="shared" si="126"/>
        <v>0</v>
      </c>
      <c r="G2003" t="str">
        <f t="shared" si="127"/>
        <v>extra</v>
      </c>
      <c r="J2003">
        <v>1972</v>
      </c>
      <c r="K2003">
        <v>0.84511678286341196</v>
      </c>
    </row>
    <row r="2004" spans="1:11" x14ac:dyDescent="0.25">
      <c r="A2004" s="3">
        <v>38600</v>
      </c>
      <c r="B2004">
        <v>952.71</v>
      </c>
      <c r="C2004">
        <f t="shared" si="124"/>
        <v>1.0051061854473715</v>
      </c>
      <c r="D2004">
        <v>1988</v>
      </c>
      <c r="E2004">
        <f t="shared" si="125"/>
        <v>0</v>
      </c>
      <c r="F2004">
        <f t="shared" si="126"/>
        <v>0</v>
      </c>
      <c r="G2004" t="str">
        <f t="shared" si="127"/>
        <v>extra</v>
      </c>
      <c r="J2004">
        <v>1973</v>
      </c>
      <c r="K2004">
        <v>0.84527081182428798</v>
      </c>
    </row>
    <row r="2005" spans="1:11" x14ac:dyDescent="0.25">
      <c r="A2005" s="3">
        <v>38597</v>
      </c>
      <c r="B2005">
        <v>947.87</v>
      </c>
      <c r="C2005">
        <f t="shared" si="124"/>
        <v>1.0035149012757398</v>
      </c>
      <c r="D2005">
        <v>1989</v>
      </c>
      <c r="E2005">
        <f t="shared" si="125"/>
        <v>0</v>
      </c>
      <c r="F2005">
        <f t="shared" si="126"/>
        <v>0</v>
      </c>
      <c r="G2005" t="str">
        <f t="shared" si="127"/>
        <v>extra</v>
      </c>
      <c r="J2005">
        <v>1974</v>
      </c>
      <c r="K2005">
        <v>0.84527311451386034</v>
      </c>
    </row>
    <row r="2006" spans="1:11" x14ac:dyDescent="0.25">
      <c r="A2006" s="3">
        <v>38596</v>
      </c>
      <c r="B2006">
        <v>944.55</v>
      </c>
      <c r="C2006">
        <f t="shared" si="124"/>
        <v>1.0179327736526171</v>
      </c>
      <c r="D2006">
        <v>1990</v>
      </c>
      <c r="E2006">
        <f t="shared" si="125"/>
        <v>0</v>
      </c>
      <c r="F2006">
        <f t="shared" si="126"/>
        <v>0</v>
      </c>
      <c r="G2006" t="str">
        <f t="shared" si="127"/>
        <v>extra</v>
      </c>
      <c r="J2006">
        <v>1975</v>
      </c>
      <c r="K2006">
        <v>0.84531287746762018</v>
      </c>
    </row>
    <row r="2007" spans="1:11" x14ac:dyDescent="0.25">
      <c r="A2007" s="3">
        <v>38595</v>
      </c>
      <c r="B2007">
        <v>927.91</v>
      </c>
      <c r="C2007">
        <f t="shared" si="124"/>
        <v>1.0142423050017488</v>
      </c>
      <c r="D2007">
        <v>1991</v>
      </c>
      <c r="E2007">
        <f t="shared" si="125"/>
        <v>0</v>
      </c>
      <c r="F2007">
        <f t="shared" si="126"/>
        <v>0</v>
      </c>
      <c r="G2007" t="str">
        <f t="shared" si="127"/>
        <v>extra</v>
      </c>
      <c r="J2007">
        <v>1976</v>
      </c>
      <c r="K2007">
        <v>0.84562843190941461</v>
      </c>
    </row>
    <row r="2008" spans="1:11" x14ac:dyDescent="0.25">
      <c r="A2008" s="3">
        <v>38594</v>
      </c>
      <c r="B2008">
        <v>914.88</v>
      </c>
      <c r="C2008">
        <f t="shared" si="124"/>
        <v>0.99728571895745444</v>
      </c>
      <c r="D2008">
        <v>1992</v>
      </c>
      <c r="E2008">
        <f t="shared" si="125"/>
        <v>0</v>
      </c>
      <c r="F2008">
        <f t="shared" si="126"/>
        <v>0</v>
      </c>
      <c r="G2008" t="str">
        <f t="shared" si="127"/>
        <v>extra</v>
      </c>
      <c r="J2008">
        <v>1977</v>
      </c>
      <c r="K2008">
        <v>0.84583800642618934</v>
      </c>
    </row>
    <row r="2009" spans="1:11" x14ac:dyDescent="0.25">
      <c r="A2009" s="3">
        <v>38593</v>
      </c>
      <c r="B2009">
        <v>917.37</v>
      </c>
      <c r="C2009">
        <f t="shared" si="124"/>
        <v>0.98827901966065179</v>
      </c>
      <c r="D2009">
        <v>1993</v>
      </c>
      <c r="E2009">
        <f t="shared" si="125"/>
        <v>0</v>
      </c>
      <c r="F2009">
        <f t="shared" si="126"/>
        <v>0</v>
      </c>
      <c r="G2009" t="str">
        <f t="shared" si="127"/>
        <v>extra</v>
      </c>
      <c r="J2009">
        <v>1978</v>
      </c>
      <c r="K2009">
        <v>0.84589683209670885</v>
      </c>
    </row>
    <row r="2010" spans="1:11" x14ac:dyDescent="0.25">
      <c r="A2010" s="3">
        <v>38590</v>
      </c>
      <c r="B2010">
        <v>928.25</v>
      </c>
      <c r="C2010">
        <f t="shared" si="124"/>
        <v>0.99800023653116299</v>
      </c>
      <c r="D2010">
        <v>1994</v>
      </c>
      <c r="E2010">
        <f t="shared" si="125"/>
        <v>0</v>
      </c>
      <c r="F2010">
        <f t="shared" si="126"/>
        <v>0</v>
      </c>
      <c r="G2010" t="str">
        <f t="shared" si="127"/>
        <v>extra</v>
      </c>
      <c r="J2010">
        <v>1979</v>
      </c>
      <c r="K2010">
        <v>0.84590308762471322</v>
      </c>
    </row>
    <row r="2011" spans="1:11" x14ac:dyDescent="0.25">
      <c r="A2011" s="3">
        <v>38589</v>
      </c>
      <c r="B2011">
        <v>930.11</v>
      </c>
      <c r="C2011">
        <f t="shared" si="124"/>
        <v>0.99941976038252833</v>
      </c>
      <c r="D2011">
        <v>1995</v>
      </c>
      <c r="E2011">
        <f t="shared" si="125"/>
        <v>0</v>
      </c>
      <c r="F2011">
        <f t="shared" si="126"/>
        <v>0</v>
      </c>
      <c r="G2011" t="str">
        <f t="shared" si="127"/>
        <v>extra</v>
      </c>
      <c r="J2011">
        <v>1980</v>
      </c>
      <c r="K2011">
        <v>0.84590692183434579</v>
      </c>
    </row>
    <row r="2012" spans="1:11" x14ac:dyDescent="0.25">
      <c r="A2012" s="3">
        <v>38588</v>
      </c>
      <c r="B2012">
        <v>930.65</v>
      </c>
      <c r="C2012">
        <f t="shared" si="124"/>
        <v>1.0078405042180614</v>
      </c>
      <c r="D2012">
        <v>1996</v>
      </c>
      <c r="E2012">
        <f t="shared" si="125"/>
        <v>0</v>
      </c>
      <c r="F2012">
        <f t="shared" si="126"/>
        <v>0</v>
      </c>
      <c r="G2012" t="str">
        <f t="shared" si="127"/>
        <v>extra</v>
      </c>
      <c r="J2012">
        <v>1981</v>
      </c>
      <c r="K2012">
        <v>0.84590737813637307</v>
      </c>
    </row>
    <row r="2013" spans="1:11" x14ac:dyDescent="0.25">
      <c r="A2013" s="3">
        <v>38587</v>
      </c>
      <c r="B2013">
        <v>923.41</v>
      </c>
      <c r="C2013">
        <f t="shared" si="124"/>
        <v>0.99113419987763907</v>
      </c>
      <c r="D2013">
        <v>1997</v>
      </c>
      <c r="E2013">
        <f t="shared" si="125"/>
        <v>0</v>
      </c>
      <c r="F2013">
        <f t="shared" si="126"/>
        <v>0</v>
      </c>
      <c r="G2013" t="str">
        <f t="shared" si="127"/>
        <v>extra</v>
      </c>
      <c r="J2013">
        <v>1982</v>
      </c>
      <c r="K2013">
        <v>0.84592983828748447</v>
      </c>
    </row>
    <row r="2014" spans="1:11" x14ac:dyDescent="0.25">
      <c r="A2014" s="3">
        <v>38586</v>
      </c>
      <c r="B2014">
        <v>931.67</v>
      </c>
      <c r="C2014">
        <f t="shared" si="124"/>
        <v>1.0093604758241876</v>
      </c>
      <c r="D2014">
        <v>1998</v>
      </c>
      <c r="E2014">
        <f t="shared" si="125"/>
        <v>0</v>
      </c>
      <c r="F2014">
        <f t="shared" si="126"/>
        <v>0</v>
      </c>
      <c r="G2014" t="str">
        <f t="shared" si="127"/>
        <v>extra</v>
      </c>
      <c r="J2014">
        <v>1983</v>
      </c>
      <c r="K2014">
        <v>0.84605338372824535</v>
      </c>
    </row>
    <row r="2015" spans="1:11" x14ac:dyDescent="0.25">
      <c r="A2015" s="3">
        <v>38583</v>
      </c>
      <c r="B2015">
        <v>923.03</v>
      </c>
      <c r="C2015">
        <f t="shared" si="124"/>
        <v>1.0025633506033649</v>
      </c>
      <c r="D2015">
        <v>1999</v>
      </c>
      <c r="E2015">
        <f t="shared" si="125"/>
        <v>0</v>
      </c>
      <c r="F2015">
        <f t="shared" si="126"/>
        <v>0</v>
      </c>
      <c r="G2015" t="str">
        <f t="shared" si="127"/>
        <v>extra</v>
      </c>
      <c r="J2015">
        <v>1984</v>
      </c>
      <c r="K2015">
        <v>0.84605316848636469</v>
      </c>
    </row>
    <row r="2016" spans="1:11" x14ac:dyDescent="0.25">
      <c r="A2016" s="3">
        <v>38582</v>
      </c>
      <c r="B2016">
        <v>920.67</v>
      </c>
      <c r="C2016">
        <f t="shared" si="124"/>
        <v>0.96606541379418887</v>
      </c>
      <c r="D2016">
        <v>2000</v>
      </c>
      <c r="E2016">
        <f t="shared" si="125"/>
        <v>0</v>
      </c>
      <c r="F2016">
        <f t="shared" si="126"/>
        <v>0</v>
      </c>
      <c r="G2016" t="str">
        <f t="shared" si="127"/>
        <v>extra</v>
      </c>
      <c r="J2016">
        <v>1985</v>
      </c>
      <c r="K2016">
        <v>0.84608184168474854</v>
      </c>
    </row>
    <row r="2017" spans="1:11" x14ac:dyDescent="0.25">
      <c r="A2017" s="3">
        <v>38581</v>
      </c>
      <c r="B2017">
        <v>953.01</v>
      </c>
      <c r="C2017">
        <f t="shared" si="124"/>
        <v>1.0084228347706472</v>
      </c>
      <c r="D2017">
        <v>2001</v>
      </c>
      <c r="E2017">
        <f t="shared" si="125"/>
        <v>0</v>
      </c>
      <c r="F2017">
        <f t="shared" si="126"/>
        <v>0</v>
      </c>
      <c r="G2017" t="str">
        <f t="shared" si="127"/>
        <v>extra</v>
      </c>
      <c r="J2017">
        <v>1986</v>
      </c>
      <c r="K2017">
        <v>0.84608448354026011</v>
      </c>
    </row>
    <row r="2018" spans="1:11" x14ac:dyDescent="0.25">
      <c r="A2018" s="3">
        <v>38580</v>
      </c>
      <c r="B2018">
        <v>945.05</v>
      </c>
      <c r="C2018">
        <f t="shared" si="124"/>
        <v>0.99009952854897842</v>
      </c>
      <c r="D2018">
        <v>2002</v>
      </c>
      <c r="E2018">
        <f t="shared" si="125"/>
        <v>0</v>
      </c>
      <c r="F2018">
        <f t="shared" si="126"/>
        <v>0</v>
      </c>
      <c r="G2018" t="str">
        <f t="shared" si="127"/>
        <v>extra</v>
      </c>
      <c r="J2018">
        <v>1987</v>
      </c>
      <c r="K2018">
        <v>0.84624778042902205</v>
      </c>
    </row>
    <row r="2019" spans="1:11" x14ac:dyDescent="0.25">
      <c r="A2019" s="3">
        <v>38579</v>
      </c>
      <c r="B2019">
        <v>954.5</v>
      </c>
      <c r="C2019">
        <f t="shared" si="124"/>
        <v>1.0172544255096929</v>
      </c>
      <c r="D2019">
        <v>2003</v>
      </c>
      <c r="E2019">
        <f t="shared" si="125"/>
        <v>0</v>
      </c>
      <c r="F2019">
        <f t="shared" si="126"/>
        <v>0</v>
      </c>
      <c r="G2019" t="str">
        <f t="shared" si="127"/>
        <v>extra</v>
      </c>
      <c r="J2019">
        <v>1988</v>
      </c>
      <c r="K2019">
        <v>0.8464287269761771</v>
      </c>
    </row>
    <row r="2020" spans="1:11" x14ac:dyDescent="0.25">
      <c r="A2020" s="3">
        <v>38576</v>
      </c>
      <c r="B2020">
        <v>938.31</v>
      </c>
      <c r="C2020">
        <f t="shared" si="124"/>
        <v>0.98356376901225373</v>
      </c>
      <c r="D2020">
        <v>2004</v>
      </c>
      <c r="E2020">
        <f t="shared" si="125"/>
        <v>0</v>
      </c>
      <c r="F2020">
        <f t="shared" si="126"/>
        <v>0</v>
      </c>
      <c r="G2020" t="str">
        <f t="shared" si="127"/>
        <v>extra</v>
      </c>
      <c r="J2020">
        <v>1989</v>
      </c>
      <c r="K2020">
        <v>0.84644122952345269</v>
      </c>
    </row>
    <row r="2021" spans="1:11" x14ac:dyDescent="0.25">
      <c r="A2021" s="3">
        <v>38575</v>
      </c>
      <c r="B2021">
        <v>953.99</v>
      </c>
      <c r="C2021">
        <f t="shared" si="124"/>
        <v>1.0144836606867509</v>
      </c>
      <c r="D2021">
        <v>2005</v>
      </c>
      <c r="E2021">
        <f t="shared" si="125"/>
        <v>0</v>
      </c>
      <c r="F2021">
        <f t="shared" si="126"/>
        <v>0</v>
      </c>
      <c r="G2021" t="str">
        <f t="shared" si="127"/>
        <v>extra</v>
      </c>
      <c r="J2021">
        <v>1990</v>
      </c>
      <c r="K2021">
        <v>0.84644651999683662</v>
      </c>
    </row>
    <row r="2022" spans="1:11" x14ac:dyDescent="0.25">
      <c r="A2022" s="3">
        <v>38574</v>
      </c>
      <c r="B2022">
        <v>940.37</v>
      </c>
      <c r="C2022">
        <f t="shared" si="124"/>
        <v>1.0078128349123332</v>
      </c>
      <c r="D2022">
        <v>2006</v>
      </c>
      <c r="E2022">
        <f t="shared" si="125"/>
        <v>0</v>
      </c>
      <c r="F2022">
        <f t="shared" si="126"/>
        <v>0</v>
      </c>
      <c r="G2022" t="str">
        <f t="shared" si="127"/>
        <v>extra</v>
      </c>
      <c r="J2022">
        <v>1991</v>
      </c>
      <c r="K2022">
        <v>0.84662348501619367</v>
      </c>
    </row>
    <row r="2023" spans="1:11" x14ac:dyDescent="0.25">
      <c r="A2023" s="3">
        <v>38573</v>
      </c>
      <c r="B2023">
        <v>933.08</v>
      </c>
      <c r="C2023">
        <f t="shared" si="124"/>
        <v>1.0060487131659246</v>
      </c>
      <c r="D2023">
        <v>2007</v>
      </c>
      <c r="E2023">
        <f t="shared" si="125"/>
        <v>0</v>
      </c>
      <c r="F2023">
        <f t="shared" si="126"/>
        <v>0</v>
      </c>
      <c r="G2023" t="str">
        <f t="shared" si="127"/>
        <v>extra</v>
      </c>
      <c r="J2023">
        <v>1992</v>
      </c>
      <c r="K2023">
        <v>0.84673375724484179</v>
      </c>
    </row>
    <row r="2024" spans="1:11" x14ac:dyDescent="0.25">
      <c r="A2024" s="3">
        <v>38572</v>
      </c>
      <c r="B2024">
        <v>927.47</v>
      </c>
      <c r="C2024">
        <f t="shared" si="124"/>
        <v>1.0039727213682617</v>
      </c>
      <c r="D2024">
        <v>2008</v>
      </c>
      <c r="E2024">
        <f t="shared" si="125"/>
        <v>0</v>
      </c>
      <c r="F2024">
        <f t="shared" si="126"/>
        <v>0</v>
      </c>
      <c r="G2024" t="str">
        <f t="shared" si="127"/>
        <v>extra</v>
      </c>
      <c r="J2024">
        <v>1993</v>
      </c>
      <c r="K2024">
        <v>0.84673956312538745</v>
      </c>
    </row>
    <row r="2025" spans="1:11" x14ac:dyDescent="0.25">
      <c r="A2025" s="3">
        <v>38569</v>
      </c>
      <c r="B2025">
        <v>923.8</v>
      </c>
      <c r="C2025">
        <f t="shared" si="124"/>
        <v>1.021733119504507</v>
      </c>
      <c r="D2025">
        <v>2009</v>
      </c>
      <c r="E2025">
        <f t="shared" si="125"/>
        <v>0</v>
      </c>
      <c r="F2025">
        <f t="shared" si="126"/>
        <v>0</v>
      </c>
      <c r="G2025" t="str">
        <f t="shared" si="127"/>
        <v>extra</v>
      </c>
      <c r="J2025">
        <v>1994</v>
      </c>
      <c r="K2025">
        <v>0.8468281839123869</v>
      </c>
    </row>
    <row r="2026" spans="1:11" x14ac:dyDescent="0.25">
      <c r="A2026" s="3">
        <v>38568</v>
      </c>
      <c r="B2026">
        <v>904.15</v>
      </c>
      <c r="C2026">
        <f t="shared" si="124"/>
        <v>0.99404114031905177</v>
      </c>
      <c r="D2026">
        <v>2010</v>
      </c>
      <c r="E2026">
        <f t="shared" si="125"/>
        <v>0</v>
      </c>
      <c r="F2026">
        <f t="shared" si="126"/>
        <v>0</v>
      </c>
      <c r="G2026" t="str">
        <f t="shared" si="127"/>
        <v>extra</v>
      </c>
      <c r="J2026">
        <v>1995</v>
      </c>
      <c r="K2026">
        <v>0.84683156895820388</v>
      </c>
    </row>
    <row r="2027" spans="1:11" x14ac:dyDescent="0.25">
      <c r="A2027" s="3">
        <v>38567</v>
      </c>
      <c r="B2027">
        <v>909.57</v>
      </c>
      <c r="C2027">
        <f t="shared" si="124"/>
        <v>1.0066180457951062</v>
      </c>
      <c r="D2027">
        <v>2011</v>
      </c>
      <c r="E2027">
        <f t="shared" si="125"/>
        <v>0</v>
      </c>
      <c r="F2027">
        <f t="shared" si="126"/>
        <v>0</v>
      </c>
      <c r="G2027" t="str">
        <f t="shared" si="127"/>
        <v>extra</v>
      </c>
      <c r="J2027">
        <v>1996</v>
      </c>
      <c r="K2027">
        <v>0.84683200165948336</v>
      </c>
    </row>
    <row r="2028" spans="1:11" x14ac:dyDescent="0.25">
      <c r="A2028" s="3">
        <v>38566</v>
      </c>
      <c r="B2028">
        <v>903.59</v>
      </c>
      <c r="C2028">
        <f t="shared" si="124"/>
        <v>1.0134477344100494</v>
      </c>
      <c r="D2028">
        <v>2012</v>
      </c>
      <c r="E2028">
        <f t="shared" si="125"/>
        <v>0</v>
      </c>
      <c r="F2028">
        <f t="shared" si="126"/>
        <v>0</v>
      </c>
      <c r="G2028" t="str">
        <f t="shared" si="127"/>
        <v>extra</v>
      </c>
      <c r="J2028">
        <v>1997</v>
      </c>
      <c r="K2028">
        <v>0.84686366185583861</v>
      </c>
    </row>
    <row r="2029" spans="1:11" x14ac:dyDescent="0.25">
      <c r="A2029" s="3">
        <v>38565</v>
      </c>
      <c r="B2029">
        <v>891.6</v>
      </c>
      <c r="C2029">
        <f t="shared" si="124"/>
        <v>1.0038731760043236</v>
      </c>
      <c r="D2029">
        <v>2013</v>
      </c>
      <c r="E2029">
        <f t="shared" si="125"/>
        <v>0</v>
      </c>
      <c r="F2029">
        <f t="shared" si="126"/>
        <v>0</v>
      </c>
      <c r="G2029" t="str">
        <f t="shared" si="127"/>
        <v>extra</v>
      </c>
      <c r="J2029">
        <v>1998</v>
      </c>
      <c r="K2029">
        <v>0.84691534875821994</v>
      </c>
    </row>
    <row r="2030" spans="1:11" x14ac:dyDescent="0.25">
      <c r="A2030" s="3">
        <v>38562</v>
      </c>
      <c r="B2030">
        <v>888.16</v>
      </c>
      <c r="C2030">
        <f t="shared" si="124"/>
        <v>0.99694683908045978</v>
      </c>
      <c r="D2030">
        <v>2014</v>
      </c>
      <c r="E2030">
        <f t="shared" si="125"/>
        <v>0</v>
      </c>
      <c r="F2030">
        <f t="shared" si="126"/>
        <v>0</v>
      </c>
      <c r="G2030" t="str">
        <f t="shared" si="127"/>
        <v>extra</v>
      </c>
      <c r="J2030">
        <v>1999</v>
      </c>
      <c r="K2030">
        <v>0.84696143476334596</v>
      </c>
    </row>
    <row r="2031" spans="1:11" x14ac:dyDescent="0.25">
      <c r="A2031" s="3">
        <v>38561</v>
      </c>
      <c r="B2031">
        <v>890.88</v>
      </c>
      <c r="C2031">
        <f t="shared" si="124"/>
        <v>0.99649892059372935</v>
      </c>
      <c r="D2031">
        <v>2015</v>
      </c>
      <c r="E2031">
        <f t="shared" si="125"/>
        <v>0</v>
      </c>
      <c r="F2031">
        <f t="shared" si="126"/>
        <v>0</v>
      </c>
      <c r="G2031" t="str">
        <f t="shared" si="127"/>
        <v>extra</v>
      </c>
      <c r="J2031">
        <v>2000</v>
      </c>
      <c r="K2031">
        <v>0.84696380809813676</v>
      </c>
    </row>
    <row r="2032" spans="1:11" x14ac:dyDescent="0.25">
      <c r="A2032" s="3">
        <v>38560</v>
      </c>
      <c r="B2032">
        <v>894.01</v>
      </c>
      <c r="C2032">
        <f t="shared" si="124"/>
        <v>1.0200004563709382</v>
      </c>
      <c r="D2032">
        <v>2016</v>
      </c>
      <c r="E2032">
        <f t="shared" si="125"/>
        <v>0</v>
      </c>
      <c r="F2032">
        <f t="shared" si="126"/>
        <v>0</v>
      </c>
      <c r="G2032" t="str">
        <f t="shared" si="127"/>
        <v>extra</v>
      </c>
      <c r="J2032">
        <v>2001</v>
      </c>
      <c r="K2032">
        <v>0.84768651725270339</v>
      </c>
    </row>
    <row r="2033" spans="1:11" x14ac:dyDescent="0.25">
      <c r="A2033" s="3">
        <v>38559</v>
      </c>
      <c r="B2033">
        <v>876.48</v>
      </c>
      <c r="C2033">
        <f t="shared" si="124"/>
        <v>1.0228975561935438</v>
      </c>
      <c r="D2033">
        <v>2017</v>
      </c>
      <c r="E2033">
        <f t="shared" si="125"/>
        <v>0</v>
      </c>
      <c r="F2033">
        <f t="shared" si="126"/>
        <v>0</v>
      </c>
      <c r="G2033" t="str">
        <f t="shared" si="127"/>
        <v>extra</v>
      </c>
      <c r="J2033">
        <v>2002</v>
      </c>
      <c r="K2033">
        <v>0.84772347266278369</v>
      </c>
    </row>
    <row r="2034" spans="1:11" x14ac:dyDescent="0.25">
      <c r="A2034" s="3">
        <v>38558</v>
      </c>
      <c r="B2034">
        <v>856.86</v>
      </c>
      <c r="C2034">
        <f t="shared" si="124"/>
        <v>0.99670811571613016</v>
      </c>
      <c r="D2034">
        <v>2018</v>
      </c>
      <c r="E2034">
        <f t="shared" si="125"/>
        <v>0</v>
      </c>
      <c r="F2034">
        <f t="shared" si="126"/>
        <v>0</v>
      </c>
      <c r="G2034" t="str">
        <f t="shared" si="127"/>
        <v>extra</v>
      </c>
      <c r="J2034">
        <v>2003</v>
      </c>
      <c r="K2034">
        <v>0.84778714876564276</v>
      </c>
    </row>
    <row r="2035" spans="1:11" x14ac:dyDescent="0.25">
      <c r="A2035" s="3">
        <v>38555</v>
      </c>
      <c r="B2035">
        <v>859.69</v>
      </c>
      <c r="C2035">
        <f t="shared" si="124"/>
        <v>1.0186141851702648</v>
      </c>
      <c r="D2035">
        <v>2019</v>
      </c>
      <c r="E2035">
        <f t="shared" si="125"/>
        <v>0</v>
      </c>
      <c r="F2035">
        <f t="shared" si="126"/>
        <v>0</v>
      </c>
      <c r="G2035" t="str">
        <f t="shared" si="127"/>
        <v>extra</v>
      </c>
      <c r="J2035">
        <v>2004</v>
      </c>
      <c r="K2035">
        <v>0.84795063969867446</v>
      </c>
    </row>
    <row r="2036" spans="1:11" x14ac:dyDescent="0.25">
      <c r="A2036" s="3">
        <v>38554</v>
      </c>
      <c r="B2036">
        <v>843.98</v>
      </c>
      <c r="C2036">
        <f t="shared" si="124"/>
        <v>1.0015902401974746</v>
      </c>
      <c r="D2036">
        <v>2020</v>
      </c>
      <c r="E2036">
        <f t="shared" si="125"/>
        <v>0</v>
      </c>
      <c r="F2036">
        <f t="shared" si="126"/>
        <v>0</v>
      </c>
      <c r="G2036" t="str">
        <f t="shared" si="127"/>
        <v>extra</v>
      </c>
      <c r="J2036">
        <v>2005</v>
      </c>
      <c r="K2036">
        <v>0.84812153587424433</v>
      </c>
    </row>
    <row r="2037" spans="1:11" x14ac:dyDescent="0.25">
      <c r="A2037" s="3">
        <v>38553</v>
      </c>
      <c r="B2037">
        <v>842.64</v>
      </c>
      <c r="C2037">
        <f t="shared" si="124"/>
        <v>1.0084250837721398</v>
      </c>
      <c r="D2037">
        <v>2021</v>
      </c>
      <c r="E2037">
        <f t="shared" si="125"/>
        <v>0</v>
      </c>
      <c r="F2037">
        <f t="shared" si="126"/>
        <v>0</v>
      </c>
      <c r="G2037" t="str">
        <f t="shared" si="127"/>
        <v>extra</v>
      </c>
      <c r="J2037">
        <v>2006</v>
      </c>
      <c r="K2037">
        <v>0.84823576709163084</v>
      </c>
    </row>
    <row r="2038" spans="1:11" x14ac:dyDescent="0.25">
      <c r="A2038" s="3">
        <v>38552</v>
      </c>
      <c r="B2038">
        <v>835.6</v>
      </c>
      <c r="C2038">
        <f t="shared" si="124"/>
        <v>1.0031332909158575</v>
      </c>
      <c r="D2038">
        <v>2022</v>
      </c>
      <c r="E2038">
        <f t="shared" si="125"/>
        <v>0</v>
      </c>
      <c r="F2038">
        <f t="shared" si="126"/>
        <v>0</v>
      </c>
      <c r="G2038" t="str">
        <f t="shared" si="127"/>
        <v>extra</v>
      </c>
      <c r="J2038">
        <v>2007</v>
      </c>
      <c r="K2038">
        <v>0.84826720357369156</v>
      </c>
    </row>
    <row r="2039" spans="1:11" x14ac:dyDescent="0.25">
      <c r="A2039" s="3">
        <v>38551</v>
      </c>
      <c r="B2039">
        <v>832.99</v>
      </c>
      <c r="C2039">
        <f t="shared" si="124"/>
        <v>0.99047562425683711</v>
      </c>
      <c r="D2039">
        <v>2023</v>
      </c>
      <c r="E2039">
        <f t="shared" si="125"/>
        <v>0</v>
      </c>
      <c r="F2039">
        <f t="shared" si="126"/>
        <v>0</v>
      </c>
      <c r="G2039" t="str">
        <f t="shared" si="127"/>
        <v>extra</v>
      </c>
      <c r="J2039">
        <v>2008</v>
      </c>
      <c r="K2039">
        <v>0.84828528822943172</v>
      </c>
    </row>
    <row r="2040" spans="1:11" x14ac:dyDescent="0.25">
      <c r="A2040" s="3">
        <v>38548</v>
      </c>
      <c r="B2040">
        <v>841</v>
      </c>
      <c r="C2040">
        <f t="shared" si="124"/>
        <v>0.98988924069256934</v>
      </c>
      <c r="D2040">
        <v>2024</v>
      </c>
      <c r="E2040">
        <f t="shared" si="125"/>
        <v>0</v>
      </c>
      <c r="F2040">
        <f t="shared" si="126"/>
        <v>0</v>
      </c>
      <c r="G2040" t="str">
        <f t="shared" si="127"/>
        <v>extra</v>
      </c>
      <c r="J2040">
        <v>2009</v>
      </c>
      <c r="K2040">
        <v>0.84829230779297371</v>
      </c>
    </row>
    <row r="2041" spans="1:11" x14ac:dyDescent="0.25">
      <c r="A2041" s="3">
        <v>38547</v>
      </c>
      <c r="B2041">
        <v>849.59</v>
      </c>
      <c r="C2041">
        <f t="shared" si="124"/>
        <v>1.0039705517412525</v>
      </c>
      <c r="D2041">
        <v>2025</v>
      </c>
      <c r="E2041">
        <f t="shared" si="125"/>
        <v>0</v>
      </c>
      <c r="F2041">
        <f t="shared" si="126"/>
        <v>0</v>
      </c>
      <c r="G2041" t="str">
        <f t="shared" si="127"/>
        <v>extra</v>
      </c>
      <c r="J2041">
        <v>2010</v>
      </c>
      <c r="K2041">
        <v>0.84855299313720378</v>
      </c>
    </row>
    <row r="2042" spans="1:11" x14ac:dyDescent="0.25">
      <c r="A2042" s="3">
        <v>38546</v>
      </c>
      <c r="B2042">
        <v>846.23</v>
      </c>
      <c r="C2042">
        <f t="shared" si="124"/>
        <v>0.99344924337587026</v>
      </c>
      <c r="D2042">
        <v>2026</v>
      </c>
      <c r="E2042">
        <f t="shared" si="125"/>
        <v>0</v>
      </c>
      <c r="F2042">
        <f t="shared" si="126"/>
        <v>0</v>
      </c>
      <c r="G2042" t="str">
        <f t="shared" si="127"/>
        <v>extra</v>
      </c>
      <c r="J2042">
        <v>2011</v>
      </c>
      <c r="K2042">
        <v>0.84857732603491021</v>
      </c>
    </row>
    <row r="2043" spans="1:11" x14ac:dyDescent="0.25">
      <c r="A2043" s="3">
        <v>38545</v>
      </c>
      <c r="B2043">
        <v>851.81</v>
      </c>
      <c r="C2043">
        <f t="shared" si="124"/>
        <v>1.0336371027436322</v>
      </c>
      <c r="D2043">
        <v>2027</v>
      </c>
      <c r="E2043">
        <f t="shared" si="125"/>
        <v>0</v>
      </c>
      <c r="F2043">
        <f t="shared" si="126"/>
        <v>0</v>
      </c>
      <c r="G2043" t="str">
        <f t="shared" si="127"/>
        <v>extra</v>
      </c>
      <c r="J2043">
        <v>2012</v>
      </c>
      <c r="K2043">
        <v>0.84859922351892336</v>
      </c>
    </row>
    <row r="2044" spans="1:11" x14ac:dyDescent="0.25">
      <c r="A2044" s="3">
        <v>38544</v>
      </c>
      <c r="B2044">
        <v>824.09</v>
      </c>
      <c r="C2044">
        <f t="shared" si="124"/>
        <v>0.99350195303081446</v>
      </c>
      <c r="D2044">
        <v>2028</v>
      </c>
      <c r="E2044">
        <f t="shared" si="125"/>
        <v>0</v>
      </c>
      <c r="F2044">
        <f t="shared" si="126"/>
        <v>0</v>
      </c>
      <c r="G2044" t="str">
        <f t="shared" si="127"/>
        <v>extra</v>
      </c>
      <c r="J2044">
        <v>2013</v>
      </c>
      <c r="K2044">
        <v>0.84869684345469432</v>
      </c>
    </row>
    <row r="2045" spans="1:11" x14ac:dyDescent="0.25">
      <c r="A2045" s="3">
        <v>38541</v>
      </c>
      <c r="B2045">
        <v>829.48</v>
      </c>
      <c r="C2045">
        <f t="shared" si="124"/>
        <v>0.98195851879912865</v>
      </c>
      <c r="D2045">
        <v>2029</v>
      </c>
      <c r="E2045">
        <f t="shared" si="125"/>
        <v>0</v>
      </c>
      <c r="F2045">
        <f t="shared" si="126"/>
        <v>0</v>
      </c>
      <c r="G2045" t="str">
        <f t="shared" si="127"/>
        <v>extra</v>
      </c>
      <c r="J2045">
        <v>2014</v>
      </c>
      <c r="K2045">
        <v>0.848703383144912</v>
      </c>
    </row>
    <row r="2046" spans="1:11" x14ac:dyDescent="0.25">
      <c r="A2046" s="3">
        <v>38540</v>
      </c>
      <c r="B2046">
        <v>844.72</v>
      </c>
      <c r="C2046">
        <f t="shared" si="124"/>
        <v>1.002575514806243</v>
      </c>
      <c r="D2046">
        <v>2030</v>
      </c>
      <c r="E2046">
        <f t="shared" si="125"/>
        <v>0</v>
      </c>
      <c r="F2046">
        <f t="shared" si="126"/>
        <v>0</v>
      </c>
      <c r="G2046" t="str">
        <f t="shared" si="127"/>
        <v>extra</v>
      </c>
      <c r="J2046">
        <v>2015</v>
      </c>
      <c r="K2046">
        <v>0.84871056587904214</v>
      </c>
    </row>
    <row r="2047" spans="1:11" x14ac:dyDescent="0.25">
      <c r="A2047" s="3">
        <v>38539</v>
      </c>
      <c r="B2047">
        <v>842.55</v>
      </c>
      <c r="C2047">
        <f t="shared" si="124"/>
        <v>0.9916202761071945</v>
      </c>
      <c r="D2047">
        <v>2031</v>
      </c>
      <c r="E2047">
        <f t="shared" si="125"/>
        <v>0</v>
      </c>
      <c r="F2047">
        <f t="shared" si="126"/>
        <v>0</v>
      </c>
      <c r="G2047" t="str">
        <f t="shared" si="127"/>
        <v>extra</v>
      </c>
      <c r="J2047">
        <v>2016</v>
      </c>
      <c r="K2047">
        <v>0.84871973557310432</v>
      </c>
    </row>
    <row r="2048" spans="1:11" x14ac:dyDescent="0.25">
      <c r="A2048" s="3">
        <v>38538</v>
      </c>
      <c r="B2048">
        <v>849.67</v>
      </c>
      <c r="C2048">
        <f t="shared" si="124"/>
        <v>0.99268631780636263</v>
      </c>
      <c r="D2048">
        <v>2032</v>
      </c>
      <c r="E2048">
        <f t="shared" si="125"/>
        <v>0</v>
      </c>
      <c r="F2048">
        <f t="shared" si="126"/>
        <v>0</v>
      </c>
      <c r="G2048" t="str">
        <f t="shared" si="127"/>
        <v>extra</v>
      </c>
      <c r="J2048">
        <v>2017</v>
      </c>
      <c r="K2048">
        <v>0.8489395795309993</v>
      </c>
    </row>
    <row r="2049" spans="1:11" x14ac:dyDescent="0.25">
      <c r="A2049" s="3">
        <v>38537</v>
      </c>
      <c r="B2049">
        <v>855.93</v>
      </c>
      <c r="C2049">
        <f t="shared" si="124"/>
        <v>0.9958580088191834</v>
      </c>
      <c r="D2049">
        <v>2033</v>
      </c>
      <c r="E2049">
        <f t="shared" si="125"/>
        <v>0</v>
      </c>
      <c r="F2049">
        <f t="shared" si="126"/>
        <v>0</v>
      </c>
      <c r="G2049" t="str">
        <f t="shared" si="127"/>
        <v>extra</v>
      </c>
      <c r="J2049">
        <v>2018</v>
      </c>
      <c r="K2049">
        <v>0.84922842613200911</v>
      </c>
    </row>
    <row r="2050" spans="1:11" x14ac:dyDescent="0.25">
      <c r="A2050" s="3">
        <v>38534</v>
      </c>
      <c r="B2050">
        <v>859.49</v>
      </c>
      <c r="C2050">
        <f t="shared" si="124"/>
        <v>0.97816042245185963</v>
      </c>
      <c r="D2050">
        <v>2034</v>
      </c>
      <c r="E2050">
        <f t="shared" si="125"/>
        <v>0</v>
      </c>
      <c r="F2050">
        <f t="shared" si="126"/>
        <v>0</v>
      </c>
      <c r="G2050" t="str">
        <f t="shared" si="127"/>
        <v>extra</v>
      </c>
      <c r="J2050">
        <v>2019</v>
      </c>
      <c r="K2050">
        <v>0.84923671304852921</v>
      </c>
    </row>
    <row r="2051" spans="1:11" x14ac:dyDescent="0.25">
      <c r="A2051" s="3">
        <v>38533</v>
      </c>
      <c r="B2051">
        <v>878.68</v>
      </c>
      <c r="C2051">
        <f t="shared" si="124"/>
        <v>0.97751671505968463</v>
      </c>
      <c r="D2051">
        <v>2035</v>
      </c>
      <c r="E2051">
        <f t="shared" si="125"/>
        <v>0</v>
      </c>
      <c r="F2051">
        <f t="shared" si="126"/>
        <v>0</v>
      </c>
      <c r="G2051" t="str">
        <f t="shared" si="127"/>
        <v>extra</v>
      </c>
      <c r="J2051">
        <v>2020</v>
      </c>
      <c r="K2051">
        <v>0.84942616434678164</v>
      </c>
    </row>
    <row r="2052" spans="1:11" x14ac:dyDescent="0.25">
      <c r="A2052" s="3">
        <v>38532</v>
      </c>
      <c r="B2052">
        <v>898.89</v>
      </c>
      <c r="C2052">
        <f t="shared" si="124"/>
        <v>0.99466643060273752</v>
      </c>
      <c r="D2052">
        <v>2036</v>
      </c>
      <c r="E2052">
        <f t="shared" si="125"/>
        <v>0</v>
      </c>
      <c r="F2052">
        <f t="shared" si="126"/>
        <v>0</v>
      </c>
      <c r="G2052" t="str">
        <f t="shared" si="127"/>
        <v>extra</v>
      </c>
      <c r="J2052">
        <v>2021</v>
      </c>
      <c r="K2052">
        <v>0.8494266450556256</v>
      </c>
    </row>
    <row r="2053" spans="1:11" x14ac:dyDescent="0.25">
      <c r="A2053" s="3">
        <v>38531</v>
      </c>
      <c r="B2053">
        <v>903.71</v>
      </c>
      <c r="C2053">
        <f t="shared" si="124"/>
        <v>0.98653988908781287</v>
      </c>
      <c r="D2053">
        <v>2037</v>
      </c>
      <c r="E2053">
        <f t="shared" si="125"/>
        <v>0</v>
      </c>
      <c r="F2053">
        <f t="shared" si="126"/>
        <v>0</v>
      </c>
      <c r="G2053" t="str">
        <f t="shared" si="127"/>
        <v>extra</v>
      </c>
      <c r="J2053">
        <v>2022</v>
      </c>
      <c r="K2053">
        <v>0.84946302269346641</v>
      </c>
    </row>
    <row r="2054" spans="1:11" x14ac:dyDescent="0.25">
      <c r="A2054" s="3">
        <v>38530</v>
      </c>
      <c r="B2054">
        <v>916.04</v>
      </c>
      <c r="C2054">
        <f t="shared" si="124"/>
        <v>1.0197484136702661</v>
      </c>
      <c r="D2054">
        <v>2038</v>
      </c>
      <c r="E2054">
        <f t="shared" si="125"/>
        <v>0</v>
      </c>
      <c r="F2054">
        <f t="shared" si="126"/>
        <v>0</v>
      </c>
      <c r="G2054" t="str">
        <f t="shared" si="127"/>
        <v>extra</v>
      </c>
      <c r="J2054">
        <v>2023</v>
      </c>
      <c r="K2054">
        <v>0.84946684676236239</v>
      </c>
    </row>
    <row r="2055" spans="1:11" x14ac:dyDescent="0.25">
      <c r="A2055" s="3">
        <v>38527</v>
      </c>
      <c r="B2055">
        <v>898.3</v>
      </c>
      <c r="C2055">
        <f t="shared" si="124"/>
        <v>1.0052933737703815</v>
      </c>
      <c r="D2055">
        <v>2039</v>
      </c>
      <c r="E2055">
        <f t="shared" si="125"/>
        <v>0</v>
      </c>
      <c r="F2055">
        <f t="shared" si="126"/>
        <v>0</v>
      </c>
      <c r="G2055" t="str">
        <f t="shared" si="127"/>
        <v>extra</v>
      </c>
      <c r="J2055">
        <v>2024</v>
      </c>
      <c r="K2055">
        <v>0.84952650945588837</v>
      </c>
    </row>
    <row r="2056" spans="1:11" x14ac:dyDescent="0.25">
      <c r="A2056" s="3">
        <v>38526</v>
      </c>
      <c r="B2056">
        <v>893.57</v>
      </c>
      <c r="C2056">
        <f t="shared" si="124"/>
        <v>0.99215002664771723</v>
      </c>
      <c r="D2056">
        <v>2040</v>
      </c>
      <c r="E2056">
        <f t="shared" si="125"/>
        <v>0</v>
      </c>
      <c r="F2056">
        <f t="shared" si="126"/>
        <v>0</v>
      </c>
      <c r="G2056" t="str">
        <f t="shared" si="127"/>
        <v>extra</v>
      </c>
      <c r="J2056">
        <v>2025</v>
      </c>
      <c r="K2056">
        <v>0.84959334376723472</v>
      </c>
    </row>
    <row r="2057" spans="1:11" x14ac:dyDescent="0.25">
      <c r="A2057" s="3">
        <v>38525</v>
      </c>
      <c r="B2057">
        <v>900.64</v>
      </c>
      <c r="C2057">
        <f t="shared" si="124"/>
        <v>1.0049991073022675</v>
      </c>
      <c r="D2057">
        <v>2041</v>
      </c>
      <c r="E2057">
        <f t="shared" si="125"/>
        <v>0</v>
      </c>
      <c r="F2057">
        <f t="shared" si="126"/>
        <v>0</v>
      </c>
      <c r="G2057" t="str">
        <f t="shared" si="127"/>
        <v>extra</v>
      </c>
      <c r="J2057">
        <v>2026</v>
      </c>
      <c r="K2057">
        <v>0.84960018484901745</v>
      </c>
    </row>
    <row r="2058" spans="1:11" x14ac:dyDescent="0.25">
      <c r="A2058" s="3">
        <v>38524</v>
      </c>
      <c r="B2058">
        <v>896.16</v>
      </c>
      <c r="C2058">
        <f t="shared" si="124"/>
        <v>0.98886620689655169</v>
      </c>
      <c r="D2058">
        <v>2042</v>
      </c>
      <c r="E2058">
        <f t="shared" si="125"/>
        <v>0</v>
      </c>
      <c r="F2058">
        <f t="shared" si="126"/>
        <v>0</v>
      </c>
      <c r="G2058" t="str">
        <f t="shared" si="127"/>
        <v>extra</v>
      </c>
      <c r="J2058">
        <v>2027</v>
      </c>
      <c r="K2058">
        <v>0.84962946551651397</v>
      </c>
    </row>
    <row r="2059" spans="1:11" x14ac:dyDescent="0.25">
      <c r="A2059" s="3">
        <v>38523</v>
      </c>
      <c r="B2059">
        <v>906.25</v>
      </c>
      <c r="C2059">
        <f t="shared" si="124"/>
        <v>1.0294318104368767</v>
      </c>
      <c r="D2059">
        <v>2043</v>
      </c>
      <c r="E2059">
        <f t="shared" si="125"/>
        <v>0</v>
      </c>
      <c r="F2059">
        <f t="shared" si="126"/>
        <v>0</v>
      </c>
      <c r="G2059" t="str">
        <f t="shared" si="127"/>
        <v>extra</v>
      </c>
      <c r="J2059">
        <v>2028</v>
      </c>
      <c r="K2059">
        <v>0.85025409937959562</v>
      </c>
    </row>
    <row r="2060" spans="1:11" x14ac:dyDescent="0.25">
      <c r="A2060" s="3">
        <v>38520</v>
      </c>
      <c r="B2060">
        <v>880.34</v>
      </c>
      <c r="C2060">
        <f t="shared" si="124"/>
        <v>1.0012624682961229</v>
      </c>
      <c r="D2060">
        <v>2044</v>
      </c>
      <c r="E2060">
        <f t="shared" si="125"/>
        <v>0</v>
      </c>
      <c r="F2060">
        <f t="shared" si="126"/>
        <v>0</v>
      </c>
      <c r="G2060" t="str">
        <f t="shared" si="127"/>
        <v>extra</v>
      </c>
      <c r="J2060">
        <v>2029</v>
      </c>
      <c r="K2060">
        <v>0.85028302153587543</v>
      </c>
    </row>
    <row r="2061" spans="1:11" x14ac:dyDescent="0.25">
      <c r="A2061" s="3">
        <v>38519</v>
      </c>
      <c r="B2061">
        <v>879.23</v>
      </c>
      <c r="C2061">
        <f t="shared" si="124"/>
        <v>1.0143049963660695</v>
      </c>
      <c r="D2061">
        <v>2045</v>
      </c>
      <c r="E2061">
        <f t="shared" si="125"/>
        <v>0</v>
      </c>
      <c r="F2061">
        <f t="shared" si="126"/>
        <v>0</v>
      </c>
      <c r="G2061" t="str">
        <f t="shared" si="127"/>
        <v>extra</v>
      </c>
      <c r="J2061">
        <v>2030</v>
      </c>
      <c r="K2061">
        <v>0.85048896012442099</v>
      </c>
    </row>
    <row r="2062" spans="1:11" x14ac:dyDescent="0.25">
      <c r="A2062" s="3">
        <v>38518</v>
      </c>
      <c r="B2062">
        <v>866.83</v>
      </c>
      <c r="C2062">
        <f t="shared" si="124"/>
        <v>0.98109854787047424</v>
      </c>
      <c r="D2062">
        <v>2046</v>
      </c>
      <c r="E2062">
        <f t="shared" si="125"/>
        <v>0</v>
      </c>
      <c r="F2062">
        <f t="shared" si="126"/>
        <v>0</v>
      </c>
      <c r="G2062" t="str">
        <f t="shared" si="127"/>
        <v>extra</v>
      </c>
      <c r="J2062">
        <v>2031</v>
      </c>
      <c r="K2062">
        <v>0.85049126855354351</v>
      </c>
    </row>
    <row r="2063" spans="1:11" x14ac:dyDescent="0.25">
      <c r="A2063" s="3">
        <v>38517</v>
      </c>
      <c r="B2063">
        <v>883.53</v>
      </c>
      <c r="C2063">
        <f t="shared" si="124"/>
        <v>0.98945069712749867</v>
      </c>
      <c r="D2063">
        <v>2047</v>
      </c>
      <c r="E2063">
        <f t="shared" si="125"/>
        <v>0</v>
      </c>
      <c r="F2063">
        <f t="shared" si="126"/>
        <v>0</v>
      </c>
      <c r="G2063" t="str">
        <f t="shared" si="127"/>
        <v>extra</v>
      </c>
      <c r="J2063">
        <v>2032</v>
      </c>
      <c r="K2063">
        <v>0.85053786572461287</v>
      </c>
    </row>
    <row r="2064" spans="1:11" x14ac:dyDescent="0.25">
      <c r="A2064" s="3">
        <v>38516</v>
      </c>
      <c r="B2064">
        <v>892.95</v>
      </c>
      <c r="C2064">
        <f t="shared" si="124"/>
        <v>0.99821139120228053</v>
      </c>
      <c r="D2064">
        <v>2048</v>
      </c>
      <c r="E2064">
        <f t="shared" si="125"/>
        <v>0</v>
      </c>
      <c r="F2064">
        <f t="shared" si="126"/>
        <v>0</v>
      </c>
      <c r="G2064" t="str">
        <f t="shared" si="127"/>
        <v>extra</v>
      </c>
      <c r="J2064">
        <v>2033</v>
      </c>
      <c r="K2064">
        <v>0.85057382486217648</v>
      </c>
    </row>
    <row r="2065" spans="1:11" x14ac:dyDescent="0.25">
      <c r="A2065" s="3">
        <v>38513</v>
      </c>
      <c r="B2065">
        <v>894.55</v>
      </c>
      <c r="C2065">
        <f t="shared" si="124"/>
        <v>0.98022134560596097</v>
      </c>
      <c r="D2065">
        <v>2049</v>
      </c>
      <c r="E2065">
        <f t="shared" si="125"/>
        <v>0</v>
      </c>
      <c r="F2065">
        <f t="shared" si="126"/>
        <v>0</v>
      </c>
      <c r="G2065" t="str">
        <f t="shared" si="127"/>
        <v>extra</v>
      </c>
      <c r="J2065">
        <v>2034</v>
      </c>
      <c r="K2065">
        <v>0.8505863235454626</v>
      </c>
    </row>
    <row r="2066" spans="1:11" x14ac:dyDescent="0.25">
      <c r="A2066" s="3">
        <v>38512</v>
      </c>
      <c r="B2066">
        <v>912.6</v>
      </c>
      <c r="C2066">
        <f t="shared" ref="C2066:C2129" si="128">B2066/B2067</f>
        <v>1.0075405456131248</v>
      </c>
      <c r="D2066">
        <v>2050</v>
      </c>
      <c r="E2066">
        <f t="shared" ref="E2066:E2129" si="129">IF(D2066&gt;$B$6,0,LN(C2066))</f>
        <v>0</v>
      </c>
      <c r="F2066">
        <f t="shared" ref="F2066:F2129" si="130">IF(D2066&gt;$B$6,0,(E2066-$B$7)^2)</f>
        <v>0</v>
      </c>
      <c r="G2066" t="str">
        <f t="shared" ref="G2066:G2129" si="131">IF(D2066&lt;=$B$6,E2066,"extra")</f>
        <v>extra</v>
      </c>
      <c r="J2066">
        <v>2035</v>
      </c>
      <c r="K2066">
        <v>0.85088582821109637</v>
      </c>
    </row>
    <row r="2067" spans="1:11" x14ac:dyDescent="0.25">
      <c r="A2067" s="3">
        <v>38511</v>
      </c>
      <c r="B2067">
        <v>905.77</v>
      </c>
      <c r="C2067">
        <f t="shared" si="128"/>
        <v>1.0818005923944201</v>
      </c>
      <c r="D2067">
        <v>2051</v>
      </c>
      <c r="E2067">
        <f t="shared" si="129"/>
        <v>0</v>
      </c>
      <c r="F2067">
        <f t="shared" si="130"/>
        <v>0</v>
      </c>
      <c r="G2067" t="str">
        <f t="shared" si="131"/>
        <v>extra</v>
      </c>
      <c r="J2067">
        <v>2036</v>
      </c>
      <c r="K2067">
        <v>0.85120264788578581</v>
      </c>
    </row>
    <row r="2068" spans="1:11" x14ac:dyDescent="0.25">
      <c r="A2068" s="3">
        <v>38510</v>
      </c>
      <c r="B2068">
        <v>837.28</v>
      </c>
      <c r="C2068">
        <f t="shared" si="128"/>
        <v>0.99796183506358827</v>
      </c>
      <c r="D2068">
        <v>2052</v>
      </c>
      <c r="E2068">
        <f t="shared" si="129"/>
        <v>0</v>
      </c>
      <c r="F2068">
        <f t="shared" si="130"/>
        <v>0</v>
      </c>
      <c r="G2068" t="str">
        <f t="shared" si="131"/>
        <v>extra</v>
      </c>
      <c r="J2068">
        <v>2037</v>
      </c>
      <c r="K2068">
        <v>0.85122235039866845</v>
      </c>
    </row>
    <row r="2069" spans="1:11" x14ac:dyDescent="0.25">
      <c r="A2069" s="3">
        <v>38509</v>
      </c>
      <c r="B2069">
        <v>838.99</v>
      </c>
      <c r="C2069">
        <f t="shared" si="128"/>
        <v>1.0256225321809713</v>
      </c>
      <c r="D2069">
        <v>2053</v>
      </c>
      <c r="E2069">
        <f t="shared" si="129"/>
        <v>0</v>
      </c>
      <c r="F2069">
        <f t="shared" si="130"/>
        <v>0</v>
      </c>
      <c r="G2069" t="str">
        <f t="shared" si="131"/>
        <v>extra</v>
      </c>
      <c r="J2069">
        <v>2038</v>
      </c>
      <c r="K2069">
        <v>0.85133766912203312</v>
      </c>
    </row>
    <row r="2070" spans="1:11" x14ac:dyDescent="0.25">
      <c r="A2070" s="3">
        <v>38506</v>
      </c>
      <c r="B2070">
        <v>818.03</v>
      </c>
      <c r="C2070">
        <f t="shared" si="128"/>
        <v>0.99958454000024433</v>
      </c>
      <c r="D2070">
        <v>2054</v>
      </c>
      <c r="E2070">
        <f t="shared" si="129"/>
        <v>0</v>
      </c>
      <c r="F2070">
        <f t="shared" si="130"/>
        <v>0</v>
      </c>
      <c r="G2070" t="str">
        <f t="shared" si="131"/>
        <v>extra</v>
      </c>
      <c r="J2070">
        <v>2039</v>
      </c>
      <c r="K2070">
        <v>0.85155164868344069</v>
      </c>
    </row>
    <row r="2071" spans="1:11" x14ac:dyDescent="0.25">
      <c r="A2071" s="3">
        <v>38505</v>
      </c>
      <c r="B2071">
        <v>818.37</v>
      </c>
      <c r="C2071">
        <f t="shared" si="128"/>
        <v>0.97712320752689463</v>
      </c>
      <c r="D2071">
        <v>2055</v>
      </c>
      <c r="E2071">
        <f t="shared" si="129"/>
        <v>0</v>
      </c>
      <c r="F2071">
        <f t="shared" si="130"/>
        <v>0</v>
      </c>
      <c r="G2071" t="str">
        <f t="shared" si="131"/>
        <v>extra</v>
      </c>
      <c r="J2071">
        <v>2040</v>
      </c>
      <c r="K2071">
        <v>0.85156502026135483</v>
      </c>
    </row>
    <row r="2072" spans="1:11" x14ac:dyDescent="0.25">
      <c r="A2072" s="3">
        <v>38504</v>
      </c>
      <c r="B2072">
        <v>837.53</v>
      </c>
      <c r="C2072">
        <f t="shared" si="128"/>
        <v>0.97849148304787714</v>
      </c>
      <c r="D2072">
        <v>2056</v>
      </c>
      <c r="E2072">
        <f t="shared" si="129"/>
        <v>0</v>
      </c>
      <c r="F2072">
        <f t="shared" si="130"/>
        <v>0</v>
      </c>
      <c r="G2072" t="str">
        <f t="shared" si="131"/>
        <v>extra</v>
      </c>
      <c r="J2072">
        <v>2041</v>
      </c>
      <c r="K2072">
        <v>0.85160582473837731</v>
      </c>
    </row>
    <row r="2073" spans="1:11" x14ac:dyDescent="0.25">
      <c r="A2073" s="3">
        <v>38503</v>
      </c>
      <c r="B2073">
        <v>855.94</v>
      </c>
      <c r="C2073">
        <f t="shared" si="128"/>
        <v>1.0003856897418217</v>
      </c>
      <c r="D2073">
        <v>2057</v>
      </c>
      <c r="E2073">
        <f t="shared" si="129"/>
        <v>0</v>
      </c>
      <c r="F2073">
        <f t="shared" si="130"/>
        <v>0</v>
      </c>
      <c r="G2073" t="str">
        <f t="shared" si="131"/>
        <v>extra</v>
      </c>
      <c r="J2073">
        <v>2042</v>
      </c>
      <c r="K2073">
        <v>0.85161760195854019</v>
      </c>
    </row>
    <row r="2074" spans="1:11" x14ac:dyDescent="0.25">
      <c r="A2074" s="3">
        <v>38502</v>
      </c>
      <c r="B2074">
        <v>855.61</v>
      </c>
      <c r="C2074">
        <f t="shared" si="128"/>
        <v>1.0071924661565628</v>
      </c>
      <c r="D2074">
        <v>2058</v>
      </c>
      <c r="E2074">
        <f t="shared" si="129"/>
        <v>0</v>
      </c>
      <c r="F2074">
        <f t="shared" si="130"/>
        <v>0</v>
      </c>
      <c r="G2074" t="str">
        <f t="shared" si="131"/>
        <v>extra</v>
      </c>
      <c r="J2074">
        <v>2043</v>
      </c>
      <c r="K2074">
        <v>0.85169737461975148</v>
      </c>
    </row>
    <row r="2075" spans="1:11" x14ac:dyDescent="0.25">
      <c r="A2075" s="3">
        <v>38499</v>
      </c>
      <c r="B2075">
        <v>849.5</v>
      </c>
      <c r="C2075">
        <f t="shared" si="128"/>
        <v>0.99086699403963463</v>
      </c>
      <c r="D2075">
        <v>2059</v>
      </c>
      <c r="E2075">
        <f t="shared" si="129"/>
        <v>0</v>
      </c>
      <c r="F2075">
        <f t="shared" si="130"/>
        <v>0</v>
      </c>
      <c r="G2075" t="str">
        <f t="shared" si="131"/>
        <v>extra</v>
      </c>
      <c r="J2075">
        <v>2044</v>
      </c>
      <c r="K2075">
        <v>0.85217545937013628</v>
      </c>
    </row>
    <row r="2076" spans="1:11" x14ac:dyDescent="0.25">
      <c r="A2076" s="3">
        <v>38498</v>
      </c>
      <c r="B2076">
        <v>857.33</v>
      </c>
      <c r="C2076">
        <f t="shared" si="128"/>
        <v>0.98719557832920724</v>
      </c>
      <c r="D2076">
        <v>2060</v>
      </c>
      <c r="E2076">
        <f t="shared" si="129"/>
        <v>0</v>
      </c>
      <c r="F2076">
        <f t="shared" si="130"/>
        <v>0</v>
      </c>
      <c r="G2076" t="str">
        <f t="shared" si="131"/>
        <v>extra</v>
      </c>
      <c r="J2076">
        <v>2045</v>
      </c>
      <c r="K2076">
        <v>0.85217561328775682</v>
      </c>
    </row>
    <row r="2077" spans="1:11" x14ac:dyDescent="0.25">
      <c r="A2077" s="3">
        <v>38497</v>
      </c>
      <c r="B2077">
        <v>868.45</v>
      </c>
      <c r="C2077">
        <f t="shared" si="128"/>
        <v>1</v>
      </c>
      <c r="D2077">
        <v>2061</v>
      </c>
      <c r="E2077">
        <f t="shared" si="129"/>
        <v>0</v>
      </c>
      <c r="F2077">
        <f t="shared" si="130"/>
        <v>0</v>
      </c>
      <c r="G2077" t="str">
        <f t="shared" si="131"/>
        <v>extra</v>
      </c>
      <c r="J2077">
        <v>2046</v>
      </c>
      <c r="K2077">
        <v>0.85228594254327161</v>
      </c>
    </row>
    <row r="2078" spans="1:11" x14ac:dyDescent="0.25">
      <c r="A2078" s="3">
        <v>38496</v>
      </c>
      <c r="B2078">
        <v>868.45</v>
      </c>
      <c r="C2078">
        <f t="shared" si="128"/>
        <v>1.0059188732133342</v>
      </c>
      <c r="D2078">
        <v>2062</v>
      </c>
      <c r="E2078">
        <f t="shared" si="129"/>
        <v>0</v>
      </c>
      <c r="F2078">
        <f t="shared" si="130"/>
        <v>0</v>
      </c>
      <c r="G2078" t="str">
        <f t="shared" si="131"/>
        <v>extra</v>
      </c>
      <c r="J2078">
        <v>2047</v>
      </c>
      <c r="K2078">
        <v>0.85251050490537128</v>
      </c>
    </row>
    <row r="2079" spans="1:11" x14ac:dyDescent="0.25">
      <c r="A2079" s="3">
        <v>38495</v>
      </c>
      <c r="B2079">
        <v>863.34</v>
      </c>
      <c r="C2079">
        <f t="shared" si="128"/>
        <v>0.97800081562372565</v>
      </c>
      <c r="D2079">
        <v>2063</v>
      </c>
      <c r="E2079">
        <f t="shared" si="129"/>
        <v>0</v>
      </c>
      <c r="F2079">
        <f t="shared" si="130"/>
        <v>0</v>
      </c>
      <c r="G2079" t="str">
        <f t="shared" si="131"/>
        <v>extra</v>
      </c>
      <c r="J2079">
        <v>2048</v>
      </c>
      <c r="K2079">
        <v>0.85258238342810433</v>
      </c>
    </row>
    <row r="2080" spans="1:11" x14ac:dyDescent="0.25">
      <c r="A2080" s="3">
        <v>38492</v>
      </c>
      <c r="B2080">
        <v>882.76</v>
      </c>
      <c r="C2080">
        <f t="shared" si="128"/>
        <v>0.99840528405170959</v>
      </c>
      <c r="D2080">
        <v>2064</v>
      </c>
      <c r="E2080">
        <f t="shared" si="129"/>
        <v>0</v>
      </c>
      <c r="F2080">
        <f t="shared" si="130"/>
        <v>0</v>
      </c>
      <c r="G2080" t="str">
        <f t="shared" si="131"/>
        <v>extra</v>
      </c>
      <c r="J2080">
        <v>2049</v>
      </c>
      <c r="K2080">
        <v>0.85258518504177083</v>
      </c>
    </row>
    <row r="2081" spans="1:11" x14ac:dyDescent="0.25">
      <c r="A2081" s="3">
        <v>38491</v>
      </c>
      <c r="B2081">
        <v>884.17</v>
      </c>
      <c r="C2081">
        <f t="shared" si="128"/>
        <v>1.0011096140128397</v>
      </c>
      <c r="D2081">
        <v>2065</v>
      </c>
      <c r="E2081">
        <f t="shared" si="129"/>
        <v>0</v>
      </c>
      <c r="F2081">
        <f t="shared" si="130"/>
        <v>0</v>
      </c>
      <c r="G2081" t="str">
        <f t="shared" si="131"/>
        <v>extra</v>
      </c>
      <c r="J2081">
        <v>2050</v>
      </c>
      <c r="K2081">
        <v>0.85283028895980162</v>
      </c>
    </row>
    <row r="2082" spans="1:11" x14ac:dyDescent="0.25">
      <c r="A2082" s="3">
        <v>38490</v>
      </c>
      <c r="B2082">
        <v>883.19</v>
      </c>
      <c r="C2082">
        <f t="shared" si="128"/>
        <v>1.0019626528713725</v>
      </c>
      <c r="D2082">
        <v>2066</v>
      </c>
      <c r="E2082">
        <f t="shared" si="129"/>
        <v>0</v>
      </c>
      <c r="F2082">
        <f t="shared" si="130"/>
        <v>0</v>
      </c>
      <c r="G2082" t="str">
        <f t="shared" si="131"/>
        <v>extra</v>
      </c>
      <c r="J2082">
        <v>2051</v>
      </c>
      <c r="K2082">
        <v>0.85285924335318553</v>
      </c>
    </row>
    <row r="2083" spans="1:11" x14ac:dyDescent="0.25">
      <c r="A2083" s="3">
        <v>38489</v>
      </c>
      <c r="B2083">
        <v>881.46</v>
      </c>
      <c r="C2083">
        <f t="shared" si="128"/>
        <v>1.0070721034652166</v>
      </c>
      <c r="D2083">
        <v>2067</v>
      </c>
      <c r="E2083">
        <f t="shared" si="129"/>
        <v>0</v>
      </c>
      <c r="F2083">
        <f t="shared" si="130"/>
        <v>0</v>
      </c>
      <c r="G2083" t="str">
        <f t="shared" si="131"/>
        <v>extra</v>
      </c>
      <c r="J2083">
        <v>2052</v>
      </c>
      <c r="K2083">
        <v>0.85643491595790866</v>
      </c>
    </row>
    <row r="2084" spans="1:11" x14ac:dyDescent="0.25">
      <c r="A2084" s="3">
        <v>38488</v>
      </c>
      <c r="B2084">
        <v>875.27</v>
      </c>
      <c r="C2084">
        <f t="shared" si="128"/>
        <v>0.98617527097370261</v>
      </c>
      <c r="D2084">
        <v>2068</v>
      </c>
      <c r="E2084">
        <f t="shared" si="129"/>
        <v>0</v>
      </c>
      <c r="F2084">
        <f t="shared" si="130"/>
        <v>0</v>
      </c>
      <c r="G2084" t="str">
        <f t="shared" si="131"/>
        <v>extra</v>
      </c>
      <c r="J2084">
        <v>2053</v>
      </c>
      <c r="K2084">
        <v>0.85643849144073458</v>
      </c>
    </row>
    <row r="2085" spans="1:11" x14ac:dyDescent="0.25">
      <c r="A2085" s="3">
        <v>38485</v>
      </c>
      <c r="B2085">
        <v>887.54</v>
      </c>
      <c r="C2085">
        <f t="shared" si="128"/>
        <v>1.0019417037321352</v>
      </c>
      <c r="D2085">
        <v>2069</v>
      </c>
      <c r="E2085">
        <f t="shared" si="129"/>
        <v>0</v>
      </c>
      <c r="F2085">
        <f t="shared" si="130"/>
        <v>0</v>
      </c>
      <c r="G2085" t="str">
        <f t="shared" si="131"/>
        <v>extra</v>
      </c>
      <c r="J2085">
        <v>2054</v>
      </c>
      <c r="K2085">
        <v>0.85679738931781668</v>
      </c>
    </row>
    <row r="2086" spans="1:11" x14ac:dyDescent="0.25">
      <c r="A2086" s="3">
        <v>38484</v>
      </c>
      <c r="B2086">
        <v>885.82</v>
      </c>
      <c r="C2086">
        <f t="shared" si="128"/>
        <v>0.98222542551422076</v>
      </c>
      <c r="D2086">
        <v>2070</v>
      </c>
      <c r="E2086">
        <f t="shared" si="129"/>
        <v>0</v>
      </c>
      <c r="F2086">
        <f t="shared" si="130"/>
        <v>0</v>
      </c>
      <c r="G2086" t="str">
        <f t="shared" si="131"/>
        <v>extra</v>
      </c>
      <c r="J2086">
        <v>2055</v>
      </c>
      <c r="K2086">
        <v>0.85679769079559942</v>
      </c>
    </row>
    <row r="2087" spans="1:11" x14ac:dyDescent="0.25">
      <c r="A2087" s="3">
        <v>38483</v>
      </c>
      <c r="B2087">
        <v>901.85</v>
      </c>
      <c r="C2087">
        <f t="shared" si="128"/>
        <v>0.98771178551480165</v>
      </c>
      <c r="D2087">
        <v>2071</v>
      </c>
      <c r="E2087">
        <f t="shared" si="129"/>
        <v>0</v>
      </c>
      <c r="F2087">
        <f t="shared" si="130"/>
        <v>0</v>
      </c>
      <c r="G2087" t="str">
        <f t="shared" si="131"/>
        <v>extra</v>
      </c>
      <c r="J2087">
        <v>2056</v>
      </c>
      <c r="K2087">
        <v>0.85712415969058708</v>
      </c>
    </row>
    <row r="2088" spans="1:11" x14ac:dyDescent="0.25">
      <c r="A2088" s="3">
        <v>38482</v>
      </c>
      <c r="B2088">
        <v>913.07</v>
      </c>
      <c r="C2088">
        <f t="shared" si="128"/>
        <v>1.0042896268024684</v>
      </c>
      <c r="D2088">
        <v>2072</v>
      </c>
      <c r="E2088">
        <f t="shared" si="129"/>
        <v>0</v>
      </c>
      <c r="F2088">
        <f t="shared" si="130"/>
        <v>0</v>
      </c>
      <c r="G2088" t="str">
        <f t="shared" si="131"/>
        <v>extra</v>
      </c>
      <c r="J2088">
        <v>2057</v>
      </c>
      <c r="K2088">
        <v>0.8574127219579315</v>
      </c>
    </row>
    <row r="2089" spans="1:11" x14ac:dyDescent="0.25">
      <c r="A2089" s="3">
        <v>38481</v>
      </c>
      <c r="B2089">
        <v>909.17</v>
      </c>
      <c r="C2089">
        <f t="shared" si="128"/>
        <v>0.97509625800362509</v>
      </c>
      <c r="D2089">
        <v>2073</v>
      </c>
      <c r="E2089">
        <f t="shared" si="129"/>
        <v>0</v>
      </c>
      <c r="F2089">
        <f t="shared" si="130"/>
        <v>0</v>
      </c>
      <c r="G2089" t="str">
        <f t="shared" si="131"/>
        <v>extra</v>
      </c>
      <c r="J2089">
        <v>2058</v>
      </c>
      <c r="K2089">
        <v>0.85741252574773241</v>
      </c>
    </row>
    <row r="2090" spans="1:11" x14ac:dyDescent="0.25">
      <c r="A2090" s="3">
        <v>38471</v>
      </c>
      <c r="B2090">
        <v>932.39</v>
      </c>
      <c r="C2090">
        <f t="shared" si="128"/>
        <v>0.98972475506066426</v>
      </c>
      <c r="D2090">
        <v>2074</v>
      </c>
      <c r="E2090">
        <f t="shared" si="129"/>
        <v>0</v>
      </c>
      <c r="F2090">
        <f t="shared" si="130"/>
        <v>0</v>
      </c>
      <c r="G2090" t="str">
        <f t="shared" si="131"/>
        <v>extra</v>
      </c>
      <c r="J2090">
        <v>2059</v>
      </c>
      <c r="K2090">
        <v>0.85743832111602403</v>
      </c>
    </row>
    <row r="2091" spans="1:11" x14ac:dyDescent="0.25">
      <c r="A2091" s="3">
        <v>38470</v>
      </c>
      <c r="B2091">
        <v>942.07</v>
      </c>
      <c r="C2091">
        <f t="shared" si="128"/>
        <v>1.0166954457155191</v>
      </c>
      <c r="D2091">
        <v>2075</v>
      </c>
      <c r="E2091">
        <f t="shared" si="129"/>
        <v>0</v>
      </c>
      <c r="F2091">
        <f t="shared" si="130"/>
        <v>0</v>
      </c>
      <c r="G2091" t="str">
        <f t="shared" si="131"/>
        <v>extra</v>
      </c>
      <c r="J2091">
        <v>2060</v>
      </c>
      <c r="K2091">
        <v>0.85749266641666755</v>
      </c>
    </row>
    <row r="2092" spans="1:11" x14ac:dyDescent="0.25">
      <c r="A2092" s="3">
        <v>38469</v>
      </c>
      <c r="B2092">
        <v>926.6</v>
      </c>
      <c r="C2092">
        <f t="shared" si="128"/>
        <v>0.98881632304605793</v>
      </c>
      <c r="D2092">
        <v>2076</v>
      </c>
      <c r="E2092">
        <f t="shared" si="129"/>
        <v>0</v>
      </c>
      <c r="F2092">
        <f t="shared" si="130"/>
        <v>0</v>
      </c>
      <c r="G2092" t="str">
        <f t="shared" si="131"/>
        <v>extra</v>
      </c>
      <c r="J2092">
        <v>2061</v>
      </c>
      <c r="K2092">
        <v>0.85759684979413497</v>
      </c>
    </row>
    <row r="2093" spans="1:11" x14ac:dyDescent="0.25">
      <c r="A2093" s="3">
        <v>38468</v>
      </c>
      <c r="B2093">
        <v>937.08</v>
      </c>
      <c r="C2093">
        <f t="shared" si="128"/>
        <v>1.0075370671024761</v>
      </c>
      <c r="D2093">
        <v>2077</v>
      </c>
      <c r="E2093">
        <f t="shared" si="129"/>
        <v>0</v>
      </c>
      <c r="F2093">
        <f t="shared" si="130"/>
        <v>0</v>
      </c>
      <c r="G2093" t="str">
        <f t="shared" si="131"/>
        <v>extra</v>
      </c>
      <c r="J2093">
        <v>2062</v>
      </c>
      <c r="K2093">
        <v>0.8575967840960701</v>
      </c>
    </row>
    <row r="2094" spans="1:11" x14ac:dyDescent="0.25">
      <c r="A2094" s="3">
        <v>38467</v>
      </c>
      <c r="B2094">
        <v>930.07</v>
      </c>
      <c r="C2094">
        <f t="shared" si="128"/>
        <v>0.99038441060589932</v>
      </c>
      <c r="D2094">
        <v>2078</v>
      </c>
      <c r="E2094">
        <f t="shared" si="129"/>
        <v>0</v>
      </c>
      <c r="F2094">
        <f t="shared" si="130"/>
        <v>0</v>
      </c>
      <c r="G2094" t="str">
        <f t="shared" si="131"/>
        <v>extra</v>
      </c>
      <c r="J2094">
        <v>2063</v>
      </c>
      <c r="K2094">
        <v>0.8576137067010503</v>
      </c>
    </row>
    <row r="2095" spans="1:11" x14ac:dyDescent="0.25">
      <c r="A2095" s="3">
        <v>38464</v>
      </c>
      <c r="B2095">
        <v>939.1</v>
      </c>
      <c r="C2095">
        <f t="shared" si="128"/>
        <v>0.99483039894913028</v>
      </c>
      <c r="D2095">
        <v>2079</v>
      </c>
      <c r="E2095">
        <f t="shared" si="129"/>
        <v>0</v>
      </c>
      <c r="F2095">
        <f t="shared" si="130"/>
        <v>0</v>
      </c>
      <c r="G2095" t="str">
        <f t="shared" si="131"/>
        <v>extra</v>
      </c>
      <c r="J2095">
        <v>2064</v>
      </c>
      <c r="K2095">
        <v>0.85791482827473486</v>
      </c>
    </row>
    <row r="2096" spans="1:11" x14ac:dyDescent="0.25">
      <c r="A2096" s="3">
        <v>38463</v>
      </c>
      <c r="B2096">
        <v>943.98</v>
      </c>
      <c r="C2096">
        <f t="shared" si="128"/>
        <v>0.992764444818375</v>
      </c>
      <c r="D2096">
        <v>2080</v>
      </c>
      <c r="E2096">
        <f t="shared" si="129"/>
        <v>0</v>
      </c>
      <c r="F2096">
        <f t="shared" si="130"/>
        <v>0</v>
      </c>
      <c r="G2096" t="str">
        <f t="shared" si="131"/>
        <v>extra</v>
      </c>
      <c r="J2096">
        <v>2065</v>
      </c>
      <c r="K2096">
        <v>0.85791712708159051</v>
      </c>
    </row>
    <row r="2097" spans="1:11" x14ac:dyDescent="0.25">
      <c r="A2097" s="3">
        <v>38462</v>
      </c>
      <c r="B2097">
        <v>950.86</v>
      </c>
      <c r="C2097">
        <f t="shared" si="128"/>
        <v>0.98444941400588071</v>
      </c>
      <c r="D2097">
        <v>2081</v>
      </c>
      <c r="E2097">
        <f t="shared" si="129"/>
        <v>0</v>
      </c>
      <c r="F2097">
        <f t="shared" si="130"/>
        <v>0</v>
      </c>
      <c r="G2097" t="str">
        <f t="shared" si="131"/>
        <v>extra</v>
      </c>
      <c r="J2097">
        <v>2066</v>
      </c>
      <c r="K2097">
        <v>0.85791716109081984</v>
      </c>
    </row>
    <row r="2098" spans="1:11" x14ac:dyDescent="0.25">
      <c r="A2098" s="3">
        <v>38461</v>
      </c>
      <c r="B2098">
        <v>965.88</v>
      </c>
      <c r="C2098">
        <f t="shared" si="128"/>
        <v>1.0021893190283988</v>
      </c>
      <c r="D2098">
        <v>2082</v>
      </c>
      <c r="E2098">
        <f t="shared" si="129"/>
        <v>0</v>
      </c>
      <c r="F2098">
        <f t="shared" si="130"/>
        <v>0</v>
      </c>
      <c r="G2098" t="str">
        <f t="shared" si="131"/>
        <v>extra</v>
      </c>
      <c r="J2098">
        <v>2067</v>
      </c>
      <c r="K2098">
        <v>0.85791824872715672</v>
      </c>
    </row>
    <row r="2099" spans="1:11" x14ac:dyDescent="0.25">
      <c r="A2099" s="3">
        <v>38460</v>
      </c>
      <c r="B2099">
        <v>963.77</v>
      </c>
      <c r="C2099">
        <f t="shared" si="128"/>
        <v>0.98941565374507223</v>
      </c>
      <c r="D2099">
        <v>2083</v>
      </c>
      <c r="E2099">
        <f t="shared" si="129"/>
        <v>0</v>
      </c>
      <c r="F2099">
        <f t="shared" si="130"/>
        <v>0</v>
      </c>
      <c r="G2099" t="str">
        <f t="shared" si="131"/>
        <v>extra</v>
      </c>
      <c r="J2099">
        <v>2068</v>
      </c>
      <c r="K2099">
        <v>0.85794323502898495</v>
      </c>
    </row>
    <row r="2100" spans="1:11" x14ac:dyDescent="0.25">
      <c r="A2100" s="3">
        <v>38457</v>
      </c>
      <c r="B2100">
        <v>974.08</v>
      </c>
      <c r="C2100">
        <f t="shared" si="128"/>
        <v>0.98693982593189256</v>
      </c>
      <c r="D2100">
        <v>2084</v>
      </c>
      <c r="E2100">
        <f t="shared" si="129"/>
        <v>0</v>
      </c>
      <c r="F2100">
        <f t="shared" si="130"/>
        <v>0</v>
      </c>
      <c r="G2100" t="str">
        <f t="shared" si="131"/>
        <v>extra</v>
      </c>
      <c r="J2100">
        <v>2069</v>
      </c>
      <c r="K2100">
        <v>0.85806391703749918</v>
      </c>
    </row>
    <row r="2101" spans="1:11" x14ac:dyDescent="0.25">
      <c r="A2101" s="3">
        <v>38456</v>
      </c>
      <c r="B2101">
        <v>986.97</v>
      </c>
      <c r="C2101">
        <f t="shared" si="128"/>
        <v>0.98608252572684585</v>
      </c>
      <c r="D2101">
        <v>2085</v>
      </c>
      <c r="E2101">
        <f t="shared" si="129"/>
        <v>0</v>
      </c>
      <c r="F2101">
        <f t="shared" si="130"/>
        <v>0</v>
      </c>
      <c r="G2101" t="str">
        <f t="shared" si="131"/>
        <v>extra</v>
      </c>
      <c r="J2101">
        <v>2070</v>
      </c>
      <c r="K2101">
        <v>0.85806497425430994</v>
      </c>
    </row>
    <row r="2102" spans="1:11" x14ac:dyDescent="0.25">
      <c r="A2102" s="3">
        <v>38455</v>
      </c>
      <c r="B2102">
        <v>1000.9</v>
      </c>
      <c r="C2102">
        <f t="shared" si="128"/>
        <v>1.0226936006294127</v>
      </c>
      <c r="D2102">
        <v>2086</v>
      </c>
      <c r="E2102">
        <f t="shared" si="129"/>
        <v>0</v>
      </c>
      <c r="F2102">
        <f t="shared" si="130"/>
        <v>0</v>
      </c>
      <c r="G2102" t="str">
        <f t="shared" si="131"/>
        <v>extra</v>
      </c>
      <c r="J2102">
        <v>2071</v>
      </c>
      <c r="K2102">
        <v>0.85826225957270452</v>
      </c>
    </row>
    <row r="2103" spans="1:11" x14ac:dyDescent="0.25">
      <c r="A2103" s="3">
        <v>38454</v>
      </c>
      <c r="B2103">
        <v>978.69</v>
      </c>
      <c r="C2103">
        <f t="shared" si="128"/>
        <v>0.98319302405014974</v>
      </c>
      <c r="D2103">
        <v>2087</v>
      </c>
      <c r="E2103">
        <f t="shared" si="129"/>
        <v>0</v>
      </c>
      <c r="F2103">
        <f t="shared" si="130"/>
        <v>0</v>
      </c>
      <c r="G2103" t="str">
        <f t="shared" si="131"/>
        <v>extra</v>
      </c>
      <c r="J2103">
        <v>2072</v>
      </c>
      <c r="K2103">
        <v>0.85835795444065432</v>
      </c>
    </row>
    <row r="2104" spans="1:11" x14ac:dyDescent="0.25">
      <c r="A2104" s="3">
        <v>38453</v>
      </c>
      <c r="B2104">
        <v>995.42</v>
      </c>
      <c r="C2104">
        <f t="shared" si="128"/>
        <v>0.99200749421988355</v>
      </c>
      <c r="D2104">
        <v>2088</v>
      </c>
      <c r="E2104">
        <f t="shared" si="129"/>
        <v>0</v>
      </c>
      <c r="F2104">
        <f t="shared" si="130"/>
        <v>0</v>
      </c>
      <c r="G2104" t="str">
        <f t="shared" si="131"/>
        <v>extra</v>
      </c>
      <c r="J2104">
        <v>2073</v>
      </c>
      <c r="K2104">
        <v>0.85836627570906732</v>
      </c>
    </row>
    <row r="2105" spans="1:11" x14ac:dyDescent="0.25">
      <c r="A2105" s="3">
        <v>38450</v>
      </c>
      <c r="B2105">
        <v>1003.44</v>
      </c>
      <c r="C2105">
        <f t="shared" si="128"/>
        <v>1.0190001320158826</v>
      </c>
      <c r="D2105">
        <v>2089</v>
      </c>
      <c r="E2105">
        <f t="shared" si="129"/>
        <v>0</v>
      </c>
      <c r="F2105">
        <f t="shared" si="130"/>
        <v>0</v>
      </c>
      <c r="G2105" t="str">
        <f t="shared" si="131"/>
        <v>extra</v>
      </c>
      <c r="J2105">
        <v>2074</v>
      </c>
      <c r="K2105">
        <v>0.85875024026835545</v>
      </c>
    </row>
    <row r="2106" spans="1:11" x14ac:dyDescent="0.25">
      <c r="A2106" s="3">
        <v>38449</v>
      </c>
      <c r="B2106">
        <v>984.73</v>
      </c>
      <c r="C2106">
        <f t="shared" si="128"/>
        <v>1.0113694718895714</v>
      </c>
      <c r="D2106">
        <v>2090</v>
      </c>
      <c r="E2106">
        <f t="shared" si="129"/>
        <v>0</v>
      </c>
      <c r="F2106">
        <f t="shared" si="130"/>
        <v>0</v>
      </c>
      <c r="G2106" t="str">
        <f t="shared" si="131"/>
        <v>extra</v>
      </c>
      <c r="J2106">
        <v>2075</v>
      </c>
      <c r="K2106">
        <v>0.85881766258214509</v>
      </c>
    </row>
    <row r="2107" spans="1:11" x14ac:dyDescent="0.25">
      <c r="A2107" s="3">
        <v>38448</v>
      </c>
      <c r="B2107">
        <v>973.66</v>
      </c>
      <c r="C2107">
        <f t="shared" si="128"/>
        <v>1.0189097834845486</v>
      </c>
      <c r="D2107">
        <v>2091</v>
      </c>
      <c r="E2107">
        <f t="shared" si="129"/>
        <v>0</v>
      </c>
      <c r="F2107">
        <f t="shared" si="130"/>
        <v>0</v>
      </c>
      <c r="G2107" t="str">
        <f t="shared" si="131"/>
        <v>extra</v>
      </c>
      <c r="J2107">
        <v>2076</v>
      </c>
      <c r="K2107">
        <v>0.85896874719781369</v>
      </c>
    </row>
    <row r="2108" spans="1:11" x14ac:dyDescent="0.25">
      <c r="A2108" s="3">
        <v>38447</v>
      </c>
      <c r="B2108">
        <v>955.59</v>
      </c>
      <c r="C2108">
        <f t="shared" si="128"/>
        <v>0.99317161386879527</v>
      </c>
      <c r="D2108">
        <v>2092</v>
      </c>
      <c r="E2108">
        <f t="shared" si="129"/>
        <v>0</v>
      </c>
      <c r="F2108">
        <f t="shared" si="130"/>
        <v>0</v>
      </c>
      <c r="G2108" t="str">
        <f t="shared" si="131"/>
        <v>extra</v>
      </c>
      <c r="J2108">
        <v>2077</v>
      </c>
      <c r="K2108">
        <v>0.85904820176400543</v>
      </c>
    </row>
    <row r="2109" spans="1:11" x14ac:dyDescent="0.25">
      <c r="A2109" s="3">
        <v>38446</v>
      </c>
      <c r="B2109">
        <v>962.16</v>
      </c>
      <c r="C2109">
        <f t="shared" si="128"/>
        <v>0.98366287034575828</v>
      </c>
      <c r="D2109">
        <v>2093</v>
      </c>
      <c r="E2109">
        <f t="shared" si="129"/>
        <v>0</v>
      </c>
      <c r="F2109">
        <f t="shared" si="130"/>
        <v>0</v>
      </c>
      <c r="G2109" t="str">
        <f t="shared" si="131"/>
        <v>extra</v>
      </c>
      <c r="J2109">
        <v>2078</v>
      </c>
      <c r="K2109">
        <v>0.85907707453839777</v>
      </c>
    </row>
    <row r="2110" spans="1:11" x14ac:dyDescent="0.25">
      <c r="A2110" s="3">
        <v>38443</v>
      </c>
      <c r="B2110">
        <v>978.14</v>
      </c>
      <c r="C2110">
        <f t="shared" si="128"/>
        <v>1.0381447675652726</v>
      </c>
      <c r="D2110">
        <v>2094</v>
      </c>
      <c r="E2110">
        <f t="shared" si="129"/>
        <v>0</v>
      </c>
      <c r="F2110">
        <f t="shared" si="130"/>
        <v>0</v>
      </c>
      <c r="G2110" t="str">
        <f t="shared" si="131"/>
        <v>extra</v>
      </c>
      <c r="J2110">
        <v>2079</v>
      </c>
      <c r="K2110">
        <v>0.85913637438075541</v>
      </c>
    </row>
    <row r="2111" spans="1:11" x14ac:dyDescent="0.25">
      <c r="A2111" s="3">
        <v>38442</v>
      </c>
      <c r="B2111">
        <v>942.2</v>
      </c>
      <c r="C2111">
        <f t="shared" si="128"/>
        <v>1.0055174327396135</v>
      </c>
      <c r="D2111">
        <v>2095</v>
      </c>
      <c r="E2111">
        <f t="shared" si="129"/>
        <v>0</v>
      </c>
      <c r="F2111">
        <f t="shared" si="130"/>
        <v>0</v>
      </c>
      <c r="G2111" t="str">
        <f t="shared" si="131"/>
        <v>extra</v>
      </c>
      <c r="J2111">
        <v>2080</v>
      </c>
      <c r="K2111">
        <v>0.85915459555564699</v>
      </c>
    </row>
    <row r="2112" spans="1:11" x14ac:dyDescent="0.25">
      <c r="A2112" s="3">
        <v>38441</v>
      </c>
      <c r="B2112">
        <v>937.03</v>
      </c>
      <c r="C2112">
        <f t="shared" si="128"/>
        <v>0.98098807567080881</v>
      </c>
      <c r="D2112">
        <v>2096</v>
      </c>
      <c r="E2112">
        <f t="shared" si="129"/>
        <v>0</v>
      </c>
      <c r="F2112">
        <f t="shared" si="130"/>
        <v>0</v>
      </c>
      <c r="G2112" t="str">
        <f t="shared" si="131"/>
        <v>extra</v>
      </c>
      <c r="J2112">
        <v>2081</v>
      </c>
      <c r="K2112">
        <v>0.85918892401450997</v>
      </c>
    </row>
    <row r="2113" spans="1:11" x14ac:dyDescent="0.25">
      <c r="A2113" s="3">
        <v>38440</v>
      </c>
      <c r="B2113">
        <v>955.19</v>
      </c>
      <c r="C2113">
        <f t="shared" si="128"/>
        <v>0.99427494821430429</v>
      </c>
      <c r="D2113">
        <v>2097</v>
      </c>
      <c r="E2113">
        <f t="shared" si="129"/>
        <v>0</v>
      </c>
      <c r="F2113">
        <f t="shared" si="130"/>
        <v>0</v>
      </c>
      <c r="G2113" t="str">
        <f t="shared" si="131"/>
        <v>extra</v>
      </c>
      <c r="J2113">
        <v>2082</v>
      </c>
      <c r="K2113">
        <v>0.85933977895269509</v>
      </c>
    </row>
    <row r="2114" spans="1:11" x14ac:dyDescent="0.25">
      <c r="A2114" s="3">
        <v>38439</v>
      </c>
      <c r="B2114">
        <v>960.69</v>
      </c>
      <c r="C2114">
        <f t="shared" si="128"/>
        <v>0.99765304532945642</v>
      </c>
      <c r="D2114">
        <v>2098</v>
      </c>
      <c r="E2114">
        <f t="shared" si="129"/>
        <v>0</v>
      </c>
      <c r="F2114">
        <f t="shared" si="130"/>
        <v>0</v>
      </c>
      <c r="G2114" t="str">
        <f t="shared" si="131"/>
        <v>extra</v>
      </c>
      <c r="J2114">
        <v>2083</v>
      </c>
      <c r="K2114">
        <v>0.85934138279685357</v>
      </c>
    </row>
    <row r="2115" spans="1:11" x14ac:dyDescent="0.25">
      <c r="A2115" s="3">
        <v>38436</v>
      </c>
      <c r="B2115">
        <v>962.95</v>
      </c>
      <c r="C2115">
        <f t="shared" si="128"/>
        <v>0.99808250414593702</v>
      </c>
      <c r="D2115">
        <v>2099</v>
      </c>
      <c r="E2115">
        <f t="shared" si="129"/>
        <v>0</v>
      </c>
      <c r="F2115">
        <f t="shared" si="130"/>
        <v>0</v>
      </c>
      <c r="G2115" t="str">
        <f t="shared" si="131"/>
        <v>extra</v>
      </c>
      <c r="J2115">
        <v>2084</v>
      </c>
      <c r="K2115">
        <v>0.8594125048743444</v>
      </c>
    </row>
    <row r="2116" spans="1:11" x14ac:dyDescent="0.25">
      <c r="A2116" s="3">
        <v>38435</v>
      </c>
      <c r="B2116">
        <v>964.8</v>
      </c>
      <c r="C2116">
        <f t="shared" si="128"/>
        <v>1.0060374761472768</v>
      </c>
      <c r="D2116">
        <v>2100</v>
      </c>
      <c r="E2116">
        <f t="shared" si="129"/>
        <v>0</v>
      </c>
      <c r="F2116">
        <f t="shared" si="130"/>
        <v>0</v>
      </c>
      <c r="G2116" t="str">
        <f t="shared" si="131"/>
        <v>extra</v>
      </c>
      <c r="J2116">
        <v>2085</v>
      </c>
      <c r="K2116">
        <v>0.85951947239381532</v>
      </c>
    </row>
    <row r="2117" spans="1:11" x14ac:dyDescent="0.25">
      <c r="A2117" s="3">
        <v>38434</v>
      </c>
      <c r="B2117">
        <v>959.01</v>
      </c>
      <c r="C2117">
        <f t="shared" si="128"/>
        <v>0.99480301238563518</v>
      </c>
      <c r="D2117">
        <v>2101</v>
      </c>
      <c r="E2117">
        <f t="shared" si="129"/>
        <v>0</v>
      </c>
      <c r="F2117">
        <f t="shared" si="130"/>
        <v>0</v>
      </c>
      <c r="G2117" t="str">
        <f t="shared" si="131"/>
        <v>extra</v>
      </c>
      <c r="J2117">
        <v>2086</v>
      </c>
      <c r="K2117">
        <v>0.85964048073056143</v>
      </c>
    </row>
    <row r="2118" spans="1:11" x14ac:dyDescent="0.25">
      <c r="A2118" s="3">
        <v>38433</v>
      </c>
      <c r="B2118">
        <v>964.02</v>
      </c>
      <c r="C2118">
        <f t="shared" si="128"/>
        <v>0.98180040534072044</v>
      </c>
      <c r="D2118">
        <v>2102</v>
      </c>
      <c r="E2118">
        <f t="shared" si="129"/>
        <v>0</v>
      </c>
      <c r="F2118">
        <f t="shared" si="130"/>
        <v>0</v>
      </c>
      <c r="G2118" t="str">
        <f t="shared" si="131"/>
        <v>extra</v>
      </c>
      <c r="J2118">
        <v>2087</v>
      </c>
      <c r="K2118">
        <v>0.85992266424002639</v>
      </c>
    </row>
    <row r="2119" spans="1:11" x14ac:dyDescent="0.25">
      <c r="A2119" s="3">
        <v>38432</v>
      </c>
      <c r="B2119">
        <v>981.89</v>
      </c>
      <c r="C2119">
        <f t="shared" si="128"/>
        <v>1.0033004312018474</v>
      </c>
      <c r="D2119">
        <v>2103</v>
      </c>
      <c r="E2119">
        <f t="shared" si="129"/>
        <v>0</v>
      </c>
      <c r="F2119">
        <f t="shared" si="130"/>
        <v>0</v>
      </c>
      <c r="G2119" t="str">
        <f t="shared" si="131"/>
        <v>extra</v>
      </c>
      <c r="J2119">
        <v>2088</v>
      </c>
      <c r="K2119">
        <v>0.86009796318137965</v>
      </c>
    </row>
    <row r="2120" spans="1:11" x14ac:dyDescent="0.25">
      <c r="A2120" s="3">
        <v>38429</v>
      </c>
      <c r="B2120">
        <v>978.66</v>
      </c>
      <c r="C2120">
        <f t="shared" si="128"/>
        <v>0.98569788288379023</v>
      </c>
      <c r="D2120">
        <v>2104</v>
      </c>
      <c r="E2120">
        <f t="shared" si="129"/>
        <v>0</v>
      </c>
      <c r="F2120">
        <f t="shared" si="130"/>
        <v>0</v>
      </c>
      <c r="G2120" t="str">
        <f t="shared" si="131"/>
        <v>extra</v>
      </c>
      <c r="J2120">
        <v>2089</v>
      </c>
      <c r="K2120">
        <v>0.86013915913154937</v>
      </c>
    </row>
    <row r="2121" spans="1:11" x14ac:dyDescent="0.25">
      <c r="A2121" s="3">
        <v>38428</v>
      </c>
      <c r="B2121">
        <v>992.86</v>
      </c>
      <c r="C2121">
        <f t="shared" si="128"/>
        <v>0.98983111678264513</v>
      </c>
      <c r="D2121">
        <v>2105</v>
      </c>
      <c r="E2121">
        <f t="shared" si="129"/>
        <v>0</v>
      </c>
      <c r="F2121">
        <f t="shared" si="130"/>
        <v>0</v>
      </c>
      <c r="G2121" t="str">
        <f t="shared" si="131"/>
        <v>extra</v>
      </c>
      <c r="J2121">
        <v>2090</v>
      </c>
      <c r="K2121">
        <v>0.86033614248735213</v>
      </c>
    </row>
    <row r="2122" spans="1:11" x14ac:dyDescent="0.25">
      <c r="A2122" s="3">
        <v>38427</v>
      </c>
      <c r="B2122">
        <v>1003.06</v>
      </c>
      <c r="C2122">
        <f t="shared" si="128"/>
        <v>0.98967953271765718</v>
      </c>
      <c r="D2122">
        <v>2106</v>
      </c>
      <c r="E2122">
        <f t="shared" si="129"/>
        <v>0</v>
      </c>
      <c r="F2122">
        <f t="shared" si="130"/>
        <v>0</v>
      </c>
      <c r="G2122" t="str">
        <f t="shared" si="131"/>
        <v>extra</v>
      </c>
      <c r="J2122">
        <v>2091</v>
      </c>
      <c r="K2122">
        <v>0.86040488247052527</v>
      </c>
    </row>
    <row r="2123" spans="1:11" x14ac:dyDescent="0.25">
      <c r="A2123" s="3">
        <v>38426</v>
      </c>
      <c r="B2123">
        <v>1013.52</v>
      </c>
      <c r="C2123">
        <f t="shared" si="128"/>
        <v>0.98302651742934177</v>
      </c>
      <c r="D2123">
        <v>2107</v>
      </c>
      <c r="E2123">
        <f t="shared" si="129"/>
        <v>0</v>
      </c>
      <c r="F2123">
        <f t="shared" si="130"/>
        <v>0</v>
      </c>
      <c r="G2123" t="str">
        <f t="shared" si="131"/>
        <v>extra</v>
      </c>
      <c r="J2123">
        <v>2092</v>
      </c>
      <c r="K2123">
        <v>0.86059961294664</v>
      </c>
    </row>
    <row r="2124" spans="1:11" x14ac:dyDescent="0.25">
      <c r="A2124" s="3">
        <v>38425</v>
      </c>
      <c r="B2124">
        <v>1031.02</v>
      </c>
      <c r="C2124">
        <f t="shared" si="128"/>
        <v>1.0035039224465165</v>
      </c>
      <c r="D2124">
        <v>2108</v>
      </c>
      <c r="E2124">
        <f t="shared" si="129"/>
        <v>0</v>
      </c>
      <c r="F2124">
        <f t="shared" si="130"/>
        <v>0</v>
      </c>
      <c r="G2124" t="str">
        <f t="shared" si="131"/>
        <v>extra</v>
      </c>
      <c r="J2124">
        <v>2093</v>
      </c>
      <c r="K2124">
        <v>0.86063024136545496</v>
      </c>
    </row>
    <row r="2125" spans="1:11" x14ac:dyDescent="0.25">
      <c r="A2125" s="3">
        <v>38422</v>
      </c>
      <c r="B2125">
        <v>1027.42</v>
      </c>
      <c r="C2125">
        <f t="shared" si="128"/>
        <v>1.0049001868135095</v>
      </c>
      <c r="D2125">
        <v>2109</v>
      </c>
      <c r="E2125">
        <f t="shared" si="129"/>
        <v>0</v>
      </c>
      <c r="F2125">
        <f t="shared" si="130"/>
        <v>0</v>
      </c>
      <c r="G2125" t="str">
        <f t="shared" si="131"/>
        <v>extra</v>
      </c>
      <c r="J2125">
        <v>2094</v>
      </c>
      <c r="K2125">
        <v>0.86079602037889391</v>
      </c>
    </row>
    <row r="2126" spans="1:11" x14ac:dyDescent="0.25">
      <c r="A2126" s="3">
        <v>38421</v>
      </c>
      <c r="B2126">
        <v>1022.41</v>
      </c>
      <c r="C2126">
        <f t="shared" si="128"/>
        <v>0.9769430695434479</v>
      </c>
      <c r="D2126">
        <v>2110</v>
      </c>
      <c r="E2126">
        <f t="shared" si="129"/>
        <v>0</v>
      </c>
      <c r="F2126">
        <f t="shared" si="130"/>
        <v>0</v>
      </c>
      <c r="G2126" t="str">
        <f t="shared" si="131"/>
        <v>extra</v>
      </c>
      <c r="J2126">
        <v>2095</v>
      </c>
      <c r="K2126">
        <v>0.86159173165319847</v>
      </c>
    </row>
    <row r="2127" spans="1:11" x14ac:dyDescent="0.25">
      <c r="A2127" s="3">
        <v>38420</v>
      </c>
      <c r="B2127">
        <v>1046.54</v>
      </c>
      <c r="C2127">
        <f t="shared" si="128"/>
        <v>0.99767393086617473</v>
      </c>
      <c r="D2127">
        <v>2111</v>
      </c>
      <c r="E2127">
        <f t="shared" si="129"/>
        <v>0</v>
      </c>
      <c r="F2127">
        <f t="shared" si="130"/>
        <v>0</v>
      </c>
      <c r="G2127" t="str">
        <f t="shared" si="131"/>
        <v>extra</v>
      </c>
      <c r="J2127">
        <v>2096</v>
      </c>
      <c r="K2127">
        <v>0.86160643378722068</v>
      </c>
    </row>
    <row r="2128" spans="1:11" x14ac:dyDescent="0.25">
      <c r="A2128" s="3">
        <v>38419</v>
      </c>
      <c r="B2128">
        <v>1048.98</v>
      </c>
      <c r="C2128">
        <f t="shared" si="128"/>
        <v>1.0185557400448602</v>
      </c>
      <c r="D2128">
        <v>2112</v>
      </c>
      <c r="E2128">
        <f t="shared" si="129"/>
        <v>0</v>
      </c>
      <c r="F2128">
        <f t="shared" si="130"/>
        <v>0</v>
      </c>
      <c r="G2128" t="str">
        <f t="shared" si="131"/>
        <v>extra</v>
      </c>
      <c r="J2128">
        <v>2097</v>
      </c>
      <c r="K2128">
        <v>0.86183002189984637</v>
      </c>
    </row>
    <row r="2129" spans="1:11" x14ac:dyDescent="0.25">
      <c r="A2129" s="3">
        <v>38418</v>
      </c>
      <c r="B2129">
        <v>1029.8699999999999</v>
      </c>
      <c r="C2129">
        <f t="shared" si="128"/>
        <v>1.0060664673817479</v>
      </c>
      <c r="D2129">
        <v>2113</v>
      </c>
      <c r="E2129">
        <f t="shared" si="129"/>
        <v>0</v>
      </c>
      <c r="F2129">
        <f t="shared" si="130"/>
        <v>0</v>
      </c>
      <c r="G2129" t="str">
        <f t="shared" si="131"/>
        <v>extra</v>
      </c>
      <c r="J2129">
        <v>2098</v>
      </c>
      <c r="K2129">
        <v>0.86185193049894482</v>
      </c>
    </row>
    <row r="2130" spans="1:11" x14ac:dyDescent="0.25">
      <c r="A2130" s="3">
        <v>38415</v>
      </c>
      <c r="B2130">
        <v>1023.66</v>
      </c>
      <c r="C2130">
        <f t="shared" ref="C2130:C2165" si="132">B2130/B2131</f>
        <v>0.99605919957964784</v>
      </c>
      <c r="D2130">
        <v>2114</v>
      </c>
      <c r="E2130">
        <f t="shared" ref="E2130:E2165" si="133">IF(D2130&gt;$B$6,0,LN(C2130))</f>
        <v>0</v>
      </c>
      <c r="F2130">
        <f t="shared" ref="F2130:F2165" si="134">IF(D2130&gt;$B$6,0,(E2130-$B$7)^2)</f>
        <v>0</v>
      </c>
      <c r="G2130" t="str">
        <f t="shared" ref="G2130:G2165" si="135">IF(D2130&lt;=$B$6,E2130,"extra")</f>
        <v>extra</v>
      </c>
      <c r="J2130">
        <v>2099</v>
      </c>
      <c r="K2130">
        <v>0.86185620882147029</v>
      </c>
    </row>
    <row r="2131" spans="1:11" x14ac:dyDescent="0.25">
      <c r="A2131" s="3">
        <v>38414</v>
      </c>
      <c r="B2131">
        <v>1027.71</v>
      </c>
      <c r="C2131">
        <f t="shared" si="132"/>
        <v>1.0062566090941134</v>
      </c>
      <c r="D2131">
        <v>2115</v>
      </c>
      <c r="E2131">
        <f t="shared" si="133"/>
        <v>0</v>
      </c>
      <c r="F2131">
        <f t="shared" si="134"/>
        <v>0</v>
      </c>
      <c r="G2131" t="str">
        <f t="shared" si="135"/>
        <v>extra</v>
      </c>
      <c r="J2131">
        <v>2100</v>
      </c>
      <c r="K2131">
        <v>0.86185920411694961</v>
      </c>
    </row>
    <row r="2132" spans="1:11" x14ac:dyDescent="0.25">
      <c r="A2132" s="3">
        <v>38413</v>
      </c>
      <c r="B2132">
        <v>1021.32</v>
      </c>
      <c r="C2132">
        <f t="shared" si="132"/>
        <v>0.98589673047406678</v>
      </c>
      <c r="D2132">
        <v>2116</v>
      </c>
      <c r="E2132">
        <f t="shared" si="133"/>
        <v>0</v>
      </c>
      <c r="F2132">
        <f t="shared" si="134"/>
        <v>0</v>
      </c>
      <c r="G2132" t="str">
        <f t="shared" si="135"/>
        <v>extra</v>
      </c>
      <c r="J2132">
        <v>2101</v>
      </c>
      <c r="K2132">
        <v>0.86187717809854225</v>
      </c>
    </row>
    <row r="2133" spans="1:11" x14ac:dyDescent="0.25">
      <c r="A2133" s="3">
        <v>38412</v>
      </c>
      <c r="B2133">
        <v>1035.93</v>
      </c>
      <c r="C2133">
        <f t="shared" si="132"/>
        <v>0.99610569434027585</v>
      </c>
      <c r="D2133">
        <v>2117</v>
      </c>
      <c r="E2133">
        <f t="shared" si="133"/>
        <v>0</v>
      </c>
      <c r="F2133">
        <f t="shared" si="134"/>
        <v>0</v>
      </c>
      <c r="G2133" t="str">
        <f t="shared" si="135"/>
        <v>extra</v>
      </c>
      <c r="J2133">
        <v>2102</v>
      </c>
      <c r="K2133">
        <v>0.86189542853410073</v>
      </c>
    </row>
    <row r="2134" spans="1:11" x14ac:dyDescent="0.25">
      <c r="A2134" s="3">
        <v>38411</v>
      </c>
      <c r="B2134">
        <v>1039.98</v>
      </c>
      <c r="C2134">
        <f t="shared" si="132"/>
        <v>0.99352287057205091</v>
      </c>
      <c r="D2134">
        <v>2118</v>
      </c>
      <c r="E2134">
        <f t="shared" si="133"/>
        <v>0</v>
      </c>
      <c r="F2134">
        <f t="shared" si="134"/>
        <v>0</v>
      </c>
      <c r="G2134" t="str">
        <f t="shared" si="135"/>
        <v>extra</v>
      </c>
      <c r="J2134">
        <v>2103</v>
      </c>
      <c r="K2134">
        <v>0.86210015770995196</v>
      </c>
    </row>
    <row r="2135" spans="1:11" x14ac:dyDescent="0.25">
      <c r="A2135" s="3">
        <v>38408</v>
      </c>
      <c r="B2135">
        <v>1046.76</v>
      </c>
      <c r="C2135">
        <f t="shared" si="132"/>
        <v>1.0012434717731906</v>
      </c>
      <c r="D2135">
        <v>2119</v>
      </c>
      <c r="E2135">
        <f t="shared" si="133"/>
        <v>0</v>
      </c>
      <c r="F2135">
        <f t="shared" si="134"/>
        <v>0</v>
      </c>
      <c r="G2135" t="str">
        <f t="shared" si="135"/>
        <v>extra</v>
      </c>
      <c r="J2135">
        <v>2104</v>
      </c>
      <c r="K2135">
        <v>0.86210477446082823</v>
      </c>
    </row>
    <row r="2136" spans="1:11" x14ac:dyDescent="0.25">
      <c r="A2136" s="3">
        <v>38407</v>
      </c>
      <c r="B2136">
        <v>1045.46</v>
      </c>
      <c r="C2136">
        <f t="shared" si="132"/>
        <v>1.0014656155106185</v>
      </c>
      <c r="D2136">
        <v>2120</v>
      </c>
      <c r="E2136">
        <f t="shared" si="133"/>
        <v>0</v>
      </c>
      <c r="F2136">
        <f t="shared" si="134"/>
        <v>0</v>
      </c>
      <c r="G2136" t="str">
        <f t="shared" si="135"/>
        <v>extra</v>
      </c>
      <c r="J2136">
        <v>2105</v>
      </c>
      <c r="K2136">
        <v>0.86223204782486629</v>
      </c>
    </row>
    <row r="2137" spans="1:11" x14ac:dyDescent="0.25">
      <c r="A2137" s="3">
        <v>38406</v>
      </c>
      <c r="B2137">
        <v>1043.93</v>
      </c>
      <c r="C2137">
        <f t="shared" si="132"/>
        <v>0.99731547471196291</v>
      </c>
      <c r="D2137">
        <v>2121</v>
      </c>
      <c r="E2137">
        <f t="shared" si="133"/>
        <v>0</v>
      </c>
      <c r="F2137">
        <f t="shared" si="134"/>
        <v>0</v>
      </c>
      <c r="G2137" t="str">
        <f t="shared" si="135"/>
        <v>extra</v>
      </c>
      <c r="J2137">
        <v>2106</v>
      </c>
      <c r="K2137">
        <v>0.86229741480031996</v>
      </c>
    </row>
    <row r="2138" spans="1:11" x14ac:dyDescent="0.25">
      <c r="A2138" s="3">
        <v>38405</v>
      </c>
      <c r="B2138">
        <v>1046.74</v>
      </c>
      <c r="C2138">
        <f t="shared" si="132"/>
        <v>1.0205824712615659</v>
      </c>
      <c r="D2138">
        <v>2122</v>
      </c>
      <c r="E2138">
        <f t="shared" si="133"/>
        <v>0</v>
      </c>
      <c r="F2138">
        <f t="shared" si="134"/>
        <v>0</v>
      </c>
      <c r="G2138" t="str">
        <f t="shared" si="135"/>
        <v>extra</v>
      </c>
      <c r="J2138">
        <v>2107</v>
      </c>
      <c r="K2138">
        <v>0.86236461625561578</v>
      </c>
    </row>
    <row r="2139" spans="1:11" x14ac:dyDescent="0.25">
      <c r="A2139" s="3">
        <v>38404</v>
      </c>
      <c r="B2139">
        <v>1025.6300000000001</v>
      </c>
      <c r="C2139">
        <f t="shared" si="132"/>
        <v>1.0194622533671289</v>
      </c>
      <c r="D2139">
        <v>2123</v>
      </c>
      <c r="E2139">
        <f t="shared" si="133"/>
        <v>0</v>
      </c>
      <c r="F2139">
        <f t="shared" si="134"/>
        <v>0</v>
      </c>
      <c r="G2139" t="str">
        <f t="shared" si="135"/>
        <v>extra</v>
      </c>
      <c r="J2139">
        <v>2108</v>
      </c>
      <c r="K2139">
        <v>0.86254243099127326</v>
      </c>
    </row>
    <row r="2140" spans="1:11" x14ac:dyDescent="0.25">
      <c r="A2140" s="3">
        <v>38401</v>
      </c>
      <c r="B2140">
        <v>1006.05</v>
      </c>
      <c r="C2140">
        <f t="shared" si="132"/>
        <v>0.98574368018812453</v>
      </c>
      <c r="D2140">
        <v>2124</v>
      </c>
      <c r="E2140">
        <f t="shared" si="133"/>
        <v>0</v>
      </c>
      <c r="F2140">
        <f t="shared" si="134"/>
        <v>0</v>
      </c>
      <c r="G2140" t="str">
        <f t="shared" si="135"/>
        <v>extra</v>
      </c>
      <c r="J2140">
        <v>2109</v>
      </c>
      <c r="K2140">
        <v>0.86254783404779722</v>
      </c>
    </row>
    <row r="2141" spans="1:11" x14ac:dyDescent="0.25">
      <c r="A2141" s="3">
        <v>38400</v>
      </c>
      <c r="B2141">
        <v>1020.6</v>
      </c>
      <c r="C2141">
        <f t="shared" si="132"/>
        <v>0.99708864964145449</v>
      </c>
      <c r="D2141">
        <v>2125</v>
      </c>
      <c r="E2141">
        <f t="shared" si="133"/>
        <v>0</v>
      </c>
      <c r="F2141">
        <f t="shared" si="134"/>
        <v>0</v>
      </c>
      <c r="G2141" t="str">
        <f t="shared" si="135"/>
        <v>extra</v>
      </c>
      <c r="J2141">
        <v>2110</v>
      </c>
      <c r="K2141">
        <v>0.86255936096621622</v>
      </c>
    </row>
    <row r="2142" spans="1:11" x14ac:dyDescent="0.25">
      <c r="A2142" s="3">
        <v>38399</v>
      </c>
      <c r="B2142">
        <v>1023.58</v>
      </c>
      <c r="C2142">
        <f t="shared" si="132"/>
        <v>1.0066184786350003</v>
      </c>
      <c r="D2142">
        <v>2126</v>
      </c>
      <c r="E2142">
        <f t="shared" si="133"/>
        <v>0</v>
      </c>
      <c r="F2142">
        <f t="shared" si="134"/>
        <v>0</v>
      </c>
      <c r="G2142" t="str">
        <f t="shared" si="135"/>
        <v>extra</v>
      </c>
      <c r="J2142">
        <v>2111</v>
      </c>
      <c r="K2142">
        <v>0.86288545064881417</v>
      </c>
    </row>
    <row r="2143" spans="1:11" x14ac:dyDescent="0.25">
      <c r="A2143" s="3">
        <v>38387</v>
      </c>
      <c r="B2143">
        <v>1016.85</v>
      </c>
      <c r="C2143">
        <f t="shared" si="132"/>
        <v>1.0238016129519436</v>
      </c>
      <c r="D2143">
        <v>2127</v>
      </c>
      <c r="E2143">
        <f t="shared" si="133"/>
        <v>0</v>
      </c>
      <c r="F2143">
        <f t="shared" si="134"/>
        <v>0</v>
      </c>
      <c r="G2143" t="str">
        <f t="shared" si="135"/>
        <v>extra</v>
      </c>
      <c r="J2143">
        <v>2112</v>
      </c>
      <c r="K2143">
        <v>0.86288952171840561</v>
      </c>
    </row>
    <row r="2144" spans="1:11" x14ac:dyDescent="0.25">
      <c r="A2144" s="3">
        <v>38386</v>
      </c>
      <c r="B2144">
        <v>993.21</v>
      </c>
      <c r="C2144">
        <f t="shared" si="132"/>
        <v>0.9863940173401794</v>
      </c>
      <c r="D2144">
        <v>2128</v>
      </c>
      <c r="E2144">
        <f t="shared" si="133"/>
        <v>0</v>
      </c>
      <c r="F2144">
        <f t="shared" si="134"/>
        <v>0</v>
      </c>
      <c r="G2144" t="str">
        <f t="shared" si="135"/>
        <v>extra</v>
      </c>
      <c r="J2144">
        <v>2113</v>
      </c>
      <c r="K2144">
        <v>0.86307720982458724</v>
      </c>
    </row>
    <row r="2145" spans="1:11" x14ac:dyDescent="0.25">
      <c r="A2145" s="3">
        <v>38385</v>
      </c>
      <c r="B2145">
        <v>1006.91</v>
      </c>
      <c r="C2145">
        <f t="shared" si="132"/>
        <v>1.0533082274177519</v>
      </c>
      <c r="D2145">
        <v>2129</v>
      </c>
      <c r="E2145">
        <f t="shared" si="133"/>
        <v>0</v>
      </c>
      <c r="F2145">
        <f t="shared" si="134"/>
        <v>0</v>
      </c>
      <c r="G2145" t="str">
        <f t="shared" si="135"/>
        <v>extra</v>
      </c>
      <c r="J2145">
        <v>2114</v>
      </c>
      <c r="K2145">
        <v>0.86309556674634358</v>
      </c>
    </row>
    <row r="2146" spans="1:11" x14ac:dyDescent="0.25">
      <c r="A2146" s="3">
        <v>38384</v>
      </c>
      <c r="B2146">
        <v>955.95</v>
      </c>
      <c r="C2146">
        <f t="shared" si="132"/>
        <v>1.0011310440164629</v>
      </c>
      <c r="D2146">
        <v>2130</v>
      </c>
      <c r="E2146">
        <f t="shared" si="133"/>
        <v>0</v>
      </c>
      <c r="F2146">
        <f t="shared" si="134"/>
        <v>0</v>
      </c>
      <c r="G2146" t="str">
        <f t="shared" si="135"/>
        <v>extra</v>
      </c>
      <c r="J2146">
        <v>2115</v>
      </c>
      <c r="K2146">
        <v>0.8631063004744538</v>
      </c>
    </row>
    <row r="2147" spans="1:11" x14ac:dyDescent="0.25">
      <c r="A2147" s="3">
        <v>38383</v>
      </c>
      <c r="B2147">
        <v>954.87</v>
      </c>
      <c r="C2147">
        <f t="shared" si="132"/>
        <v>0.98521460998761856</v>
      </c>
      <c r="D2147">
        <v>2131</v>
      </c>
      <c r="E2147">
        <f t="shared" si="133"/>
        <v>0</v>
      </c>
      <c r="F2147">
        <f t="shared" si="134"/>
        <v>0</v>
      </c>
      <c r="G2147" t="str">
        <f t="shared" si="135"/>
        <v>extra</v>
      </c>
      <c r="J2147">
        <v>2116</v>
      </c>
      <c r="K2147">
        <v>0.86312591283693973</v>
      </c>
    </row>
    <row r="2148" spans="1:11" x14ac:dyDescent="0.25">
      <c r="A2148" s="3">
        <v>38380</v>
      </c>
      <c r="B2148">
        <v>969.2</v>
      </c>
      <c r="C2148">
        <f t="shared" si="132"/>
        <v>0.99442865497676047</v>
      </c>
      <c r="D2148">
        <v>2132</v>
      </c>
      <c r="E2148">
        <f t="shared" si="133"/>
        <v>0</v>
      </c>
      <c r="F2148">
        <f t="shared" si="134"/>
        <v>0</v>
      </c>
      <c r="G2148" t="str">
        <f t="shared" si="135"/>
        <v>extra</v>
      </c>
      <c r="J2148">
        <v>2117</v>
      </c>
      <c r="K2148">
        <v>0.86324921398707655</v>
      </c>
    </row>
    <row r="2149" spans="1:11" x14ac:dyDescent="0.25">
      <c r="A2149" s="3">
        <v>38379</v>
      </c>
      <c r="B2149">
        <v>974.63</v>
      </c>
      <c r="C2149">
        <f t="shared" si="132"/>
        <v>0.98455430741878136</v>
      </c>
      <c r="D2149">
        <v>2133</v>
      </c>
      <c r="E2149">
        <f t="shared" si="133"/>
        <v>0</v>
      </c>
      <c r="F2149">
        <f t="shared" si="134"/>
        <v>0</v>
      </c>
      <c r="G2149" t="str">
        <f t="shared" si="135"/>
        <v>extra</v>
      </c>
      <c r="J2149">
        <v>2118</v>
      </c>
      <c r="K2149">
        <v>0.86325968186242696</v>
      </c>
    </row>
    <row r="2150" spans="1:11" x14ac:dyDescent="0.25">
      <c r="A2150" s="3">
        <v>38378</v>
      </c>
      <c r="B2150">
        <v>989.92</v>
      </c>
      <c r="C2150">
        <f t="shared" si="132"/>
        <v>0.99213245537548733</v>
      </c>
      <c r="D2150">
        <v>2134</v>
      </c>
      <c r="E2150">
        <f t="shared" si="133"/>
        <v>0</v>
      </c>
      <c r="F2150">
        <f t="shared" si="134"/>
        <v>0</v>
      </c>
      <c r="G2150" t="str">
        <f t="shared" si="135"/>
        <v>extra</v>
      </c>
      <c r="J2150">
        <v>2119</v>
      </c>
      <c r="K2150">
        <v>0.86328694523639193</v>
      </c>
    </row>
    <row r="2151" spans="1:11" x14ac:dyDescent="0.25">
      <c r="A2151" s="3">
        <v>38377</v>
      </c>
      <c r="B2151">
        <v>997.77</v>
      </c>
      <c r="C2151">
        <f t="shared" si="132"/>
        <v>0.99963932553875745</v>
      </c>
      <c r="D2151">
        <v>2135</v>
      </c>
      <c r="E2151">
        <f t="shared" si="133"/>
        <v>0</v>
      </c>
      <c r="F2151">
        <f t="shared" si="134"/>
        <v>0</v>
      </c>
      <c r="G2151" t="str">
        <f t="shared" si="135"/>
        <v>extra</v>
      </c>
      <c r="J2151">
        <v>2120</v>
      </c>
      <c r="K2151">
        <v>0.86328718216929623</v>
      </c>
    </row>
    <row r="2152" spans="1:11" x14ac:dyDescent="0.25">
      <c r="A2152" s="3">
        <v>38376</v>
      </c>
      <c r="B2152">
        <v>998.13</v>
      </c>
      <c r="C2152">
        <f t="shared" si="132"/>
        <v>1.0158050071239568</v>
      </c>
      <c r="D2152">
        <v>2136</v>
      </c>
      <c r="E2152">
        <f t="shared" si="133"/>
        <v>0</v>
      </c>
      <c r="F2152">
        <f t="shared" si="134"/>
        <v>0</v>
      </c>
      <c r="G2152" t="str">
        <f t="shared" si="135"/>
        <v>extra</v>
      </c>
      <c r="J2152">
        <v>2121</v>
      </c>
      <c r="K2152">
        <v>0.86328766857990469</v>
      </c>
    </row>
    <row r="2153" spans="1:11" x14ac:dyDescent="0.25">
      <c r="A2153" s="3">
        <v>38373</v>
      </c>
      <c r="B2153">
        <v>982.6</v>
      </c>
      <c r="C2153">
        <f t="shared" si="132"/>
        <v>1.0275663013469423</v>
      </c>
      <c r="D2153">
        <v>2137</v>
      </c>
      <c r="E2153">
        <f t="shared" si="133"/>
        <v>0</v>
      </c>
      <c r="F2153">
        <f t="shared" si="134"/>
        <v>0</v>
      </c>
      <c r="G2153" t="str">
        <f t="shared" si="135"/>
        <v>extra</v>
      </c>
      <c r="J2153">
        <v>2122</v>
      </c>
      <c r="K2153">
        <v>0.86329294153123848</v>
      </c>
    </row>
    <row r="2154" spans="1:11" x14ac:dyDescent="0.25">
      <c r="A2154" s="3">
        <v>38372</v>
      </c>
      <c r="B2154">
        <v>956.24</v>
      </c>
      <c r="C2154">
        <f t="shared" si="132"/>
        <v>0.98865809906845459</v>
      </c>
      <c r="D2154">
        <v>2138</v>
      </c>
      <c r="E2154">
        <f t="shared" si="133"/>
        <v>0</v>
      </c>
      <c r="F2154">
        <f t="shared" si="134"/>
        <v>0</v>
      </c>
      <c r="G2154" t="str">
        <f t="shared" si="135"/>
        <v>extra</v>
      </c>
      <c r="J2154">
        <v>2123</v>
      </c>
      <c r="K2154">
        <v>0.86352431518085027</v>
      </c>
    </row>
    <row r="2155" spans="1:11" x14ac:dyDescent="0.25">
      <c r="A2155" s="3">
        <v>38371</v>
      </c>
      <c r="B2155">
        <v>967.21</v>
      </c>
      <c r="C2155">
        <f t="shared" si="132"/>
        <v>0.99233594615668741</v>
      </c>
      <c r="D2155">
        <v>2139</v>
      </c>
      <c r="E2155">
        <f t="shared" si="133"/>
        <v>0</v>
      </c>
      <c r="F2155">
        <f t="shared" si="134"/>
        <v>0</v>
      </c>
      <c r="G2155" t="str">
        <f t="shared" si="135"/>
        <v>extra</v>
      </c>
      <c r="J2155">
        <v>2124</v>
      </c>
      <c r="K2155">
        <v>0.86373068784872487</v>
      </c>
    </row>
    <row r="2156" spans="1:11" x14ac:dyDescent="0.25">
      <c r="A2156" s="3">
        <v>38370</v>
      </c>
      <c r="B2156">
        <v>974.68</v>
      </c>
      <c r="C2156">
        <f t="shared" si="132"/>
        <v>1.0074732544317535</v>
      </c>
      <c r="D2156">
        <v>2140</v>
      </c>
      <c r="E2156">
        <f t="shared" si="133"/>
        <v>0</v>
      </c>
      <c r="F2156">
        <f t="shared" si="134"/>
        <v>0</v>
      </c>
      <c r="G2156" t="str">
        <f t="shared" si="135"/>
        <v>extra</v>
      </c>
      <c r="J2156">
        <v>2125</v>
      </c>
      <c r="K2156">
        <v>0.8638566382241406</v>
      </c>
    </row>
    <row r="2157" spans="1:11" x14ac:dyDescent="0.25">
      <c r="A2157" s="3">
        <v>38369</v>
      </c>
      <c r="B2157">
        <v>967.45</v>
      </c>
      <c r="C2157">
        <f t="shared" si="132"/>
        <v>0.97890316705453817</v>
      </c>
      <c r="D2157">
        <v>2141</v>
      </c>
      <c r="E2157">
        <f t="shared" si="133"/>
        <v>0</v>
      </c>
      <c r="F2157">
        <f t="shared" si="134"/>
        <v>0</v>
      </c>
      <c r="G2157" t="str">
        <f t="shared" si="135"/>
        <v>extra</v>
      </c>
      <c r="J2157">
        <v>2126</v>
      </c>
      <c r="K2157">
        <v>0.86386278508577397</v>
      </c>
    </row>
    <row r="2158" spans="1:11" x14ac:dyDescent="0.25">
      <c r="A2158" s="3">
        <v>38366</v>
      </c>
      <c r="B2158">
        <v>988.3</v>
      </c>
      <c r="C2158">
        <f t="shared" si="132"/>
        <v>0.99140309167694884</v>
      </c>
      <c r="D2158">
        <v>2142</v>
      </c>
      <c r="E2158">
        <f t="shared" si="133"/>
        <v>0</v>
      </c>
      <c r="F2158">
        <f t="shared" si="134"/>
        <v>0</v>
      </c>
      <c r="G2158" t="str">
        <f t="shared" si="135"/>
        <v>extra</v>
      </c>
      <c r="J2158">
        <v>2127</v>
      </c>
      <c r="K2158">
        <v>0.86388489186550255</v>
      </c>
    </row>
    <row r="2159" spans="1:11" x14ac:dyDescent="0.25">
      <c r="A2159" s="3">
        <v>38365</v>
      </c>
      <c r="B2159">
        <v>996.87</v>
      </c>
      <c r="C2159">
        <f t="shared" si="132"/>
        <v>1.0001304251861067</v>
      </c>
      <c r="D2159">
        <v>2143</v>
      </c>
      <c r="E2159">
        <f t="shared" si="133"/>
        <v>0</v>
      </c>
      <c r="F2159">
        <f t="shared" si="134"/>
        <v>0</v>
      </c>
      <c r="G2159" t="str">
        <f t="shared" si="135"/>
        <v>extra</v>
      </c>
      <c r="J2159">
        <v>2128</v>
      </c>
      <c r="K2159">
        <v>0.86419439927585895</v>
      </c>
    </row>
    <row r="2160" spans="1:11" x14ac:dyDescent="0.25">
      <c r="A2160" s="3">
        <v>38364</v>
      </c>
      <c r="B2160">
        <v>996.74</v>
      </c>
      <c r="C2160">
        <f t="shared" si="132"/>
        <v>0.99960887747836291</v>
      </c>
      <c r="D2160">
        <v>2144</v>
      </c>
      <c r="E2160">
        <f t="shared" si="133"/>
        <v>0</v>
      </c>
      <c r="F2160">
        <f t="shared" si="134"/>
        <v>0</v>
      </c>
      <c r="G2160" t="str">
        <f t="shared" si="135"/>
        <v>extra</v>
      </c>
      <c r="J2160">
        <v>2129</v>
      </c>
      <c r="K2160">
        <v>0.8643093534648455</v>
      </c>
    </row>
    <row r="2161" spans="1:11" x14ac:dyDescent="0.25">
      <c r="A2161" s="3">
        <v>38363</v>
      </c>
      <c r="B2161">
        <v>997.13</v>
      </c>
      <c r="C2161">
        <f t="shared" si="132"/>
        <v>1.0032801070562549</v>
      </c>
      <c r="D2161">
        <v>2145</v>
      </c>
      <c r="E2161">
        <f t="shared" si="133"/>
        <v>0</v>
      </c>
      <c r="F2161">
        <f t="shared" si="134"/>
        <v>0</v>
      </c>
      <c r="G2161" t="str">
        <f t="shared" si="135"/>
        <v>extra</v>
      </c>
      <c r="J2161">
        <v>2130</v>
      </c>
      <c r="K2161">
        <v>0.86584507185251613</v>
      </c>
    </row>
    <row r="2162" spans="1:11" x14ac:dyDescent="0.25">
      <c r="A2162" s="3">
        <v>38362</v>
      </c>
      <c r="B2162">
        <v>993.87</v>
      </c>
      <c r="C2162">
        <f t="shared" si="132"/>
        <v>1.0100818131002591</v>
      </c>
      <c r="D2162">
        <v>2146</v>
      </c>
      <c r="E2162">
        <f t="shared" si="133"/>
        <v>0</v>
      </c>
      <c r="F2162">
        <f t="shared" si="134"/>
        <v>0</v>
      </c>
      <c r="G2162" t="str">
        <f t="shared" si="135"/>
        <v>extra</v>
      </c>
      <c r="J2162">
        <v>2131</v>
      </c>
      <c r="K2162">
        <v>0.86584517033613084</v>
      </c>
    </row>
    <row r="2163" spans="1:11" x14ac:dyDescent="0.25">
      <c r="A2163" s="3">
        <v>38359</v>
      </c>
      <c r="B2163">
        <v>983.95</v>
      </c>
      <c r="C2163">
        <f t="shared" si="132"/>
        <v>1.0007933521161143</v>
      </c>
      <c r="D2163">
        <v>2147</v>
      </c>
      <c r="E2163">
        <f t="shared" si="133"/>
        <v>0</v>
      </c>
      <c r="F2163">
        <f t="shared" si="134"/>
        <v>0</v>
      </c>
      <c r="G2163" t="str">
        <f t="shared" si="135"/>
        <v>extra</v>
      </c>
      <c r="J2163">
        <v>2132</v>
      </c>
      <c r="K2163">
        <v>0.86598054406548652</v>
      </c>
    </row>
    <row r="2164" spans="1:11" x14ac:dyDescent="0.25">
      <c r="A2164" s="3">
        <v>38358</v>
      </c>
      <c r="B2164">
        <v>983.17</v>
      </c>
      <c r="C2164">
        <f t="shared" si="132"/>
        <v>0.99053961473361818</v>
      </c>
      <c r="D2164">
        <v>2148</v>
      </c>
      <c r="E2164">
        <f t="shared" si="133"/>
        <v>0</v>
      </c>
      <c r="F2164">
        <f t="shared" si="134"/>
        <v>0</v>
      </c>
      <c r="G2164" t="str">
        <f t="shared" si="135"/>
        <v>extra</v>
      </c>
      <c r="J2164">
        <v>2133</v>
      </c>
      <c r="K2164">
        <v>0.86600116733393073</v>
      </c>
    </row>
    <row r="2165" spans="1:11" x14ac:dyDescent="0.25">
      <c r="A2165" s="3">
        <v>38357</v>
      </c>
      <c r="B2165">
        <v>992.56</v>
      </c>
      <c r="C2165">
        <f t="shared" si="132"/>
        <v>1.0099410860916371</v>
      </c>
      <c r="D2165">
        <v>2149</v>
      </c>
      <c r="E2165">
        <f t="shared" si="133"/>
        <v>0</v>
      </c>
      <c r="F2165">
        <f t="shared" si="134"/>
        <v>0</v>
      </c>
      <c r="G2165" t="str">
        <f t="shared" si="135"/>
        <v>extra</v>
      </c>
      <c r="J2165">
        <v>2134</v>
      </c>
      <c r="K2165">
        <v>0.86614845481758007</v>
      </c>
    </row>
    <row r="2166" spans="1:11" x14ac:dyDescent="0.25">
      <c r="A2166" s="3">
        <v>38356</v>
      </c>
      <c r="B2166">
        <v>982.79</v>
      </c>
      <c r="D2166">
        <v>2150</v>
      </c>
      <c r="J2166">
        <v>2135</v>
      </c>
      <c r="K2166">
        <v>0.86618808979904316</v>
      </c>
    </row>
    <row r="2167" spans="1:11" x14ac:dyDescent="0.25">
      <c r="J2167">
        <v>2136</v>
      </c>
      <c r="K2167">
        <v>0.86618823528726674</v>
      </c>
    </row>
    <row r="2168" spans="1:11" x14ac:dyDescent="0.25">
      <c r="J2168">
        <v>2137</v>
      </c>
      <c r="K2168">
        <v>0.86632287484449377</v>
      </c>
    </row>
    <row r="2169" spans="1:11" x14ac:dyDescent="0.25">
      <c r="J2169">
        <v>2138</v>
      </c>
      <c r="K2169">
        <v>0.86673684416645158</v>
      </c>
    </row>
    <row r="2170" spans="1:11" x14ac:dyDescent="0.25">
      <c r="J2170">
        <v>2139</v>
      </c>
      <c r="K2170">
        <v>0.86681738912981798</v>
      </c>
    </row>
    <row r="2171" spans="1:11" x14ac:dyDescent="0.25">
      <c r="J2171">
        <v>2140</v>
      </c>
      <c r="K2171">
        <v>0.86685514547722753</v>
      </c>
    </row>
    <row r="2172" spans="1:11" x14ac:dyDescent="0.25">
      <c r="J2172">
        <v>2141</v>
      </c>
      <c r="K2172">
        <v>0.86688350636285894</v>
      </c>
    </row>
    <row r="2173" spans="1:11" x14ac:dyDescent="0.25">
      <c r="J2173">
        <v>2142</v>
      </c>
      <c r="K2173">
        <v>0.8671559384952654</v>
      </c>
    </row>
    <row r="2174" spans="1:11" x14ac:dyDescent="0.25">
      <c r="J2174">
        <v>2143</v>
      </c>
      <c r="K2174">
        <v>0.86720287799205042</v>
      </c>
    </row>
    <row r="2175" spans="1:11" x14ac:dyDescent="0.25">
      <c r="J2175">
        <v>2144</v>
      </c>
      <c r="K2175">
        <v>0.8672027311473216</v>
      </c>
    </row>
    <row r="2176" spans="1:11" x14ac:dyDescent="0.25">
      <c r="J2176">
        <v>2145</v>
      </c>
      <c r="K2176">
        <v>0.86720290383675269</v>
      </c>
    </row>
    <row r="2177" spans="10:11" x14ac:dyDescent="0.25">
      <c r="J2177">
        <v>2146</v>
      </c>
      <c r="K2177">
        <v>0.8672074822943403</v>
      </c>
    </row>
    <row r="2178" spans="10:11" x14ac:dyDescent="0.25">
      <c r="J2178">
        <v>2147</v>
      </c>
      <c r="K2178">
        <v>0.86726078576394472</v>
      </c>
    </row>
    <row r="2179" spans="10:11" x14ac:dyDescent="0.25">
      <c r="J2179">
        <v>2148</v>
      </c>
      <c r="K2179">
        <v>0.86726068401429446</v>
      </c>
    </row>
    <row r="2180" spans="10:11" x14ac:dyDescent="0.25">
      <c r="J2180">
        <v>2149</v>
      </c>
      <c r="K2180">
        <v>0.86731715650662566</v>
      </c>
    </row>
  </sheetData>
  <mergeCells count="2">
    <mergeCell ref="E14:F14"/>
    <mergeCell ref="I19:P23"/>
  </mergeCells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80"/>
  <sheetViews>
    <sheetView tabSelected="1" topLeftCell="A5" workbookViewId="0">
      <selection activeCell="C18" sqref="C18"/>
    </sheetView>
  </sheetViews>
  <sheetFormatPr defaultRowHeight="15" x14ac:dyDescent="0.25"/>
  <cols>
    <col min="1" max="1" width="30.75" style="14" customWidth="1"/>
    <col min="2" max="2" width="14.625" style="14" customWidth="1"/>
    <col min="3" max="3" width="12.25" style="14" customWidth="1"/>
    <col min="4" max="4" width="9" style="14"/>
    <col min="5" max="5" width="10.25" style="14" customWidth="1"/>
    <col min="6" max="6" width="10.625" style="14" customWidth="1"/>
    <col min="7" max="16384" width="9" style="14"/>
  </cols>
  <sheetData>
    <row r="1" spans="1:2" x14ac:dyDescent="0.25">
      <c r="A1" s="14" t="s">
        <v>45</v>
      </c>
    </row>
    <row r="4" spans="1:2" x14ac:dyDescent="0.25">
      <c r="A4" s="14" t="s">
        <v>47</v>
      </c>
      <c r="B4" s="13">
        <v>10</v>
      </c>
    </row>
    <row r="5" spans="1:2" x14ac:dyDescent="0.25">
      <c r="A5" s="14" t="s">
        <v>46</v>
      </c>
      <c r="B5" s="13">
        <v>1</v>
      </c>
    </row>
    <row r="6" spans="1:2" x14ac:dyDescent="0.25">
      <c r="A6" s="14" t="s">
        <v>48</v>
      </c>
      <c r="B6" s="15">
        <v>0.2</v>
      </c>
    </row>
    <row r="7" spans="1:2" x14ac:dyDescent="0.25">
      <c r="A7" s="14" t="s">
        <v>49</v>
      </c>
      <c r="B7" s="15">
        <v>0.4</v>
      </c>
    </row>
    <row r="9" spans="1:2" x14ac:dyDescent="0.25">
      <c r="A9" s="14" t="s">
        <v>50</v>
      </c>
      <c r="B9" s="16">
        <f>B6-(B7)^2/2</f>
        <v>0.12</v>
      </c>
    </row>
    <row r="28" spans="1:7" x14ac:dyDescent="0.25">
      <c r="B28" s="22" t="s">
        <v>51</v>
      </c>
      <c r="C28" s="22"/>
      <c r="D28" s="14" t="s">
        <v>55</v>
      </c>
      <c r="E28" s="14" t="s">
        <v>57</v>
      </c>
      <c r="F28" s="22" t="s">
        <v>58</v>
      </c>
      <c r="G28" s="22"/>
    </row>
    <row r="29" spans="1:7" ht="15.75" thickBot="1" x14ac:dyDescent="0.3">
      <c r="A29" s="17" t="s">
        <v>52</v>
      </c>
      <c r="B29" s="17" t="s">
        <v>53</v>
      </c>
      <c r="C29" s="17" t="s">
        <v>54</v>
      </c>
      <c r="D29" s="17" t="s">
        <v>56</v>
      </c>
      <c r="E29" s="17" t="s">
        <v>32</v>
      </c>
      <c r="F29" s="17" t="s">
        <v>59</v>
      </c>
      <c r="G29" s="17" t="s">
        <v>60</v>
      </c>
    </row>
    <row r="30" spans="1:7" x14ac:dyDescent="0.25">
      <c r="A30" s="14">
        <v>0</v>
      </c>
      <c r="D30" s="14">
        <f>B30*Dt</f>
        <v>0</v>
      </c>
      <c r="E30" s="14">
        <f>B4</f>
        <v>10</v>
      </c>
      <c r="F30" s="14">
        <v>10</v>
      </c>
      <c r="G30" s="14">
        <v>0</v>
      </c>
    </row>
    <row r="31" spans="1:7" x14ac:dyDescent="0.25">
      <c r="A31" s="14">
        <v>1</v>
      </c>
      <c r="B31" s="14">
        <f ca="1">RAND()</f>
        <v>0.8829716634466942</v>
      </c>
      <c r="C31" s="14">
        <f ca="1">_xlfn.NORM.S.INV(B31)</f>
        <v>1.1899738426768576</v>
      </c>
      <c r="D31" s="14">
        <f t="shared" ref="D31:D94" si="0">A31*Dt</f>
        <v>1</v>
      </c>
      <c r="E31" s="18">
        <f t="shared" ref="E31:E94" ca="1" si="1">E30*EXP(m*Dt/250+V*C31*SQRT(Dt/250))</f>
        <v>10.310567236298294</v>
      </c>
      <c r="F31" s="18">
        <f t="shared" ref="F31:F94" si="2">E30*EXP(m*Dt/250)</f>
        <v>10.004801152184342</v>
      </c>
      <c r="G31" s="18">
        <f ca="1">E31-F31</f>
        <v>0.30576608411395156</v>
      </c>
    </row>
    <row r="32" spans="1:7" x14ac:dyDescent="0.25">
      <c r="A32" s="14">
        <v>2</v>
      </c>
      <c r="B32" s="14">
        <f t="shared" ref="B32:B95" ca="1" si="3">RAND()</f>
        <v>0.76412647386365906</v>
      </c>
      <c r="C32" s="14">
        <f t="shared" ref="C32:C95" ca="1" si="4">_xlfn.NORM.S.INV(B32)</f>
        <v>0.71963939096324692</v>
      </c>
      <c r="D32" s="14">
        <f t="shared" si="0"/>
        <v>2</v>
      </c>
      <c r="E32" s="18">
        <f t="shared" ca="1" si="1"/>
        <v>10.505037574808147</v>
      </c>
      <c r="F32" s="18">
        <f t="shared" ca="1" si="2"/>
        <v>10.31551749653913</v>
      </c>
      <c r="G32" s="18">
        <f t="shared" ref="G32:G95" ca="1" si="5">E32-F32</f>
        <v>0.18952007826901784</v>
      </c>
    </row>
    <row r="33" spans="1:7" x14ac:dyDescent="0.25">
      <c r="A33" s="14">
        <v>3</v>
      </c>
      <c r="B33" s="14">
        <f t="shared" ca="1" si="3"/>
        <v>5.5111554691708475E-2</v>
      </c>
      <c r="C33" s="14">
        <f t="shared" ca="1" si="4"/>
        <v>-1.5971911296576471</v>
      </c>
      <c r="D33" s="14">
        <f t="shared" si="0"/>
        <v>3</v>
      </c>
      <c r="E33" s="18">
        <f t="shared" ca="1" si="1"/>
        <v>10.09387512381752</v>
      </c>
      <c r="F33" s="18">
        <f t="shared" ca="1" si="2"/>
        <v>10.510081203218036</v>
      </c>
      <c r="G33" s="18">
        <f t="shared" ca="1" si="5"/>
        <v>-0.41620607940051535</v>
      </c>
    </row>
    <row r="34" spans="1:7" x14ac:dyDescent="0.25">
      <c r="A34" s="14">
        <v>4</v>
      </c>
      <c r="B34" s="14">
        <f t="shared" ca="1" si="3"/>
        <v>0.5378540790955556</v>
      </c>
      <c r="C34" s="14">
        <f t="shared" ca="1" si="4"/>
        <v>9.5028937894459875E-2</v>
      </c>
      <c r="D34" s="14">
        <f t="shared" si="0"/>
        <v>4</v>
      </c>
      <c r="E34" s="18">
        <f t="shared" ca="1" si="1"/>
        <v>10.123028516492182</v>
      </c>
      <c r="F34" s="18">
        <f t="shared" ca="1" si="2"/>
        <v>10.09872134687744</v>
      </c>
      <c r="G34" s="18">
        <f t="shared" ca="1" si="5"/>
        <v>2.4307169614742108E-2</v>
      </c>
    </row>
    <row r="35" spans="1:7" x14ac:dyDescent="0.25">
      <c r="A35" s="14">
        <v>5</v>
      </c>
      <c r="B35" s="14">
        <f t="shared" ca="1" si="3"/>
        <v>0.70823008792605535</v>
      </c>
      <c r="C35" s="14">
        <f t="shared" ca="1" si="4"/>
        <v>0.54822149546455667</v>
      </c>
      <c r="D35" s="14">
        <f t="shared" si="0"/>
        <v>5</v>
      </c>
      <c r="E35" s="18">
        <f t="shared" ca="1" si="1"/>
        <v>10.269331284311111</v>
      </c>
      <c r="F35" s="18">
        <f t="shared" ca="1" si="2"/>
        <v>10.127888736539592</v>
      </c>
      <c r="G35" s="18">
        <f t="shared" ca="1" si="5"/>
        <v>0.14144254777151843</v>
      </c>
    </row>
    <row r="36" spans="1:7" x14ac:dyDescent="0.25">
      <c r="A36" s="14">
        <v>6</v>
      </c>
      <c r="B36" s="14">
        <f t="shared" ca="1" si="3"/>
        <v>0.84750673904318441</v>
      </c>
      <c r="C36" s="14">
        <f t="shared" ca="1" si="4"/>
        <v>1.0257986089601359</v>
      </c>
      <c r="D36" s="14">
        <f t="shared" si="0"/>
        <v>6</v>
      </c>
      <c r="E36" s="18">
        <f t="shared" ca="1" si="1"/>
        <v>10.544377595368386</v>
      </c>
      <c r="F36" s="18">
        <f t="shared" ca="1" si="2"/>
        <v>10.27426174654385</v>
      </c>
      <c r="G36" s="18">
        <f t="shared" ca="1" si="5"/>
        <v>0.27011584882453654</v>
      </c>
    </row>
    <row r="37" spans="1:7" x14ac:dyDescent="0.25">
      <c r="A37" s="14">
        <v>7</v>
      </c>
      <c r="B37" s="14">
        <f t="shared" ca="1" si="3"/>
        <v>0.47866068523853023</v>
      </c>
      <c r="C37" s="14">
        <f t="shared" ca="1" si="4"/>
        <v>-5.3515262350747148E-2</v>
      </c>
      <c r="D37" s="14">
        <f t="shared" si="0"/>
        <v>7</v>
      </c>
      <c r="E37" s="18">
        <f t="shared" ca="1" si="1"/>
        <v>10.535167511105568</v>
      </c>
      <c r="F37" s="18">
        <f t="shared" ca="1" si="2"/>
        <v>10.549440111520839</v>
      </c>
      <c r="G37" s="18">
        <f t="shared" ca="1" si="5"/>
        <v>-1.4272600415271341E-2</v>
      </c>
    </row>
    <row r="38" spans="1:7" x14ac:dyDescent="0.25">
      <c r="A38" s="14">
        <v>8</v>
      </c>
      <c r="B38" s="14">
        <f t="shared" ca="1" si="3"/>
        <v>0.27200002380457611</v>
      </c>
      <c r="C38" s="14">
        <f t="shared" ca="1" si="4"/>
        <v>-0.60677529178459155</v>
      </c>
      <c r="D38" s="14">
        <f t="shared" si="0"/>
        <v>8</v>
      </c>
      <c r="E38" s="18">
        <f t="shared" ca="1" si="1"/>
        <v>10.379665086705844</v>
      </c>
      <c r="F38" s="18">
        <f t="shared" ca="1" si="2"/>
        <v>10.540225605356403</v>
      </c>
      <c r="G38" s="18">
        <f t="shared" ca="1" si="5"/>
        <v>-0.1605605186505592</v>
      </c>
    </row>
    <row r="39" spans="1:7" x14ac:dyDescent="0.25">
      <c r="A39" s="14">
        <v>9</v>
      </c>
      <c r="B39" s="14">
        <f t="shared" ca="1" si="3"/>
        <v>0.24530948985904055</v>
      </c>
      <c r="C39" s="14">
        <f t="shared" ca="1" si="4"/>
        <v>-0.68932466495132239</v>
      </c>
      <c r="D39" s="14">
        <f t="shared" si="0"/>
        <v>9</v>
      </c>
      <c r="E39" s="18">
        <f t="shared" ca="1" si="1"/>
        <v>10.205123764917374</v>
      </c>
      <c r="F39" s="18">
        <f t="shared" ca="1" si="2"/>
        <v>10.384648521876221</v>
      </c>
      <c r="G39" s="18">
        <f t="shared" ca="1" si="5"/>
        <v>-0.17952475695884651</v>
      </c>
    </row>
    <row r="40" spans="1:7" x14ac:dyDescent="0.25">
      <c r="A40" s="14">
        <v>10</v>
      </c>
      <c r="B40" s="14">
        <f t="shared" ca="1" si="3"/>
        <v>0.80900103419962788</v>
      </c>
      <c r="C40" s="14">
        <f t="shared" ca="1" si="4"/>
        <v>0.87422096370680147</v>
      </c>
      <c r="D40" s="14">
        <f t="shared" si="0"/>
        <v>10</v>
      </c>
      <c r="E40" s="18">
        <f t="shared" ca="1" si="1"/>
        <v>10.438346194808842</v>
      </c>
      <c r="F40" s="18">
        <f t="shared" ca="1" si="2"/>
        <v>10.210023400142916</v>
      </c>
      <c r="G40" s="18">
        <f t="shared" ca="1" si="5"/>
        <v>0.22832279466592631</v>
      </c>
    </row>
    <row r="41" spans="1:7" x14ac:dyDescent="0.25">
      <c r="A41" s="14">
        <v>11</v>
      </c>
      <c r="B41" s="14">
        <f t="shared" ca="1" si="3"/>
        <v>0.75746977322561215</v>
      </c>
      <c r="C41" s="14">
        <f t="shared" ca="1" si="4"/>
        <v>0.69818668303409281</v>
      </c>
      <c r="D41" s="14">
        <f t="shared" si="0"/>
        <v>11</v>
      </c>
      <c r="E41" s="18">
        <f t="shared" ca="1" si="1"/>
        <v>10.629456271298633</v>
      </c>
      <c r="F41" s="18">
        <f t="shared" ca="1" si="2"/>
        <v>10.443357803672255</v>
      </c>
      <c r="G41" s="18">
        <f t="shared" ca="1" si="5"/>
        <v>0.18609846762637794</v>
      </c>
    </row>
    <row r="42" spans="1:7" x14ac:dyDescent="0.25">
      <c r="A42" s="14">
        <v>12</v>
      </c>
      <c r="B42" s="14">
        <f t="shared" ca="1" si="3"/>
        <v>0.54315306052702861</v>
      </c>
      <c r="C42" s="14">
        <f t="shared" ca="1" si="4"/>
        <v>0.10838048715559385</v>
      </c>
      <c r="D42" s="14">
        <f t="shared" si="0"/>
        <v>12</v>
      </c>
      <c r="E42" s="18">
        <f t="shared" ca="1" si="1"/>
        <v>10.663757837392788</v>
      </c>
      <c r="F42" s="18">
        <f t="shared" ca="1" si="2"/>
        <v>10.634559635018164</v>
      </c>
      <c r="G42" s="18">
        <f t="shared" ca="1" si="5"/>
        <v>2.9198202374624671E-2</v>
      </c>
    </row>
    <row r="43" spans="1:7" x14ac:dyDescent="0.25">
      <c r="A43" s="14">
        <v>13</v>
      </c>
      <c r="B43" s="14">
        <f t="shared" ca="1" si="3"/>
        <v>0.71209901898570549</v>
      </c>
      <c r="C43" s="14">
        <f t="shared" ca="1" si="4"/>
        <v>0.55952721649172554</v>
      </c>
      <c r="D43" s="14">
        <f t="shared" si="0"/>
        <v>13</v>
      </c>
      <c r="E43" s="18">
        <f t="shared" ca="1" si="1"/>
        <v>10.82096999279471</v>
      </c>
      <c r="F43" s="18">
        <f t="shared" ca="1" si="2"/>
        <v>10.668877669816217</v>
      </c>
      <c r="G43" s="18">
        <f t="shared" ca="1" si="5"/>
        <v>0.1520923229784934</v>
      </c>
    </row>
    <row r="44" spans="1:7" x14ac:dyDescent="0.25">
      <c r="A44" s="14">
        <v>14</v>
      </c>
      <c r="B44" s="14">
        <f t="shared" ca="1" si="3"/>
        <v>0.52090910605742435</v>
      </c>
      <c r="C44" s="14">
        <f t="shared" ca="1" si="4"/>
        <v>5.2435374769750021E-2</v>
      </c>
      <c r="D44" s="14">
        <f t="shared" si="0"/>
        <v>14</v>
      </c>
      <c r="E44" s="18">
        <f t="shared" ca="1" si="1"/>
        <v>10.84053597791943</v>
      </c>
      <c r="F44" s="18">
        <f t="shared" ca="1" si="2"/>
        <v>10.826165305166471</v>
      </c>
      <c r="G44" s="18">
        <f t="shared" ca="1" si="5"/>
        <v>1.4370672752958669E-2</v>
      </c>
    </row>
    <row r="45" spans="1:7" x14ac:dyDescent="0.25">
      <c r="A45" s="14">
        <v>15</v>
      </c>
      <c r="B45" s="14">
        <f t="shared" ca="1" si="3"/>
        <v>0.2050505892636989</v>
      </c>
      <c r="C45" s="14">
        <f t="shared" ca="1" si="4"/>
        <v>-0.8237155909293562</v>
      </c>
      <c r="D45" s="14">
        <f t="shared" si="0"/>
        <v>15</v>
      </c>
      <c r="E45" s="18">
        <f t="shared" ca="1" si="1"/>
        <v>10.622069871259757</v>
      </c>
      <c r="F45" s="18">
        <f t="shared" ca="1" si="2"/>
        <v>10.845740684218413</v>
      </c>
      <c r="G45" s="18">
        <f t="shared" ca="1" si="5"/>
        <v>-0.22367081295865532</v>
      </c>
    </row>
    <row r="46" spans="1:7" x14ac:dyDescent="0.25">
      <c r="A46" s="14">
        <v>16</v>
      </c>
      <c r="B46" s="14">
        <f t="shared" ca="1" si="3"/>
        <v>0.36299490725935779</v>
      </c>
      <c r="C46" s="14">
        <f t="shared" ca="1" si="4"/>
        <v>-0.35046491739437546</v>
      </c>
      <c r="D46" s="14">
        <f t="shared" si="0"/>
        <v>16</v>
      </c>
      <c r="E46" s="18">
        <f t="shared" ca="1" si="1"/>
        <v>10.533364185491839</v>
      </c>
      <c r="F46" s="18">
        <f t="shared" ca="1" si="2"/>
        <v>10.62716968865622</v>
      </c>
      <c r="G46" s="18">
        <f t="shared" ca="1" si="5"/>
        <v>-9.3805503164380966E-2</v>
      </c>
    </row>
    <row r="47" spans="1:7" x14ac:dyDescent="0.25">
      <c r="A47" s="14">
        <v>17</v>
      </c>
      <c r="B47" s="14">
        <f t="shared" ca="1" si="3"/>
        <v>5.054396646813053E-2</v>
      </c>
      <c r="C47" s="14">
        <f t="shared" ca="1" si="4"/>
        <v>-1.6396020675523366</v>
      </c>
      <c r="D47" s="14">
        <f t="shared" si="0"/>
        <v>17</v>
      </c>
      <c r="E47" s="18">
        <f t="shared" ca="1" si="1"/>
        <v>10.110239730881014</v>
      </c>
      <c r="F47" s="18">
        <f t="shared" ca="1" si="2"/>
        <v>10.538421413938604</v>
      </c>
      <c r="G47" s="18">
        <f t="shared" ca="1" si="5"/>
        <v>-0.42818168305758952</v>
      </c>
    </row>
    <row r="48" spans="1:7" x14ac:dyDescent="0.25">
      <c r="A48" s="14">
        <v>18</v>
      </c>
      <c r="B48" s="14">
        <f t="shared" ca="1" si="3"/>
        <v>0.48012077262523156</v>
      </c>
      <c r="C48" s="14">
        <f t="shared" ca="1" si="4"/>
        <v>-4.9850472703927465E-2</v>
      </c>
      <c r="D48" s="14">
        <f t="shared" si="0"/>
        <v>18</v>
      </c>
      <c r="E48" s="18">
        <f t="shared" ca="1" si="1"/>
        <v>10.102345420250245</v>
      </c>
      <c r="F48" s="18">
        <f t="shared" ca="1" si="2"/>
        <v>10.115093810837829</v>
      </c>
      <c r="G48" s="18">
        <f t="shared" ca="1" si="5"/>
        <v>-1.2748390587583813E-2</v>
      </c>
    </row>
    <row r="49" spans="1:7" x14ac:dyDescent="0.25">
      <c r="A49" s="14">
        <v>19</v>
      </c>
      <c r="B49" s="14">
        <f t="shared" ca="1" si="3"/>
        <v>0.15659360657362287</v>
      </c>
      <c r="C49" s="14">
        <f t="shared" ca="1" si="4"/>
        <v>-1.0085568440206694</v>
      </c>
      <c r="D49" s="14">
        <f t="shared" si="0"/>
        <v>19</v>
      </c>
      <c r="E49" s="18">
        <f t="shared" ca="1" si="1"/>
        <v>9.8525757897930166</v>
      </c>
      <c r="F49" s="18">
        <f t="shared" ca="1" si="2"/>
        <v>10.107195710028385</v>
      </c>
      <c r="G49" s="18">
        <f t="shared" ca="1" si="5"/>
        <v>-0.25461992023536872</v>
      </c>
    </row>
    <row r="50" spans="1:7" x14ac:dyDescent="0.25">
      <c r="A50" s="14">
        <v>20</v>
      </c>
      <c r="B50" s="14">
        <f t="shared" ca="1" si="3"/>
        <v>0.34476681339310489</v>
      </c>
      <c r="C50" s="14">
        <f t="shared" ca="1" si="4"/>
        <v>-0.39948805052171327</v>
      </c>
      <c r="D50" s="14">
        <f t="shared" si="0"/>
        <v>20</v>
      </c>
      <c r="E50" s="18">
        <f t="shared" ca="1" si="1"/>
        <v>9.7581866138278279</v>
      </c>
      <c r="F50" s="18">
        <f t="shared" ca="1" si="2"/>
        <v>9.857306161370472</v>
      </c>
      <c r="G50" s="18">
        <f t="shared" ca="1" si="5"/>
        <v>-9.9119547542644071E-2</v>
      </c>
    </row>
    <row r="51" spans="1:7" x14ac:dyDescent="0.25">
      <c r="A51" s="14">
        <v>21</v>
      </c>
      <c r="B51" s="14">
        <f t="shared" ca="1" si="3"/>
        <v>0.65239414646245064</v>
      </c>
      <c r="C51" s="14">
        <f t="shared" ca="1" si="4"/>
        <v>0.39179226995301619</v>
      </c>
      <c r="D51" s="14">
        <f t="shared" si="0"/>
        <v>21</v>
      </c>
      <c r="E51" s="18">
        <f t="shared" ca="1" si="1"/>
        <v>9.8601189549715667</v>
      </c>
      <c r="F51" s="18">
        <f t="shared" ca="1" si="2"/>
        <v>9.762871667725447</v>
      </c>
      <c r="G51" s="18">
        <f t="shared" ca="1" si="5"/>
        <v>9.724728724611964E-2</v>
      </c>
    </row>
    <row r="52" spans="1:7" x14ac:dyDescent="0.25">
      <c r="A52" s="14">
        <v>22</v>
      </c>
      <c r="B52" s="14">
        <f t="shared" ca="1" si="3"/>
        <v>0.51316866002485995</v>
      </c>
      <c r="C52" s="14">
        <f t="shared" ca="1" si="4"/>
        <v>3.3014932211112291E-2</v>
      </c>
      <c r="D52" s="14">
        <f t="shared" si="0"/>
        <v>22</v>
      </c>
      <c r="E52" s="18">
        <f t="shared" ca="1" si="1"/>
        <v>9.8730957031242319</v>
      </c>
      <c r="F52" s="18">
        <f t="shared" ca="1" si="2"/>
        <v>9.8648529481374201</v>
      </c>
      <c r="G52" s="18">
        <f t="shared" ca="1" si="5"/>
        <v>8.2427549868118177E-3</v>
      </c>
    </row>
    <row r="53" spans="1:7" x14ac:dyDescent="0.25">
      <c r="A53" s="14">
        <v>23</v>
      </c>
      <c r="B53" s="14">
        <f t="shared" ca="1" si="3"/>
        <v>0.37853331113686062</v>
      </c>
      <c r="C53" s="14">
        <f t="shared" ca="1" si="4"/>
        <v>-0.30933511467845337</v>
      </c>
      <c r="D53" s="14">
        <f t="shared" si="0"/>
        <v>23</v>
      </c>
      <c r="E53" s="18">
        <f t="shared" ca="1" si="1"/>
        <v>9.8008373295749642</v>
      </c>
      <c r="F53" s="18">
        <f t="shared" ca="1" si="2"/>
        <v>9.8778359266243587</v>
      </c>
      <c r="G53" s="18">
        <f t="shared" ca="1" si="5"/>
        <v>-7.699859704939449E-2</v>
      </c>
    </row>
    <row r="54" spans="1:7" x14ac:dyDescent="0.25">
      <c r="A54" s="14">
        <v>24</v>
      </c>
      <c r="B54" s="14">
        <f t="shared" ca="1" si="3"/>
        <v>0.69577804357003903</v>
      </c>
      <c r="C54" s="14">
        <f t="shared" ca="1" si="4"/>
        <v>0.51229593060691736</v>
      </c>
      <c r="D54" s="14">
        <f t="shared" si="0"/>
        <v>24</v>
      </c>
      <c r="E54" s="18">
        <f t="shared" ca="1" si="1"/>
        <v>9.933451488957262</v>
      </c>
      <c r="F54" s="18">
        <f t="shared" ca="1" si="2"/>
        <v>9.8055428607302915</v>
      </c>
      <c r="G54" s="18">
        <f t="shared" ca="1" si="5"/>
        <v>0.12790862822697058</v>
      </c>
    </row>
    <row r="55" spans="1:7" x14ac:dyDescent="0.25">
      <c r="A55" s="14">
        <v>25</v>
      </c>
      <c r="B55" s="14">
        <f t="shared" ca="1" si="3"/>
        <v>0.72120277072576844</v>
      </c>
      <c r="C55" s="14">
        <f t="shared" ca="1" si="4"/>
        <v>0.58641828663230433</v>
      </c>
      <c r="D55" s="14">
        <f t="shared" si="0"/>
        <v>25</v>
      </c>
      <c r="E55" s="18">
        <f t="shared" ca="1" si="1"/>
        <v>10.08675663529829</v>
      </c>
      <c r="F55" s="18">
        <f t="shared" ca="1" si="2"/>
        <v>9.9382206901886878</v>
      </c>
      <c r="G55" s="18">
        <f t="shared" ca="1" si="5"/>
        <v>0.148535945109602</v>
      </c>
    </row>
    <row r="56" spans="1:7" x14ac:dyDescent="0.25">
      <c r="A56" s="14">
        <v>26</v>
      </c>
      <c r="B56" s="14">
        <f t="shared" ca="1" si="3"/>
        <v>0.91934126817414841</v>
      </c>
      <c r="C56" s="14">
        <f t="shared" ca="1" si="4"/>
        <v>1.4006543373698026</v>
      </c>
      <c r="D56" s="14">
        <f t="shared" si="0"/>
        <v>26</v>
      </c>
      <c r="E56" s="18">
        <f t="shared" ca="1" si="1"/>
        <v>10.455596680713294</v>
      </c>
      <c r="F56" s="18">
        <f t="shared" ca="1" si="2"/>
        <v>10.091599440663538</v>
      </c>
      <c r="G56" s="18">
        <f t="shared" ca="1" si="5"/>
        <v>0.36399724004975553</v>
      </c>
    </row>
    <row r="57" spans="1:7" x14ac:dyDescent="0.25">
      <c r="A57" s="14">
        <v>27</v>
      </c>
      <c r="B57" s="14">
        <f t="shared" ca="1" si="3"/>
        <v>0.6144505214575352</v>
      </c>
      <c r="C57" s="14">
        <f t="shared" ca="1" si="4"/>
        <v>0.29093771350087888</v>
      </c>
      <c r="D57" s="14">
        <f t="shared" si="0"/>
        <v>27</v>
      </c>
      <c r="E57" s="18">
        <f t="shared" ca="1" si="1"/>
        <v>10.537892907552513</v>
      </c>
      <c r="F57" s="18">
        <f t="shared" ca="1" si="2"/>
        <v>10.460616571797514</v>
      </c>
      <c r="G57" s="18">
        <f t="shared" ca="1" si="5"/>
        <v>7.7276335754998371E-2</v>
      </c>
    </row>
    <row r="58" spans="1:7" x14ac:dyDescent="0.25">
      <c r="A58" s="14">
        <v>28</v>
      </c>
      <c r="B58" s="14">
        <f t="shared" ca="1" si="3"/>
        <v>0.37019795631743879</v>
      </c>
      <c r="C58" s="14">
        <f t="shared" ca="1" si="4"/>
        <v>-0.33132910030016782</v>
      </c>
      <c r="D58" s="14">
        <f t="shared" si="0"/>
        <v>28</v>
      </c>
      <c r="E58" s="18">
        <f t="shared" ca="1" si="1"/>
        <v>10.454950228634937</v>
      </c>
      <c r="F58" s="18">
        <f t="shared" ca="1" si="2"/>
        <v>10.542952310307658</v>
      </c>
      <c r="G58" s="18">
        <f t="shared" ca="1" si="5"/>
        <v>-8.8002081672721388E-2</v>
      </c>
    </row>
    <row r="59" spans="1:7" x14ac:dyDescent="0.25">
      <c r="A59" s="14">
        <v>29</v>
      </c>
      <c r="B59" s="14">
        <f t="shared" ca="1" si="3"/>
        <v>0.75481887174577689</v>
      </c>
      <c r="C59" s="14">
        <f t="shared" ca="1" si="4"/>
        <v>0.68973276598699851</v>
      </c>
      <c r="D59" s="14">
        <f t="shared" si="0"/>
        <v>29</v>
      </c>
      <c r="E59" s="18">
        <f t="shared" ca="1" si="1"/>
        <v>10.644087614961439</v>
      </c>
      <c r="F59" s="18">
        <f t="shared" ca="1" si="2"/>
        <v>10.459969809347676</v>
      </c>
      <c r="G59" s="18">
        <f t="shared" ca="1" si="5"/>
        <v>0.1841178056137629</v>
      </c>
    </row>
    <row r="60" spans="1:7" x14ac:dyDescent="0.25">
      <c r="A60" s="14">
        <v>30</v>
      </c>
      <c r="B60" s="14">
        <f t="shared" ca="1" si="3"/>
        <v>0.86564651409775017</v>
      </c>
      <c r="C60" s="14">
        <f t="shared" ca="1" si="4"/>
        <v>1.1060451633223853</v>
      </c>
      <c r="D60" s="14">
        <f t="shared" si="0"/>
        <v>30</v>
      </c>
      <c r="E60" s="18">
        <f t="shared" ca="1" si="1"/>
        <v>10.951380920417767</v>
      </c>
      <c r="F60" s="18">
        <f t="shared" ca="1" si="2"/>
        <v>10.649198003411728</v>
      </c>
      <c r="G60" s="18">
        <f t="shared" ca="1" si="5"/>
        <v>0.30218291700603928</v>
      </c>
    </row>
    <row r="61" spans="1:7" x14ac:dyDescent="0.25">
      <c r="A61" s="14">
        <v>31</v>
      </c>
      <c r="B61" s="14">
        <f t="shared" ca="1" si="3"/>
        <v>0.24661222909223568</v>
      </c>
      <c r="C61" s="14">
        <f t="shared" ca="1" si="4"/>
        <v>-0.68518932661200516</v>
      </c>
      <c r="D61" s="14">
        <f t="shared" si="0"/>
        <v>31</v>
      </c>
      <c r="E61" s="18">
        <f t="shared" ca="1" si="1"/>
        <v>10.768352287969989</v>
      </c>
      <c r="F61" s="18">
        <f t="shared" ca="1" si="2"/>
        <v>10.95663884506053</v>
      </c>
      <c r="G61" s="18">
        <f t="shared" ca="1" si="5"/>
        <v>-0.18828655709054054</v>
      </c>
    </row>
    <row r="62" spans="1:7" x14ac:dyDescent="0.25">
      <c r="A62" s="14">
        <v>32</v>
      </c>
      <c r="B62" s="14">
        <f t="shared" ca="1" si="3"/>
        <v>0.43512223302081465</v>
      </c>
      <c r="C62" s="14">
        <f t="shared" ca="1" si="4"/>
        <v>-0.1633479705468267</v>
      </c>
      <c r="D62" s="14">
        <f t="shared" si="0"/>
        <v>32</v>
      </c>
      <c r="E62" s="18">
        <f t="shared" ca="1" si="1"/>
        <v>10.729093555154932</v>
      </c>
      <c r="F62" s="18">
        <f t="shared" ca="1" si="2"/>
        <v>10.773522337780904</v>
      </c>
      <c r="G62" s="18">
        <f t="shared" ca="1" si="5"/>
        <v>-4.4428782625971053E-2</v>
      </c>
    </row>
    <row r="63" spans="1:7" x14ac:dyDescent="0.25">
      <c r="A63" s="14">
        <v>33</v>
      </c>
      <c r="B63" s="14">
        <f t="shared" ca="1" si="3"/>
        <v>0.56645345986488005</v>
      </c>
      <c r="C63" s="14">
        <f t="shared" ca="1" si="4"/>
        <v>0.16735201352759119</v>
      </c>
      <c r="D63" s="14">
        <f t="shared" si="0"/>
        <v>33</v>
      </c>
      <c r="E63" s="18">
        <f t="shared" ca="1" si="1"/>
        <v>10.779786754790882</v>
      </c>
      <c r="F63" s="18">
        <f t="shared" ca="1" si="2"/>
        <v>10.734244756250765</v>
      </c>
      <c r="G63" s="18">
        <f t="shared" ca="1" si="5"/>
        <v>4.5541998540116424E-2</v>
      </c>
    </row>
    <row r="64" spans="1:7" x14ac:dyDescent="0.25">
      <c r="A64" s="14">
        <v>34</v>
      </c>
      <c r="B64" s="14">
        <f t="shared" ca="1" si="3"/>
        <v>0.73660050053566939</v>
      </c>
      <c r="C64" s="14">
        <f t="shared" ca="1" si="4"/>
        <v>0.63289992173172904</v>
      </c>
      <c r="D64" s="14">
        <f t="shared" si="0"/>
        <v>34</v>
      </c>
      <c r="E64" s="18">
        <f t="shared" ca="1" si="1"/>
        <v>10.959032762128158</v>
      </c>
      <c r="F64" s="18">
        <f t="shared" ca="1" si="2"/>
        <v>10.784962294463332</v>
      </c>
      <c r="G64" s="18">
        <f t="shared" ca="1" si="5"/>
        <v>0.17407046766482637</v>
      </c>
    </row>
    <row r="65" spans="1:7" x14ac:dyDescent="0.25">
      <c r="A65" s="14">
        <v>35</v>
      </c>
      <c r="B65" s="14">
        <f t="shared" ca="1" si="3"/>
        <v>0.58116497753760399</v>
      </c>
      <c r="C65" s="14">
        <f t="shared" ca="1" si="4"/>
        <v>0.20487467118502128</v>
      </c>
      <c r="D65" s="14">
        <f t="shared" si="0"/>
        <v>35</v>
      </c>
      <c r="E65" s="18">
        <f t="shared" ca="1" si="1"/>
        <v>11.021269434253513</v>
      </c>
      <c r="F65" s="18">
        <f t="shared" ca="1" si="2"/>
        <v>10.964294360536575</v>
      </c>
      <c r="G65" s="18">
        <f t="shared" ca="1" si="5"/>
        <v>5.6975073716937885E-2</v>
      </c>
    </row>
    <row r="66" spans="1:7" x14ac:dyDescent="0.25">
      <c r="A66" s="14">
        <v>36</v>
      </c>
      <c r="B66" s="14">
        <f t="shared" ca="1" si="3"/>
        <v>0.96849172168388109</v>
      </c>
      <c r="C66" s="14">
        <f t="shared" ca="1" si="4"/>
        <v>1.8590746590830654</v>
      </c>
      <c r="D66" s="14">
        <f t="shared" si="0"/>
        <v>36</v>
      </c>
      <c r="E66" s="18">
        <f t="shared" ca="1" si="1"/>
        <v>11.557542716427767</v>
      </c>
      <c r="F66" s="18">
        <f t="shared" ca="1" si="2"/>
        <v>11.026560913435361</v>
      </c>
      <c r="G66" s="18">
        <f t="shared" ca="1" si="5"/>
        <v>0.5309818029924056</v>
      </c>
    </row>
    <row r="67" spans="1:7" x14ac:dyDescent="0.25">
      <c r="A67" s="14">
        <v>37</v>
      </c>
      <c r="B67" s="14">
        <f t="shared" ca="1" si="3"/>
        <v>0.84918962182783719</v>
      </c>
      <c r="C67" s="14">
        <f t="shared" ca="1" si="4"/>
        <v>1.0329639782127451</v>
      </c>
      <c r="D67" s="14">
        <f t="shared" si="0"/>
        <v>37</v>
      </c>
      <c r="E67" s="18">
        <f t="shared" ca="1" si="1"/>
        <v>11.869242902609651</v>
      </c>
      <c r="F67" s="18">
        <f t="shared" ca="1" si="2"/>
        <v>11.563091668573627</v>
      </c>
      <c r="G67" s="18">
        <f t="shared" ca="1" si="5"/>
        <v>0.30615123403602418</v>
      </c>
    </row>
    <row r="68" spans="1:7" x14ac:dyDescent="0.25">
      <c r="A68" s="14">
        <v>38</v>
      </c>
      <c r="B68" s="14">
        <f t="shared" ca="1" si="3"/>
        <v>0.48178123863756539</v>
      </c>
      <c r="C68" s="14">
        <f t="shared" ca="1" si="4"/>
        <v>-4.5683547544644029E-2</v>
      </c>
      <c r="D68" s="14">
        <f t="shared" si="0"/>
        <v>38</v>
      </c>
      <c r="E68" s="18">
        <f t="shared" ca="1" si="1"/>
        <v>11.861225415940728</v>
      </c>
      <c r="F68" s="18">
        <f t="shared" ca="1" si="2"/>
        <v>11.874941506758486</v>
      </c>
      <c r="G68" s="18">
        <f t="shared" ca="1" si="5"/>
        <v>-1.3716090817757376E-2</v>
      </c>
    </row>
    <row r="69" spans="1:7" x14ac:dyDescent="0.25">
      <c r="A69" s="14">
        <v>39</v>
      </c>
      <c r="B69" s="14">
        <f t="shared" ca="1" si="3"/>
        <v>0.77004237886563831</v>
      </c>
      <c r="C69" s="14">
        <f t="shared" ca="1" si="4"/>
        <v>0.73898642210913978</v>
      </c>
      <c r="D69" s="14">
        <f t="shared" si="0"/>
        <v>39</v>
      </c>
      <c r="E69" s="18">
        <f t="shared" ca="1" si="1"/>
        <v>12.090859497417798</v>
      </c>
      <c r="F69" s="18">
        <f t="shared" ca="1" si="2"/>
        <v>11.8669201707722</v>
      </c>
      <c r="G69" s="18">
        <f t="shared" ca="1" si="5"/>
        <v>0.22393932664559735</v>
      </c>
    </row>
    <row r="70" spans="1:7" x14ac:dyDescent="0.25">
      <c r="A70" s="14">
        <v>40</v>
      </c>
      <c r="B70" s="14">
        <f t="shared" ca="1" si="3"/>
        <v>0.40000234464085582</v>
      </c>
      <c r="C70" s="14">
        <f t="shared" ca="1" si="4"/>
        <v>-0.25334103432677646</v>
      </c>
      <c r="D70" s="14">
        <f t="shared" si="0"/>
        <v>40</v>
      </c>
      <c r="E70" s="18">
        <f t="shared" ca="1" si="1"/>
        <v>12.019383955262569</v>
      </c>
      <c r="F70" s="18">
        <f t="shared" ca="1" si="2"/>
        <v>12.096664503066457</v>
      </c>
      <c r="G70" s="18">
        <f t="shared" ca="1" si="5"/>
        <v>-7.72805478038876E-2</v>
      </c>
    </row>
    <row r="71" spans="1:7" x14ac:dyDescent="0.25">
      <c r="A71" s="14">
        <v>41</v>
      </c>
      <c r="B71" s="14">
        <f t="shared" ca="1" si="3"/>
        <v>0.46796610068504763</v>
      </c>
      <c r="C71" s="14">
        <f t="shared" ca="1" si="4"/>
        <v>-8.0383560552544586E-2</v>
      </c>
      <c r="D71" s="14">
        <f t="shared" si="0"/>
        <v>41</v>
      </c>
      <c r="E71" s="18">
        <f t="shared" ca="1" si="1"/>
        <v>12.000725605073059</v>
      </c>
      <c r="F71" s="18">
        <f t="shared" ca="1" si="2"/>
        <v>12.025154644415695</v>
      </c>
      <c r="G71" s="18">
        <f t="shared" ca="1" si="5"/>
        <v>-2.4429039342635406E-2</v>
      </c>
    </row>
    <row r="72" spans="1:7" x14ac:dyDescent="0.25">
      <c r="A72" s="14">
        <v>42</v>
      </c>
      <c r="B72" s="14">
        <f t="shared" ca="1" si="3"/>
        <v>0.87567677088642482</v>
      </c>
      <c r="C72" s="14">
        <f t="shared" ca="1" si="4"/>
        <v>1.1536432519839888</v>
      </c>
      <c r="D72" s="14">
        <f t="shared" si="0"/>
        <v>42</v>
      </c>
      <c r="E72" s="18">
        <f t="shared" ca="1" si="1"/>
        <v>12.36206163808332</v>
      </c>
      <c r="F72" s="18">
        <f t="shared" ca="1" si="2"/>
        <v>12.006487336068307</v>
      </c>
      <c r="G72" s="18">
        <f t="shared" ca="1" si="5"/>
        <v>0.35557430201501283</v>
      </c>
    </row>
    <row r="73" spans="1:7" x14ac:dyDescent="0.25">
      <c r="A73" s="14">
        <v>43</v>
      </c>
      <c r="B73" s="14">
        <f t="shared" ca="1" si="3"/>
        <v>0.41855269798182526</v>
      </c>
      <c r="C73" s="14">
        <f t="shared" ca="1" si="4"/>
        <v>-0.20559741622679636</v>
      </c>
      <c r="D73" s="14">
        <f t="shared" si="0"/>
        <v>43</v>
      </c>
      <c r="E73" s="18">
        <f t="shared" ca="1" si="1"/>
        <v>12.303834827585357</v>
      </c>
      <c r="F73" s="18">
        <f t="shared" ca="1" si="2"/>
        <v>12.367996852006986</v>
      </c>
      <c r="G73" s="18">
        <f t="shared" ca="1" si="5"/>
        <v>-6.4162024421628772E-2</v>
      </c>
    </row>
    <row r="74" spans="1:7" x14ac:dyDescent="0.25">
      <c r="A74" s="14">
        <v>44</v>
      </c>
      <c r="B74" s="14">
        <f t="shared" ca="1" si="3"/>
        <v>0.31043032383469149</v>
      </c>
      <c r="C74" s="14">
        <f t="shared" ca="1" si="4"/>
        <v>-0.49463095460668888</v>
      </c>
      <c r="D74" s="14">
        <f t="shared" si="0"/>
        <v>44</v>
      </c>
      <c r="E74" s="18">
        <f t="shared" ca="1" si="1"/>
        <v>12.156666531636285</v>
      </c>
      <c r="F74" s="18">
        <f t="shared" ca="1" si="2"/>
        <v>12.30974208593118</v>
      </c>
      <c r="G74" s="18">
        <f t="shared" ca="1" si="5"/>
        <v>-0.15307555429489561</v>
      </c>
    </row>
    <row r="75" spans="1:7" x14ac:dyDescent="0.25">
      <c r="A75" s="14">
        <v>45</v>
      </c>
      <c r="B75" s="14">
        <f t="shared" ca="1" si="3"/>
        <v>0.56672156124920436</v>
      </c>
      <c r="C75" s="14">
        <f t="shared" ca="1" si="4"/>
        <v>0.16803355983362847</v>
      </c>
      <c r="D75" s="14">
        <f t="shared" si="0"/>
        <v>45</v>
      </c>
      <c r="E75" s="18">
        <f t="shared" ca="1" si="1"/>
        <v>12.214315374722732</v>
      </c>
      <c r="F75" s="18">
        <f t="shared" ca="1" si="2"/>
        <v>12.162503132243552</v>
      </c>
      <c r="G75" s="18">
        <f t="shared" ca="1" si="5"/>
        <v>5.1812242479179815E-2</v>
      </c>
    </row>
    <row r="76" spans="1:7" x14ac:dyDescent="0.25">
      <c r="A76" s="14">
        <v>46</v>
      </c>
      <c r="B76" s="14">
        <f t="shared" ca="1" si="3"/>
        <v>0.35642685772875449</v>
      </c>
      <c r="C76" s="14">
        <f t="shared" ca="1" si="4"/>
        <v>-0.36802617704300633</v>
      </c>
      <c r="D76" s="14">
        <f t="shared" si="0"/>
        <v>46</v>
      </c>
      <c r="E76" s="18">
        <f t="shared" ca="1" si="1"/>
        <v>12.106932804333493</v>
      </c>
      <c r="F76" s="18">
        <f t="shared" ca="1" si="2"/>
        <v>12.22017965341689</v>
      </c>
      <c r="G76" s="18">
        <f t="shared" ca="1" si="5"/>
        <v>-0.11324684908339755</v>
      </c>
    </row>
    <row r="77" spans="1:7" x14ac:dyDescent="0.25">
      <c r="A77" s="14">
        <v>47</v>
      </c>
      <c r="B77" s="14">
        <f t="shared" ca="1" si="3"/>
        <v>0.76938587362068001</v>
      </c>
      <c r="C77" s="14">
        <f t="shared" ca="1" si="4"/>
        <v>0.73682586358637059</v>
      </c>
      <c r="D77" s="14">
        <f t="shared" si="0"/>
        <v>47</v>
      </c>
      <c r="E77" s="18">
        <f t="shared" ca="1" si="1"/>
        <v>12.340649259349279</v>
      </c>
      <c r="F77" s="18">
        <f t="shared" ca="1" si="2"/>
        <v>12.112745527021413</v>
      </c>
      <c r="G77" s="18">
        <f t="shared" ca="1" si="5"/>
        <v>0.22790373232786543</v>
      </c>
    </row>
    <row r="78" spans="1:7" x14ac:dyDescent="0.25">
      <c r="A78" s="14">
        <v>48</v>
      </c>
      <c r="B78" s="14">
        <f t="shared" ca="1" si="3"/>
        <v>0.68850222430458241</v>
      </c>
      <c r="C78" s="14">
        <f t="shared" ca="1" si="4"/>
        <v>0.49160932307872773</v>
      </c>
      <c r="D78" s="14">
        <f t="shared" si="0"/>
        <v>48</v>
      </c>
      <c r="E78" s="18">
        <f t="shared" ca="1" si="1"/>
        <v>12.501085402545648</v>
      </c>
      <c r="F78" s="18">
        <f t="shared" ca="1" si="2"/>
        <v>12.34657419286405</v>
      </c>
      <c r="G78" s="18">
        <f t="shared" ca="1" si="5"/>
        <v>0.15451120968159771</v>
      </c>
    </row>
    <row r="79" spans="1:7" x14ac:dyDescent="0.25">
      <c r="A79" s="14">
        <v>49</v>
      </c>
      <c r="B79" s="14">
        <f t="shared" ca="1" si="3"/>
        <v>0.4583209756450396</v>
      </c>
      <c r="C79" s="14">
        <f t="shared" ca="1" si="4"/>
        <v>-0.10466460182649379</v>
      </c>
      <c r="D79" s="14">
        <f t="shared" si="0"/>
        <v>49</v>
      </c>
      <c r="E79" s="18">
        <f t="shared" ca="1" si="1"/>
        <v>12.474014549444432</v>
      </c>
      <c r="F79" s="18">
        <f t="shared" ca="1" si="2"/>
        <v>12.507087363894355</v>
      </c>
      <c r="G79" s="18">
        <f t="shared" ca="1" si="5"/>
        <v>-3.3072814449923271E-2</v>
      </c>
    </row>
    <row r="80" spans="1:7" x14ac:dyDescent="0.25">
      <c r="A80" s="14">
        <v>50</v>
      </c>
      <c r="B80" s="14">
        <f t="shared" ca="1" si="3"/>
        <v>0.20493314150882835</v>
      </c>
      <c r="C80" s="14">
        <f t="shared" ca="1" si="4"/>
        <v>-0.82412896630970056</v>
      </c>
      <c r="D80" s="14">
        <f t="shared" si="0"/>
        <v>50</v>
      </c>
      <c r="E80" s="18">
        <f t="shared" ca="1" si="1"/>
        <v>12.222501614105227</v>
      </c>
      <c r="F80" s="18">
        <f t="shared" ca="1" si="2"/>
        <v>12.48000351366459</v>
      </c>
      <c r="G80" s="18">
        <f t="shared" ca="1" si="5"/>
        <v>-0.25750189955936342</v>
      </c>
    </row>
    <row r="81" spans="1:7" x14ac:dyDescent="0.25">
      <c r="A81" s="14">
        <v>51</v>
      </c>
      <c r="B81" s="14">
        <f t="shared" ca="1" si="3"/>
        <v>0.8719705534872404</v>
      </c>
      <c r="C81" s="14">
        <f t="shared" ca="1" si="4"/>
        <v>1.1357555304152538</v>
      </c>
      <c r="D81" s="14">
        <f t="shared" si="0"/>
        <v>51</v>
      </c>
      <c r="E81" s="18">
        <f t="shared" ca="1" si="1"/>
        <v>12.584818949383175</v>
      </c>
      <c r="F81" s="18">
        <f t="shared" ca="1" si="2"/>
        <v>12.228369823137495</v>
      </c>
      <c r="G81" s="18">
        <f t="shared" ca="1" si="5"/>
        <v>0.35644912624568015</v>
      </c>
    </row>
    <row r="82" spans="1:7" x14ac:dyDescent="0.25">
      <c r="A82" s="14">
        <v>52</v>
      </c>
      <c r="B82" s="14">
        <f t="shared" ca="1" si="3"/>
        <v>0.25484269606191645</v>
      </c>
      <c r="C82" s="14">
        <f t="shared" ca="1" si="4"/>
        <v>-0.65932764764654039</v>
      </c>
      <c r="D82" s="14">
        <f t="shared" si="0"/>
        <v>52</v>
      </c>
      <c r="E82" s="18">
        <f t="shared" ca="1" si="1"/>
        <v>12.382589650286247</v>
      </c>
      <c r="F82" s="18">
        <f t="shared" ca="1" si="2"/>
        <v>12.590861112482013</v>
      </c>
      <c r="G82" s="18">
        <f t="shared" ca="1" si="5"/>
        <v>-0.20827146219576598</v>
      </c>
    </row>
    <row r="83" spans="1:7" x14ac:dyDescent="0.25">
      <c r="A83" s="14">
        <v>53</v>
      </c>
      <c r="B83" s="14">
        <f t="shared" ca="1" si="3"/>
        <v>0.2757560190332804</v>
      </c>
      <c r="C83" s="14">
        <f t="shared" ca="1" si="4"/>
        <v>-0.59549590126829632</v>
      </c>
      <c r="D83" s="14">
        <f t="shared" si="0"/>
        <v>53</v>
      </c>
      <c r="E83" s="18">
        <f t="shared" ca="1" si="1"/>
        <v>12.203300384222091</v>
      </c>
      <c r="F83" s="18">
        <f t="shared" ca="1" si="2"/>
        <v>12.388534720020974</v>
      </c>
      <c r="G83" s="18">
        <f t="shared" ca="1" si="5"/>
        <v>-0.18523433579888327</v>
      </c>
    </row>
    <row r="84" spans="1:7" x14ac:dyDescent="0.25">
      <c r="A84" s="14">
        <v>54</v>
      </c>
      <c r="B84" s="14">
        <f t="shared" ca="1" si="3"/>
        <v>0.18572635818412808</v>
      </c>
      <c r="C84" s="14">
        <f t="shared" ca="1" si="4"/>
        <v>-0.8937555129757786</v>
      </c>
      <c r="D84" s="14">
        <f t="shared" si="0"/>
        <v>54</v>
      </c>
      <c r="E84" s="18">
        <f t="shared" ca="1" si="1"/>
        <v>11.936202558636866</v>
      </c>
      <c r="F84" s="18">
        <f t="shared" ca="1" si="2"/>
        <v>12.20915937445168</v>
      </c>
      <c r="G84" s="18">
        <f t="shared" ca="1" si="5"/>
        <v>-0.27295681581481368</v>
      </c>
    </row>
    <row r="85" spans="1:7" x14ac:dyDescent="0.25">
      <c r="A85" s="14">
        <v>55</v>
      </c>
      <c r="B85" s="14">
        <f t="shared" ca="1" si="3"/>
        <v>0.16466564134864825</v>
      </c>
      <c r="C85" s="14">
        <f t="shared" ca="1" si="4"/>
        <v>-0.97546171678262705</v>
      </c>
      <c r="D85" s="14">
        <f t="shared" si="0"/>
        <v>55</v>
      </c>
      <c r="E85" s="18">
        <f t="shared" ca="1" si="1"/>
        <v>11.650843343013692</v>
      </c>
      <c r="F85" s="18">
        <f t="shared" ca="1" si="2"/>
        <v>11.94193331113558</v>
      </c>
      <c r="G85" s="18">
        <f t="shared" ca="1" si="5"/>
        <v>-0.29108996812188792</v>
      </c>
    </row>
    <row r="86" spans="1:7" x14ac:dyDescent="0.25">
      <c r="A86" s="14">
        <v>56</v>
      </c>
      <c r="B86" s="14">
        <f t="shared" ca="1" si="3"/>
        <v>0.13517846386238686</v>
      </c>
      <c r="C86" s="14">
        <f t="shared" ca="1" si="4"/>
        <v>-1.1022409632248826</v>
      </c>
      <c r="D86" s="14">
        <f t="shared" si="0"/>
        <v>56</v>
      </c>
      <c r="E86" s="18">
        <f t="shared" ca="1" si="1"/>
        <v>11.335890371984581</v>
      </c>
      <c r="F86" s="18">
        <f t="shared" ca="1" si="2"/>
        <v>11.656437090210265</v>
      </c>
      <c r="G86" s="18">
        <f t="shared" ca="1" si="5"/>
        <v>-0.32054671822568359</v>
      </c>
    </row>
    <row r="87" spans="1:7" x14ac:dyDescent="0.25">
      <c r="A87" s="14">
        <v>57</v>
      </c>
      <c r="B87" s="14">
        <f t="shared" ca="1" si="3"/>
        <v>0.32518209077277405</v>
      </c>
      <c r="C87" s="14">
        <f t="shared" ca="1" si="4"/>
        <v>-0.45325632044357356</v>
      </c>
      <c r="D87" s="14">
        <f t="shared" si="0"/>
        <v>57</v>
      </c>
      <c r="E87" s="18">
        <f t="shared" ca="1" si="1"/>
        <v>11.212029370574555</v>
      </c>
      <c r="F87" s="18">
        <f t="shared" ca="1" si="2"/>
        <v>11.341332905466672</v>
      </c>
      <c r="G87" s="18">
        <f t="shared" ca="1" si="5"/>
        <v>-0.12930353489211655</v>
      </c>
    </row>
    <row r="88" spans="1:7" x14ac:dyDescent="0.25">
      <c r="A88" s="14">
        <v>58</v>
      </c>
      <c r="B88" s="14">
        <f t="shared" ca="1" si="3"/>
        <v>0.64242570643458807</v>
      </c>
      <c r="C88" s="14">
        <f t="shared" ca="1" si="4"/>
        <v>0.36495019130626555</v>
      </c>
      <c r="D88" s="14">
        <f t="shared" si="0"/>
        <v>58</v>
      </c>
      <c r="E88" s="18">
        <f t="shared" ca="1" si="1"/>
        <v>11.321457779160397</v>
      </c>
      <c r="F88" s="18">
        <f t="shared" ca="1" si="2"/>
        <v>11.217412436504899</v>
      </c>
      <c r="G88" s="18">
        <f t="shared" ca="1" si="5"/>
        <v>0.10404534265549792</v>
      </c>
    </row>
    <row r="89" spans="1:7" x14ac:dyDescent="0.25">
      <c r="A89" s="14">
        <v>59</v>
      </c>
      <c r="B89" s="14">
        <f t="shared" ca="1" si="3"/>
        <v>0.28535961252760467</v>
      </c>
      <c r="C89" s="14">
        <f t="shared" ca="1" si="4"/>
        <v>-0.5669925767122318</v>
      </c>
      <c r="D89" s="14">
        <f t="shared" si="0"/>
        <v>59</v>
      </c>
      <c r="E89" s="18">
        <f t="shared" ca="1" si="1"/>
        <v>11.165581204722979</v>
      </c>
      <c r="F89" s="18">
        <f t="shared" ca="1" si="2"/>
        <v>11.326893383335031</v>
      </c>
      <c r="G89" s="18">
        <f t="shared" ca="1" si="5"/>
        <v>-0.16131217861205194</v>
      </c>
    </row>
    <row r="90" spans="1:7" x14ac:dyDescent="0.25">
      <c r="A90" s="14">
        <v>60</v>
      </c>
      <c r="B90" s="14">
        <f t="shared" ca="1" si="3"/>
        <v>0.88943488345130051</v>
      </c>
      <c r="C90" s="14">
        <f t="shared" ca="1" si="4"/>
        <v>1.2235282706081172</v>
      </c>
      <c r="D90" s="14">
        <f t="shared" si="0"/>
        <v>60</v>
      </c>
      <c r="E90" s="18">
        <f t="shared" ca="1" si="1"/>
        <v>11.522124179192236</v>
      </c>
      <c r="F90" s="18">
        <f t="shared" ca="1" si="2"/>
        <v>11.17094197018203</v>
      </c>
      <c r="G90" s="18">
        <f t="shared" ca="1" si="5"/>
        <v>0.35118220901020614</v>
      </c>
    </row>
    <row r="91" spans="1:7" x14ac:dyDescent="0.25">
      <c r="A91" s="14">
        <v>61</v>
      </c>
      <c r="B91" s="14">
        <f t="shared" ca="1" si="3"/>
        <v>6.6124812829995161E-3</v>
      </c>
      <c r="C91" s="14">
        <f t="shared" ca="1" si="4"/>
        <v>-2.4776531838211504</v>
      </c>
      <c r="D91" s="14">
        <f t="shared" si="0"/>
        <v>61</v>
      </c>
      <c r="E91" s="18">
        <f t="shared" ca="1" si="1"/>
        <v>10.827279296821546</v>
      </c>
      <c r="F91" s="18">
        <f t="shared" ca="1" si="2"/>
        <v>11.527656126359354</v>
      </c>
      <c r="G91" s="18">
        <f t="shared" ca="1" si="5"/>
        <v>-0.70037682953780767</v>
      </c>
    </row>
    <row r="92" spans="1:7" x14ac:dyDescent="0.25">
      <c r="A92" s="14">
        <v>62</v>
      </c>
      <c r="B92" s="14">
        <f t="shared" ca="1" si="3"/>
        <v>0.49182621520284875</v>
      </c>
      <c r="C92" s="14">
        <f t="shared" ca="1" si="4"/>
        <v>-2.0490073762424892E-2</v>
      </c>
      <c r="D92" s="14">
        <f t="shared" si="0"/>
        <v>62</v>
      </c>
      <c r="E92" s="18">
        <f t="shared" ca="1" si="1"/>
        <v>10.826863944151498</v>
      </c>
      <c r="F92" s="18">
        <f t="shared" ca="1" si="2"/>
        <v>10.832477638386187</v>
      </c>
      <c r="G92" s="18">
        <f t="shared" ca="1" si="5"/>
        <v>-5.6136942346896035E-3</v>
      </c>
    </row>
    <row r="93" spans="1:7" x14ac:dyDescent="0.25">
      <c r="A93" s="14">
        <v>63</v>
      </c>
      <c r="B93" s="14">
        <f t="shared" ca="1" si="3"/>
        <v>0.81716122023440974</v>
      </c>
      <c r="C93" s="14">
        <f t="shared" ca="1" si="4"/>
        <v>0.90459957697602733</v>
      </c>
      <c r="D93" s="14">
        <f t="shared" si="0"/>
        <v>63</v>
      </c>
      <c r="E93" s="18">
        <f t="shared" ca="1" si="1"/>
        <v>11.082809433640078</v>
      </c>
      <c r="F93" s="18">
        <f t="shared" ca="1" si="2"/>
        <v>10.832062086299</v>
      </c>
      <c r="G93" s="18">
        <f t="shared" ca="1" si="5"/>
        <v>0.25074734734107729</v>
      </c>
    </row>
    <row r="94" spans="1:7" x14ac:dyDescent="0.25">
      <c r="A94" s="14">
        <v>64</v>
      </c>
      <c r="B94" s="14">
        <f t="shared" ca="1" si="3"/>
        <v>0.20591709311178574</v>
      </c>
      <c r="C94" s="14">
        <f t="shared" ca="1" si="4"/>
        <v>-0.82067013542266953</v>
      </c>
      <c r="D94" s="14">
        <f t="shared" si="0"/>
        <v>64</v>
      </c>
      <c r="E94" s="18">
        <f t="shared" ca="1" si="1"/>
        <v>10.860297557005362</v>
      </c>
      <c r="F94" s="18">
        <f t="shared" ca="1" si="2"/>
        <v>11.088130459112174</v>
      </c>
      <c r="G94" s="18">
        <f t="shared" ca="1" si="5"/>
        <v>-0.22783290210681173</v>
      </c>
    </row>
    <row r="95" spans="1:7" x14ac:dyDescent="0.25">
      <c r="A95" s="14">
        <v>65</v>
      </c>
      <c r="B95" s="14">
        <f t="shared" ca="1" si="3"/>
        <v>0.1607632834099878</v>
      </c>
      <c r="C95" s="14">
        <f t="shared" ca="1" si="4"/>
        <v>-0.99132570173127554</v>
      </c>
      <c r="D95" s="14">
        <f t="shared" ref="D95:D158" si="6">A95*Dt</f>
        <v>65</v>
      </c>
      <c r="E95" s="18">
        <f t="shared" ref="E95:E158" ca="1" si="7">E94*EXP(m*Dt/250+V*C95*SQRT(Dt/250))</f>
        <v>10.596406524527559</v>
      </c>
      <c r="F95" s="18">
        <f t="shared" ref="F95:F158" ca="1" si="8">E94*EXP(m*Dt/250)</f>
        <v>10.865511751139204</v>
      </c>
      <c r="G95" s="18">
        <f t="shared" ca="1" si="5"/>
        <v>-0.26910522661164471</v>
      </c>
    </row>
    <row r="96" spans="1:7" x14ac:dyDescent="0.25">
      <c r="A96" s="14">
        <v>66</v>
      </c>
      <c r="B96" s="14">
        <f t="shared" ref="B96:B159" ca="1" si="9">RAND()</f>
        <v>0.63921728449910364</v>
      </c>
      <c r="C96" s="14">
        <f t="shared" ref="C96:C159" ca="1" si="10">_xlfn.NORM.S.INV(B96)</f>
        <v>0.35636741194202892</v>
      </c>
      <c r="D96" s="14">
        <f t="shared" si="6"/>
        <v>66</v>
      </c>
      <c r="E96" s="18">
        <f t="shared" ca="1" si="7"/>
        <v>10.697503517959156</v>
      </c>
      <c r="F96" s="18">
        <f t="shared" ca="1" si="8"/>
        <v>10.6014940205607</v>
      </c>
      <c r="G96" s="18">
        <f t="shared" ref="G96:G159" ca="1" si="11">E96-F96</f>
        <v>9.6009497398455323E-2</v>
      </c>
    </row>
    <row r="97" spans="1:7" x14ac:dyDescent="0.25">
      <c r="A97" s="14">
        <v>67</v>
      </c>
      <c r="B97" s="14">
        <f t="shared" ca="1" si="9"/>
        <v>0.53402580692980206</v>
      </c>
      <c r="C97" s="14">
        <f t="shared" ca="1" si="10"/>
        <v>8.539371937277429E-2</v>
      </c>
      <c r="D97" s="14">
        <f t="shared" si="6"/>
        <v>67</v>
      </c>
      <c r="E97" s="18">
        <f t="shared" ca="1" si="7"/>
        <v>10.725785555239725</v>
      </c>
      <c r="F97" s="18">
        <f t="shared" ca="1" si="8"/>
        <v>10.702639552197381</v>
      </c>
      <c r="G97" s="18">
        <f t="shared" ca="1" si="11"/>
        <v>2.3146003042343821E-2</v>
      </c>
    </row>
    <row r="98" spans="1:7" x14ac:dyDescent="0.25">
      <c r="A98" s="14">
        <v>68</v>
      </c>
      <c r="B98" s="14">
        <f t="shared" ca="1" si="9"/>
        <v>0.33630512132298085</v>
      </c>
      <c r="C98" s="14">
        <f t="shared" ca="1" si="10"/>
        <v>-0.42256832250588433</v>
      </c>
      <c r="D98" s="14">
        <f t="shared" si="6"/>
        <v>68</v>
      </c>
      <c r="E98" s="18">
        <f t="shared" ca="1" si="7"/>
        <v>10.616830027595574</v>
      </c>
      <c r="F98" s="18">
        <f t="shared" ca="1" si="8"/>
        <v>10.730935168114456</v>
      </c>
      <c r="G98" s="18">
        <f t="shared" ca="1" si="11"/>
        <v>-0.11410514051888221</v>
      </c>
    </row>
    <row r="99" spans="1:7" x14ac:dyDescent="0.25">
      <c r="A99" s="14">
        <v>69</v>
      </c>
      <c r="B99" s="14">
        <f t="shared" ca="1" si="9"/>
        <v>0.40671780778262889</v>
      </c>
      <c r="C99" s="14">
        <f t="shared" ca="1" si="10"/>
        <v>-0.23599620425620341</v>
      </c>
      <c r="D99" s="14">
        <f t="shared" si="6"/>
        <v>69</v>
      </c>
      <c r="E99" s="18">
        <f t="shared" ca="1" si="7"/>
        <v>10.558700333762273</v>
      </c>
      <c r="F99" s="18">
        <f t="shared" ca="1" si="8"/>
        <v>10.621927329263352</v>
      </c>
      <c r="G99" s="18">
        <f t="shared" ca="1" si="11"/>
        <v>-6.3226995501079131E-2</v>
      </c>
    </row>
    <row r="100" spans="1:7" x14ac:dyDescent="0.25">
      <c r="A100" s="14">
        <v>70</v>
      </c>
      <c r="B100" s="14">
        <f t="shared" ca="1" si="9"/>
        <v>0.55820738615343435</v>
      </c>
      <c r="C100" s="14">
        <f t="shared" ca="1" si="10"/>
        <v>0.14642584264073111</v>
      </c>
      <c r="D100" s="14">
        <f t="shared" si="6"/>
        <v>70</v>
      </c>
      <c r="E100" s="18">
        <f t="shared" ca="1" si="7"/>
        <v>10.602973807168688</v>
      </c>
      <c r="F100" s="18">
        <f t="shared" ca="1" si="8"/>
        <v>10.563769726479398</v>
      </c>
      <c r="G100" s="18">
        <f t="shared" ca="1" si="11"/>
        <v>3.9204080689289711E-2</v>
      </c>
    </row>
    <row r="101" spans="1:7" x14ac:dyDescent="0.25">
      <c r="A101" s="14">
        <v>71</v>
      </c>
      <c r="B101" s="14">
        <f t="shared" ca="1" si="9"/>
        <v>0.23062606616612702</v>
      </c>
      <c r="C101" s="14">
        <f t="shared" ca="1" si="10"/>
        <v>-0.73678660161118836</v>
      </c>
      <c r="D101" s="14">
        <f t="shared" si="6"/>
        <v>71</v>
      </c>
      <c r="E101" s="18">
        <f t="shared" ca="1" si="7"/>
        <v>10.412167967748461</v>
      </c>
      <c r="F101" s="18">
        <f t="shared" ca="1" si="8"/>
        <v>10.608064456254167</v>
      </c>
      <c r="G101" s="18">
        <f t="shared" ca="1" si="11"/>
        <v>-0.1958964885057064</v>
      </c>
    </row>
    <row r="102" spans="1:7" x14ac:dyDescent="0.25">
      <c r="A102" s="14">
        <v>72</v>
      </c>
      <c r="B102" s="14">
        <f t="shared" ca="1" si="9"/>
        <v>0.44580300159830089</v>
      </c>
      <c r="C102" s="14">
        <f t="shared" ca="1" si="10"/>
        <v>-0.13627232249890933</v>
      </c>
      <c r="D102" s="14">
        <f t="shared" si="6"/>
        <v>72</v>
      </c>
      <c r="E102" s="18">
        <f t="shared" ca="1" si="7"/>
        <v>10.381316205435777</v>
      </c>
      <c r="F102" s="18">
        <f t="shared" ca="1" si="8"/>
        <v>10.41716700804667</v>
      </c>
      <c r="G102" s="18">
        <f t="shared" ca="1" si="11"/>
        <v>-3.585080261089324E-2</v>
      </c>
    </row>
    <row r="103" spans="1:7" x14ac:dyDescent="0.25">
      <c r="A103" s="14">
        <v>73</v>
      </c>
      <c r="B103" s="14">
        <f t="shared" ca="1" si="9"/>
        <v>0.75956815510756093</v>
      </c>
      <c r="C103" s="14">
        <f t="shared" ca="1" si="10"/>
        <v>0.70491410823375322</v>
      </c>
      <c r="D103" s="14">
        <f t="shared" si="6"/>
        <v>73</v>
      </c>
      <c r="E103" s="18">
        <f t="shared" ca="1" si="7"/>
        <v>10.573181467100216</v>
      </c>
      <c r="F103" s="18">
        <f t="shared" ca="1" si="8"/>
        <v>10.386300433333384</v>
      </c>
      <c r="G103" s="18">
        <f t="shared" ca="1" si="11"/>
        <v>0.18688103376683252</v>
      </c>
    </row>
    <row r="104" spans="1:7" x14ac:dyDescent="0.25">
      <c r="A104" s="14">
        <v>74</v>
      </c>
      <c r="B104" s="14">
        <f t="shared" ca="1" si="9"/>
        <v>0.19342237491841707</v>
      </c>
      <c r="C104" s="14">
        <f t="shared" ca="1" si="10"/>
        <v>-0.86535358209974922</v>
      </c>
      <c r="D104" s="14">
        <f t="shared" si="6"/>
        <v>74</v>
      </c>
      <c r="E104" s="18">
        <f t="shared" ca="1" si="7"/>
        <v>10.349196030192733</v>
      </c>
      <c r="F104" s="18">
        <f t="shared" ca="1" si="8"/>
        <v>10.578257812429838</v>
      </c>
      <c r="G104" s="18">
        <f t="shared" ca="1" si="11"/>
        <v>-0.22906178223710505</v>
      </c>
    </row>
    <row r="105" spans="1:7" x14ac:dyDescent="0.25">
      <c r="A105" s="14">
        <v>75</v>
      </c>
      <c r="B105" s="14">
        <f t="shared" ca="1" si="9"/>
        <v>0.54588194272094592</v>
      </c>
      <c r="C105" s="14">
        <f t="shared" ca="1" si="10"/>
        <v>0.11526369393603531</v>
      </c>
      <c r="D105" s="14">
        <f t="shared" si="6"/>
        <v>75</v>
      </c>
      <c r="E105" s="18">
        <f t="shared" ca="1" si="7"/>
        <v>10.384401296657105</v>
      </c>
      <c r="F105" s="18">
        <f t="shared" ca="1" si="8"/>
        <v>10.354164836705387</v>
      </c>
      <c r="G105" s="18">
        <f t="shared" ca="1" si="11"/>
        <v>3.0236459951717976E-2</v>
      </c>
    </row>
    <row r="106" spans="1:7" x14ac:dyDescent="0.25">
      <c r="A106" s="14">
        <v>76</v>
      </c>
      <c r="B106" s="14">
        <f t="shared" ca="1" si="9"/>
        <v>0.34230360163655449</v>
      </c>
      <c r="C106" s="14">
        <f t="shared" ca="1" si="10"/>
        <v>-0.40618428049146926</v>
      </c>
      <c r="D106" s="14">
        <f t="shared" si="6"/>
        <v>76</v>
      </c>
      <c r="E106" s="18">
        <f t="shared" ca="1" si="7"/>
        <v>10.283175006128236</v>
      </c>
      <c r="F106" s="18">
        <f t="shared" ca="1" si="8"/>
        <v>10.389387005753957</v>
      </c>
      <c r="G106" s="18">
        <f t="shared" ca="1" si="11"/>
        <v>-0.10621199962572092</v>
      </c>
    </row>
    <row r="107" spans="1:7" x14ac:dyDescent="0.25">
      <c r="A107" s="14">
        <v>77</v>
      </c>
      <c r="B107" s="14">
        <f t="shared" ca="1" si="9"/>
        <v>0.72908166543920827</v>
      </c>
      <c r="C107" s="14">
        <f t="shared" ca="1" si="10"/>
        <v>0.61003794930735944</v>
      </c>
      <c r="D107" s="14">
        <f t="shared" si="6"/>
        <v>77</v>
      </c>
      <c r="E107" s="18">
        <f t="shared" ca="1" si="7"/>
        <v>10.44811876910453</v>
      </c>
      <c r="F107" s="18">
        <f t="shared" ca="1" si="8"/>
        <v>10.2881121149425</v>
      </c>
      <c r="G107" s="18">
        <f t="shared" ca="1" si="11"/>
        <v>0.16000665416203042</v>
      </c>
    </row>
    <row r="108" spans="1:7" x14ac:dyDescent="0.25">
      <c r="A108" s="14">
        <v>78</v>
      </c>
      <c r="B108" s="14">
        <f t="shared" ca="1" si="9"/>
        <v>0.11764359720377349</v>
      </c>
      <c r="C108" s="14">
        <f t="shared" ca="1" si="10"/>
        <v>-1.1868489812823617</v>
      </c>
      <c r="D108" s="14">
        <f t="shared" si="6"/>
        <v>78</v>
      </c>
      <c r="E108" s="18">
        <f t="shared" ca="1" si="7"/>
        <v>10.143942932641231</v>
      </c>
      <c r="F108" s="18">
        <f t="shared" ca="1" si="8"/>
        <v>10.453135069929585</v>
      </c>
      <c r="G108" s="18">
        <f t="shared" ca="1" si="11"/>
        <v>-0.30919213728835437</v>
      </c>
    </row>
    <row r="109" spans="1:7" x14ac:dyDescent="0.25">
      <c r="A109" s="14">
        <v>79</v>
      </c>
      <c r="B109" s="14">
        <f t="shared" ca="1" si="9"/>
        <v>0.91766147375170304</v>
      </c>
      <c r="C109" s="14">
        <f t="shared" ca="1" si="10"/>
        <v>1.3895122039852508</v>
      </c>
      <c r="D109" s="14">
        <f t="shared" si="6"/>
        <v>79</v>
      </c>
      <c r="E109" s="18">
        <f t="shared" ca="1" si="7"/>
        <v>10.511910621268596</v>
      </c>
      <c r="F109" s="18">
        <f t="shared" ca="1" si="8"/>
        <v>10.148813194018119</v>
      </c>
      <c r="G109" s="18">
        <f t="shared" ca="1" si="11"/>
        <v>0.36309742725047656</v>
      </c>
    </row>
    <row r="110" spans="1:7" x14ac:dyDescent="0.25">
      <c r="A110" s="14">
        <v>80</v>
      </c>
      <c r="B110" s="14">
        <f t="shared" ca="1" si="9"/>
        <v>0.32255694050641603</v>
      </c>
      <c r="C110" s="14">
        <f t="shared" ca="1" si="10"/>
        <v>-0.46056060500734397</v>
      </c>
      <c r="D110" s="14">
        <f t="shared" si="6"/>
        <v>80</v>
      </c>
      <c r="E110" s="18">
        <f t="shared" ca="1" si="7"/>
        <v>10.395131744510202</v>
      </c>
      <c r="F110" s="18">
        <f t="shared" ca="1" si="8"/>
        <v>10.516957549532687</v>
      </c>
      <c r="G110" s="18">
        <f t="shared" ca="1" si="11"/>
        <v>-0.12182580502248541</v>
      </c>
    </row>
    <row r="111" spans="1:7" x14ac:dyDescent="0.25">
      <c r="A111" s="14">
        <v>81</v>
      </c>
      <c r="B111" s="14">
        <f t="shared" ca="1" si="9"/>
        <v>0.70894712504595125</v>
      </c>
      <c r="C111" s="14">
        <f t="shared" ca="1" si="10"/>
        <v>0.55031148243065264</v>
      </c>
      <c r="D111" s="14">
        <f t="shared" si="6"/>
        <v>81</v>
      </c>
      <c r="E111" s="18">
        <f t="shared" ca="1" si="7"/>
        <v>10.545924655554751</v>
      </c>
      <c r="F111" s="18">
        <f t="shared" ca="1" si="8"/>
        <v>10.400122605458369</v>
      </c>
      <c r="G111" s="18">
        <f t="shared" ca="1" si="11"/>
        <v>0.14580205009638192</v>
      </c>
    </row>
    <row r="112" spans="1:7" x14ac:dyDescent="0.25">
      <c r="A112" s="14">
        <v>82</v>
      </c>
      <c r="B112" s="14">
        <f t="shared" ca="1" si="9"/>
        <v>0.94245077559346013</v>
      </c>
      <c r="C112" s="14">
        <f t="shared" ca="1" si="10"/>
        <v>1.575684857832963</v>
      </c>
      <c r="D112" s="14">
        <f t="shared" si="6"/>
        <v>82</v>
      </c>
      <c r="E112" s="18">
        <f t="shared" ca="1" si="7"/>
        <v>10.980066811770158</v>
      </c>
      <c r="F112" s="18">
        <f t="shared" ca="1" si="8"/>
        <v>10.550987914474343</v>
      </c>
      <c r="G112" s="18">
        <f t="shared" ca="1" si="11"/>
        <v>0.42907889729581505</v>
      </c>
    </row>
    <row r="113" spans="1:7" x14ac:dyDescent="0.25">
      <c r="A113" s="14">
        <v>83</v>
      </c>
      <c r="B113" s="14">
        <f t="shared" ca="1" si="9"/>
        <v>0.25342029008015798</v>
      </c>
      <c r="C113" s="14">
        <f t="shared" ca="1" si="10"/>
        <v>-0.66376523407966204</v>
      </c>
      <c r="D113" s="14">
        <f t="shared" si="6"/>
        <v>83</v>
      </c>
      <c r="E113" s="18">
        <f t="shared" ca="1" si="7"/>
        <v>10.802411985142347</v>
      </c>
      <c r="F113" s="18">
        <f t="shared" ca="1" si="8"/>
        <v>10.985338508945912</v>
      </c>
      <c r="G113" s="18">
        <f t="shared" ca="1" si="11"/>
        <v>-0.18292652380356422</v>
      </c>
    </row>
    <row r="114" spans="1:7" x14ac:dyDescent="0.25">
      <c r="A114" s="14">
        <v>84</v>
      </c>
      <c r="B114" s="14">
        <f t="shared" ca="1" si="9"/>
        <v>0.90848517333735179</v>
      </c>
      <c r="C114" s="14">
        <f t="shared" ca="1" si="10"/>
        <v>1.3314844649361857</v>
      </c>
      <c r="D114" s="14">
        <f t="shared" si="6"/>
        <v>84</v>
      </c>
      <c r="E114" s="18">
        <f t="shared" ca="1" si="7"/>
        <v>11.177844279607186</v>
      </c>
      <c r="F114" s="18">
        <f t="shared" ca="1" si="8"/>
        <v>10.807598387532209</v>
      </c>
      <c r="G114" s="18">
        <f t="shared" ca="1" si="11"/>
        <v>0.37024589207497627</v>
      </c>
    </row>
    <row r="115" spans="1:7" x14ac:dyDescent="0.25">
      <c r="A115" s="14">
        <v>85</v>
      </c>
      <c r="B115" s="14">
        <f t="shared" ca="1" si="9"/>
        <v>0.94627352202941606</v>
      </c>
      <c r="C115" s="14">
        <f t="shared" ca="1" si="10"/>
        <v>1.6097476589630428</v>
      </c>
      <c r="D115" s="14">
        <f t="shared" si="6"/>
        <v>85</v>
      </c>
      <c r="E115" s="18">
        <f t="shared" ca="1" si="7"/>
        <v>11.648033672189669</v>
      </c>
      <c r="F115" s="18">
        <f t="shared" ca="1" si="8"/>
        <v>11.183210932755113</v>
      </c>
      <c r="G115" s="18">
        <f t="shared" ca="1" si="11"/>
        <v>0.4648227394345561</v>
      </c>
    </row>
    <row r="116" spans="1:7" x14ac:dyDescent="0.25">
      <c r="A116" s="14">
        <v>86</v>
      </c>
      <c r="B116" s="14">
        <f t="shared" ca="1" si="9"/>
        <v>0.85879589143860735</v>
      </c>
      <c r="C116" s="14">
        <f t="shared" ca="1" si="10"/>
        <v>1.0749252032465113</v>
      </c>
      <c r="D116" s="14">
        <f t="shared" si="6"/>
        <v>86</v>
      </c>
      <c r="E116" s="18">
        <f t="shared" ca="1" si="7"/>
        <v>11.974879467666574</v>
      </c>
      <c r="F116" s="18">
        <f t="shared" ca="1" si="8"/>
        <v>11.65362607042052</v>
      </c>
      <c r="G116" s="18">
        <f t="shared" ca="1" si="11"/>
        <v>0.3212533972460534</v>
      </c>
    </row>
    <row r="117" spans="1:7" x14ac:dyDescent="0.25">
      <c r="A117" s="14">
        <v>87</v>
      </c>
      <c r="B117" s="14">
        <f t="shared" ca="1" si="9"/>
        <v>0.63778882323083896</v>
      </c>
      <c r="C117" s="14">
        <f t="shared" ca="1" si="10"/>
        <v>0.35255463339848186</v>
      </c>
      <c r="D117" s="14">
        <f t="shared" si="6"/>
        <v>87</v>
      </c>
      <c r="E117" s="18">
        <f t="shared" ca="1" si="7"/>
        <v>12.087962020467922</v>
      </c>
      <c r="F117" s="18">
        <f t="shared" ca="1" si="8"/>
        <v>11.980628789537915</v>
      </c>
      <c r="G117" s="18">
        <f t="shared" ca="1" si="11"/>
        <v>0.10733323093000635</v>
      </c>
    </row>
    <row r="118" spans="1:7" x14ac:dyDescent="0.25">
      <c r="A118" s="14">
        <v>88</v>
      </c>
      <c r="B118" s="14">
        <f t="shared" ca="1" si="9"/>
        <v>0.79162516805488792</v>
      </c>
      <c r="C118" s="14">
        <f t="shared" ca="1" si="10"/>
        <v>0.81207314114101958</v>
      </c>
      <c r="D118" s="14">
        <f t="shared" si="6"/>
        <v>88</v>
      </c>
      <c r="E118" s="18">
        <f t="shared" ca="1" si="7"/>
        <v>12.344789720385755</v>
      </c>
      <c r="F118" s="18">
        <f t="shared" ca="1" si="8"/>
        <v>12.093765634993803</v>
      </c>
      <c r="G118" s="18">
        <f t="shared" ca="1" si="11"/>
        <v>0.25102408539195231</v>
      </c>
    </row>
    <row r="119" spans="1:7" x14ac:dyDescent="0.25">
      <c r="A119" s="14">
        <v>89</v>
      </c>
      <c r="B119" s="14">
        <f t="shared" ca="1" si="9"/>
        <v>0.55595967151638537</v>
      </c>
      <c r="C119" s="14">
        <f t="shared" ca="1" si="10"/>
        <v>0.14073327510076944</v>
      </c>
      <c r="D119" s="14">
        <f t="shared" si="6"/>
        <v>89</v>
      </c>
      <c r="E119" s="18">
        <f t="shared" ca="1" si="7"/>
        <v>12.394767287478349</v>
      </c>
      <c r="F119" s="18">
        <f t="shared" ca="1" si="8"/>
        <v>12.350716641798883</v>
      </c>
      <c r="G119" s="18">
        <f t="shared" ca="1" si="11"/>
        <v>4.4050645679465816E-2</v>
      </c>
    </row>
    <row r="120" spans="1:7" x14ac:dyDescent="0.25">
      <c r="A120" s="14">
        <v>90</v>
      </c>
      <c r="B120" s="14">
        <f t="shared" ca="1" si="9"/>
        <v>0.65769996607579007</v>
      </c>
      <c r="C120" s="14">
        <f t="shared" ca="1" si="10"/>
        <v>0.40619399244967613</v>
      </c>
      <c r="D120" s="14">
        <f t="shared" si="6"/>
        <v>90</v>
      </c>
      <c r="E120" s="18">
        <f t="shared" ca="1" si="7"/>
        <v>12.528804785196602</v>
      </c>
      <c r="F120" s="18">
        <f t="shared" ca="1" si="8"/>
        <v>12.400718203882017</v>
      </c>
      <c r="G120" s="18">
        <f t="shared" ca="1" si="11"/>
        <v>0.1280865813145855</v>
      </c>
    </row>
    <row r="121" spans="1:7" x14ac:dyDescent="0.25">
      <c r="A121" s="14">
        <v>91</v>
      </c>
      <c r="B121" s="14">
        <f t="shared" ca="1" si="9"/>
        <v>2.01815785036773E-2</v>
      </c>
      <c r="C121" s="14">
        <f t="shared" ca="1" si="10"/>
        <v>-2.0500130535806345</v>
      </c>
      <c r="D121" s="14">
        <f t="shared" si="6"/>
        <v>91</v>
      </c>
      <c r="E121" s="18">
        <f t="shared" ca="1" si="7"/>
        <v>11.901312548717401</v>
      </c>
      <c r="F121" s="18">
        <f t="shared" ca="1" si="8"/>
        <v>12.534820055042765</v>
      </c>
      <c r="G121" s="18">
        <f t="shared" ca="1" si="11"/>
        <v>-0.63350750632536368</v>
      </c>
    </row>
    <row r="122" spans="1:7" x14ac:dyDescent="0.25">
      <c r="A122" s="14">
        <v>92</v>
      </c>
      <c r="B122" s="14">
        <f t="shared" ca="1" si="9"/>
        <v>0.17621288768018761</v>
      </c>
      <c r="C122" s="14">
        <f t="shared" ca="1" si="10"/>
        <v>-0.92989437564054989</v>
      </c>
      <c r="D122" s="14">
        <f t="shared" si="6"/>
        <v>92</v>
      </c>
      <c r="E122" s="18">
        <f t="shared" ca="1" si="7"/>
        <v>11.630186686640064</v>
      </c>
      <c r="F122" s="18">
        <f t="shared" ca="1" si="8"/>
        <v>11.907026549991382</v>
      </c>
      <c r="G122" s="18">
        <f t="shared" ca="1" si="11"/>
        <v>-0.27683986335131827</v>
      </c>
    </row>
    <row r="123" spans="1:7" x14ac:dyDescent="0.25">
      <c r="A123" s="14">
        <v>93</v>
      </c>
      <c r="B123" s="14">
        <f t="shared" ca="1" si="9"/>
        <v>3.3938054304267218E-2</v>
      </c>
      <c r="C123" s="14">
        <f t="shared" ca="1" si="10"/>
        <v>-1.8258284356839412</v>
      </c>
      <c r="D123" s="14">
        <f t="shared" si="6"/>
        <v>93</v>
      </c>
      <c r="E123" s="18">
        <f t="shared" ca="1" si="7"/>
        <v>11.110535549616765</v>
      </c>
      <c r="F123" s="18">
        <f t="shared" ca="1" si="8"/>
        <v>11.63577051626155</v>
      </c>
      <c r="G123" s="18">
        <f t="shared" ca="1" si="11"/>
        <v>-0.52523496664478486</v>
      </c>
    </row>
    <row r="124" spans="1:7" x14ac:dyDescent="0.25">
      <c r="A124" s="14">
        <v>94</v>
      </c>
      <c r="B124" s="14">
        <f t="shared" ca="1" si="9"/>
        <v>6.6715398833186779E-2</v>
      </c>
      <c r="C124" s="14">
        <f t="shared" ca="1" si="10"/>
        <v>-1.5007091799371923</v>
      </c>
      <c r="D124" s="14">
        <f t="shared" si="6"/>
        <v>94</v>
      </c>
      <c r="E124" s="18">
        <f t="shared" ca="1" si="7"/>
        <v>10.701763423920077</v>
      </c>
      <c r="F124" s="18">
        <f t="shared" ca="1" si="8"/>
        <v>11.115869886819089</v>
      </c>
      <c r="G124" s="18">
        <f t="shared" ca="1" si="11"/>
        <v>-0.41410646289901187</v>
      </c>
    </row>
    <row r="125" spans="1:7" x14ac:dyDescent="0.25">
      <c r="A125" s="14">
        <v>95</v>
      </c>
      <c r="B125" s="14">
        <f t="shared" ca="1" si="9"/>
        <v>0.27816644455388551</v>
      </c>
      <c r="C125" s="14">
        <f t="shared" ca="1" si="10"/>
        <v>-0.58829710398995638</v>
      </c>
      <c r="D125" s="14">
        <f t="shared" si="6"/>
        <v>95</v>
      </c>
      <c r="E125" s="18">
        <f t="shared" ca="1" si="7"/>
        <v>10.548732004446324</v>
      </c>
      <c r="F125" s="18">
        <f t="shared" ca="1" si="8"/>
        <v>10.706901503403984</v>
      </c>
      <c r="G125" s="18">
        <f t="shared" ca="1" si="11"/>
        <v>-0.15816949895766008</v>
      </c>
    </row>
    <row r="126" spans="1:7" x14ac:dyDescent="0.25">
      <c r="A126" s="14">
        <v>96</v>
      </c>
      <c r="B126" s="14">
        <f t="shared" ca="1" si="9"/>
        <v>0.18588707938885374</v>
      </c>
      <c r="C126" s="14">
        <f t="shared" ca="1" si="10"/>
        <v>-0.89315502602432362</v>
      </c>
      <c r="D126" s="14">
        <f t="shared" si="6"/>
        <v>96</v>
      </c>
      <c r="E126" s="18">
        <f t="shared" ca="1" si="7"/>
        <v>10.318005027316765</v>
      </c>
      <c r="F126" s="18">
        <f t="shared" ca="1" si="8"/>
        <v>10.553796611216841</v>
      </c>
      <c r="G126" s="18">
        <f t="shared" ca="1" si="11"/>
        <v>-0.23579158390007571</v>
      </c>
    </row>
    <row r="127" spans="1:7" x14ac:dyDescent="0.25">
      <c r="A127" s="14">
        <v>97</v>
      </c>
      <c r="B127" s="14">
        <f t="shared" ca="1" si="9"/>
        <v>0.42932460921471116</v>
      </c>
      <c r="C127" s="14">
        <f t="shared" ca="1" si="10"/>
        <v>-0.17809391797855059</v>
      </c>
      <c r="D127" s="14">
        <f t="shared" si="6"/>
        <v>97</v>
      </c>
      <c r="E127" s="18">
        <f t="shared" ca="1" si="7"/>
        <v>10.276553803630643</v>
      </c>
      <c r="F127" s="18">
        <f t="shared" ca="1" si="8"/>
        <v>10.32295885855426</v>
      </c>
      <c r="G127" s="18">
        <f t="shared" ca="1" si="11"/>
        <v>-4.6405054923617683E-2</v>
      </c>
    </row>
    <row r="128" spans="1:7" x14ac:dyDescent="0.25">
      <c r="A128" s="14">
        <v>98</v>
      </c>
      <c r="B128" s="14">
        <f t="shared" ca="1" si="9"/>
        <v>0.21419257091010047</v>
      </c>
      <c r="C128" s="14">
        <f t="shared" ca="1" si="10"/>
        <v>-0.79195804178422868</v>
      </c>
      <c r="D128" s="14">
        <f t="shared" si="6"/>
        <v>98</v>
      </c>
      <c r="E128" s="18">
        <f t="shared" ca="1" si="7"/>
        <v>10.077546607720896</v>
      </c>
      <c r="F128" s="18">
        <f t="shared" ca="1" si="8"/>
        <v>10.281487733504823</v>
      </c>
      <c r="G128" s="18">
        <f t="shared" ca="1" si="11"/>
        <v>-0.20394112578392765</v>
      </c>
    </row>
    <row r="129" spans="1:7" x14ac:dyDescent="0.25">
      <c r="A129" s="14">
        <v>99</v>
      </c>
      <c r="B129" s="14">
        <f t="shared" ca="1" si="9"/>
        <v>0.64555470487797439</v>
      </c>
      <c r="C129" s="14">
        <f t="shared" ca="1" si="10"/>
        <v>0.37334647578140751</v>
      </c>
      <c r="D129" s="14">
        <f t="shared" si="6"/>
        <v>99</v>
      </c>
      <c r="E129" s="18">
        <f t="shared" ca="1" si="7"/>
        <v>10.178064269384093</v>
      </c>
      <c r="F129" s="18">
        <f t="shared" ca="1" si="8"/>
        <v>10.082384991211741</v>
      </c>
      <c r="G129" s="18">
        <f t="shared" ca="1" si="11"/>
        <v>9.5679278172351445E-2</v>
      </c>
    </row>
    <row r="130" spans="1:7" x14ac:dyDescent="0.25">
      <c r="A130" s="14">
        <v>100</v>
      </c>
      <c r="B130" s="14">
        <f t="shared" ca="1" si="9"/>
        <v>0.31532042241034708</v>
      </c>
      <c r="C130" s="14">
        <f t="shared" ca="1" si="10"/>
        <v>-0.48082505028732314</v>
      </c>
      <c r="D130" s="14">
        <f t="shared" si="6"/>
        <v>100</v>
      </c>
      <c r="E130" s="18">
        <f t="shared" ca="1" si="7"/>
        <v>10.059835615862079</v>
      </c>
      <c r="F130" s="18">
        <f t="shared" ca="1" si="8"/>
        <v>10.182950912934025</v>
      </c>
      <c r="G130" s="18">
        <f t="shared" ca="1" si="11"/>
        <v>-0.12311529707194602</v>
      </c>
    </row>
    <row r="131" spans="1:7" x14ac:dyDescent="0.25">
      <c r="A131" s="14">
        <v>101</v>
      </c>
      <c r="B131" s="14">
        <f t="shared" ca="1" si="9"/>
        <v>0.98454783901629406</v>
      </c>
      <c r="C131" s="14">
        <f t="shared" ca="1" si="10"/>
        <v>2.1583024809780649</v>
      </c>
      <c r="D131" s="14">
        <f t="shared" si="6"/>
        <v>101</v>
      </c>
      <c r="E131" s="18">
        <f t="shared" ca="1" si="7"/>
        <v>10.629488130717981</v>
      </c>
      <c r="F131" s="18">
        <f t="shared" ca="1" si="8"/>
        <v>10.0646654960362</v>
      </c>
      <c r="G131" s="18">
        <f t="shared" ca="1" si="11"/>
        <v>0.5648226346817804</v>
      </c>
    </row>
    <row r="132" spans="1:7" x14ac:dyDescent="0.25">
      <c r="A132" s="14">
        <v>102</v>
      </c>
      <c r="B132" s="14">
        <f t="shared" ca="1" si="9"/>
        <v>0.52578694203375742</v>
      </c>
      <c r="C132" s="14">
        <f t="shared" ca="1" si="10"/>
        <v>6.4683354898452977E-2</v>
      </c>
      <c r="D132" s="14">
        <f t="shared" si="6"/>
        <v>102</v>
      </c>
      <c r="E132" s="18">
        <f t="shared" ca="1" si="7"/>
        <v>10.65200792291947</v>
      </c>
      <c r="F132" s="18">
        <f t="shared" ca="1" si="8"/>
        <v>10.634591509733704</v>
      </c>
      <c r="G132" s="18">
        <f t="shared" ca="1" si="11"/>
        <v>1.7416413185765478E-2</v>
      </c>
    </row>
    <row r="133" spans="1:7" x14ac:dyDescent="0.25">
      <c r="A133" s="14">
        <v>103</v>
      </c>
      <c r="B133" s="14">
        <f t="shared" ca="1" si="9"/>
        <v>0.62875180982089718</v>
      </c>
      <c r="C133" s="14">
        <f t="shared" ca="1" si="10"/>
        <v>0.32854929296437824</v>
      </c>
      <c r="D133" s="14">
        <f t="shared" si="6"/>
        <v>103</v>
      </c>
      <c r="E133" s="18">
        <f t="shared" ca="1" si="7"/>
        <v>10.746070194782396</v>
      </c>
      <c r="F133" s="18">
        <f t="shared" ca="1" si="8"/>
        <v>10.657122114030145</v>
      </c>
      <c r="G133" s="18">
        <f t="shared" ca="1" si="11"/>
        <v>8.8948080752251357E-2</v>
      </c>
    </row>
    <row r="134" spans="1:7" x14ac:dyDescent="0.25">
      <c r="A134" s="14">
        <v>104</v>
      </c>
      <c r="B134" s="14">
        <f t="shared" ca="1" si="9"/>
        <v>0.30327573142138842</v>
      </c>
      <c r="C134" s="14">
        <f t="shared" ca="1" si="10"/>
        <v>-0.51500222836702303</v>
      </c>
      <c r="D134" s="14">
        <f t="shared" si="6"/>
        <v>104</v>
      </c>
      <c r="E134" s="18">
        <f t="shared" ca="1" si="7"/>
        <v>10.612064180020337</v>
      </c>
      <c r="F134" s="18">
        <f t="shared" ca="1" si="8"/>
        <v>10.751229546621273</v>
      </c>
      <c r="G134" s="18">
        <f t="shared" ca="1" si="11"/>
        <v>-0.13916536660093648</v>
      </c>
    </row>
    <row r="135" spans="1:7" x14ac:dyDescent="0.25">
      <c r="A135" s="14">
        <v>105</v>
      </c>
      <c r="B135" s="14">
        <f t="shared" ca="1" si="9"/>
        <v>0.98981107419464498</v>
      </c>
      <c r="C135" s="14">
        <f t="shared" ca="1" si="10"/>
        <v>2.3193170501316009</v>
      </c>
      <c r="D135" s="14">
        <f t="shared" si="6"/>
        <v>105</v>
      </c>
      <c r="E135" s="18">
        <f t="shared" ca="1" si="7"/>
        <v>11.258755358822564</v>
      </c>
      <c r="F135" s="18">
        <f t="shared" ca="1" si="8"/>
        <v>10.617159193532164</v>
      </c>
      <c r="G135" s="18">
        <f t="shared" ca="1" si="11"/>
        <v>0.64159616529039987</v>
      </c>
    </row>
    <row r="136" spans="1:7" x14ac:dyDescent="0.25">
      <c r="A136" s="14">
        <v>106</v>
      </c>
      <c r="B136" s="14">
        <f t="shared" ca="1" si="9"/>
        <v>0.40057187007319572</v>
      </c>
      <c r="C136" s="14">
        <f t="shared" ca="1" si="10"/>
        <v>-0.25186716491743782</v>
      </c>
      <c r="D136" s="14">
        <f t="shared" si="6"/>
        <v>106</v>
      </c>
      <c r="E136" s="18">
        <f t="shared" ca="1" si="7"/>
        <v>11.192616152794118</v>
      </c>
      <c r="F136" s="18">
        <f t="shared" ca="1" si="8"/>
        <v>11.264160858610962</v>
      </c>
      <c r="G136" s="18">
        <f t="shared" ca="1" si="11"/>
        <v>-7.1544705816844356E-2</v>
      </c>
    </row>
    <row r="137" spans="1:7" x14ac:dyDescent="0.25">
      <c r="A137" s="14">
        <v>107</v>
      </c>
      <c r="B137" s="14">
        <f t="shared" ca="1" si="9"/>
        <v>0.28651476805470311</v>
      </c>
      <c r="C137" s="14">
        <f t="shared" ca="1" si="10"/>
        <v>-0.56359537356283251</v>
      </c>
      <c r="D137" s="14">
        <f t="shared" si="6"/>
        <v>107</v>
      </c>
      <c r="E137" s="18">
        <f t="shared" ca="1" si="7"/>
        <v>11.039462227001255</v>
      </c>
      <c r="F137" s="18">
        <f t="shared" ca="1" si="8"/>
        <v>11.197989898143167</v>
      </c>
      <c r="G137" s="18">
        <f t="shared" ca="1" si="11"/>
        <v>-0.15852767114191124</v>
      </c>
    </row>
    <row r="138" spans="1:7" x14ac:dyDescent="0.25">
      <c r="A138" s="14">
        <v>108</v>
      </c>
      <c r="B138" s="14">
        <f t="shared" ca="1" si="9"/>
        <v>0.30178404202903908</v>
      </c>
      <c r="C138" s="14">
        <f t="shared" ca="1" si="10"/>
        <v>-0.51927629136191</v>
      </c>
      <c r="D138" s="14">
        <f t="shared" si="6"/>
        <v>108</v>
      </c>
      <c r="E138" s="18">
        <f t="shared" ca="1" si="7"/>
        <v>10.900618838688754</v>
      </c>
      <c r="F138" s="18">
        <f t="shared" ca="1" si="8"/>
        <v>11.044762440819769</v>
      </c>
      <c r="G138" s="18">
        <f t="shared" ca="1" si="11"/>
        <v>-0.14414360213101496</v>
      </c>
    </row>
    <row r="139" spans="1:7" x14ac:dyDescent="0.25">
      <c r="A139" s="14">
        <v>109</v>
      </c>
      <c r="B139" s="14">
        <f t="shared" ca="1" si="9"/>
        <v>0.70010218219638043</v>
      </c>
      <c r="C139" s="14">
        <f t="shared" ca="1" si="10"/>
        <v>0.52469442194958049</v>
      </c>
      <c r="D139" s="14">
        <f t="shared" si="6"/>
        <v>109</v>
      </c>
      <c r="E139" s="18">
        <f t="shared" ca="1" si="7"/>
        <v>11.051579925282319</v>
      </c>
      <c r="F139" s="18">
        <f t="shared" ca="1" si="8"/>
        <v>10.905852391683558</v>
      </c>
      <c r="G139" s="18">
        <f t="shared" ca="1" si="11"/>
        <v>0.14572753359876067</v>
      </c>
    </row>
    <row r="140" spans="1:7" x14ac:dyDescent="0.25">
      <c r="A140" s="14">
        <v>110</v>
      </c>
      <c r="B140" s="14">
        <f t="shared" ca="1" si="9"/>
        <v>0.10014678290551904</v>
      </c>
      <c r="C140" s="14">
        <f t="shared" ca="1" si="10"/>
        <v>-1.2807156355861946</v>
      </c>
      <c r="D140" s="14">
        <f t="shared" si="6"/>
        <v>110</v>
      </c>
      <c r="E140" s="18">
        <f t="shared" ca="1" si="7"/>
        <v>10.704386062492</v>
      </c>
      <c r="F140" s="18">
        <f t="shared" ca="1" si="8"/>
        <v>11.056885956992188</v>
      </c>
      <c r="G140" s="18">
        <f t="shared" ca="1" si="11"/>
        <v>-0.35249989450018759</v>
      </c>
    </row>
    <row r="141" spans="1:7" x14ac:dyDescent="0.25">
      <c r="A141" s="14">
        <v>111</v>
      </c>
      <c r="B141" s="14">
        <f t="shared" ca="1" si="9"/>
        <v>0.16169746060837553</v>
      </c>
      <c r="C141" s="14">
        <f t="shared" ca="1" si="10"/>
        <v>-0.98750543215735043</v>
      </c>
      <c r="D141" s="14">
        <f t="shared" si="6"/>
        <v>111</v>
      </c>
      <c r="E141" s="18">
        <f t="shared" ca="1" si="7"/>
        <v>10.445292922761734</v>
      </c>
      <c r="F141" s="18">
        <f t="shared" ca="1" si="8"/>
        <v>10.709525401144598</v>
      </c>
      <c r="G141" s="18">
        <f t="shared" ca="1" si="11"/>
        <v>-0.26423247838286379</v>
      </c>
    </row>
    <row r="142" spans="1:7" x14ac:dyDescent="0.25">
      <c r="A142" s="14">
        <v>112</v>
      </c>
      <c r="B142" s="14">
        <f t="shared" ca="1" si="9"/>
        <v>6.9910471051735867E-2</v>
      </c>
      <c r="C142" s="14">
        <f t="shared" ca="1" si="10"/>
        <v>-1.4764581498402878</v>
      </c>
      <c r="D142" s="14">
        <f t="shared" si="6"/>
        <v>112</v>
      </c>
      <c r="E142" s="18">
        <f t="shared" ca="1" si="7"/>
        <v>10.067170397349688</v>
      </c>
      <c r="F142" s="18">
        <f t="shared" ca="1" si="8"/>
        <v>10.450307866854954</v>
      </c>
      <c r="G142" s="18">
        <f t="shared" ca="1" si="11"/>
        <v>-0.38313746950526628</v>
      </c>
    </row>
    <row r="143" spans="1:7" x14ac:dyDescent="0.25">
      <c r="A143" s="14">
        <v>113</v>
      </c>
      <c r="B143" s="14">
        <f t="shared" ca="1" si="9"/>
        <v>6.0623565862797602E-2</v>
      </c>
      <c r="C143" s="14">
        <f t="shared" ca="1" si="10"/>
        <v>-1.5495601174786233</v>
      </c>
      <c r="D143" s="14">
        <f t="shared" si="6"/>
        <v>113</v>
      </c>
      <c r="E143" s="18">
        <f t="shared" ca="1" si="7"/>
        <v>9.6848088425808516</v>
      </c>
      <c r="F143" s="18">
        <f t="shared" ca="1" si="8"/>
        <v>10.072003799064026</v>
      </c>
      <c r="G143" s="18">
        <f t="shared" ca="1" si="11"/>
        <v>-0.38719495648317448</v>
      </c>
    </row>
    <row r="144" spans="1:7" x14ac:dyDescent="0.25">
      <c r="A144" s="14">
        <v>114</v>
      </c>
      <c r="B144" s="14">
        <f t="shared" ca="1" si="9"/>
        <v>5.1363707969948047E-3</v>
      </c>
      <c r="C144" s="14">
        <f t="shared" ca="1" si="10"/>
        <v>-2.5665108345944763</v>
      </c>
      <c r="D144" s="14">
        <f t="shared" si="6"/>
        <v>114</v>
      </c>
      <c r="E144" s="18">
        <f t="shared" ca="1" si="7"/>
        <v>9.0803287706342832</v>
      </c>
      <c r="F144" s="18">
        <f t="shared" ca="1" si="8"/>
        <v>9.6894586666938007</v>
      </c>
      <c r="G144" s="18">
        <f t="shared" ca="1" si="11"/>
        <v>-0.60912989605951751</v>
      </c>
    </row>
    <row r="145" spans="1:7" x14ac:dyDescent="0.25">
      <c r="A145" s="14">
        <v>115</v>
      </c>
      <c r="B145" s="14">
        <f t="shared" ca="1" si="9"/>
        <v>0.196801555585562</v>
      </c>
      <c r="C145" s="14">
        <f t="shared" ca="1" si="10"/>
        <v>-0.85310133499854135</v>
      </c>
      <c r="D145" s="14">
        <f t="shared" si="6"/>
        <v>115</v>
      </c>
      <c r="E145" s="18">
        <f t="shared" ca="1" si="7"/>
        <v>8.8907237137127844</v>
      </c>
      <c r="F145" s="18">
        <f t="shared" ca="1" si="8"/>
        <v>9.0846883746654505</v>
      </c>
      <c r="G145" s="18">
        <f t="shared" ca="1" si="11"/>
        <v>-0.19396466095266618</v>
      </c>
    </row>
    <row r="146" spans="1:7" x14ac:dyDescent="0.25">
      <c r="A146" s="14">
        <v>116</v>
      </c>
      <c r="B146" s="14">
        <f t="shared" ca="1" si="9"/>
        <v>0.34688878387487876</v>
      </c>
      <c r="C146" s="14">
        <f t="shared" ca="1" si="10"/>
        <v>-0.39373382221204872</v>
      </c>
      <c r="D146" s="14">
        <f t="shared" si="6"/>
        <v>116</v>
      </c>
      <c r="E146" s="18">
        <f t="shared" ca="1" si="7"/>
        <v>8.8068311594996889</v>
      </c>
      <c r="F146" s="18">
        <f t="shared" ca="1" si="8"/>
        <v>8.8949922854706305</v>
      </c>
      <c r="G146" s="18">
        <f t="shared" ca="1" si="11"/>
        <v>-8.8161125970941612E-2</v>
      </c>
    </row>
    <row r="147" spans="1:7" x14ac:dyDescent="0.25">
      <c r="A147" s="14">
        <v>117</v>
      </c>
      <c r="B147" s="14">
        <f t="shared" ca="1" si="9"/>
        <v>0.54248533897261075</v>
      </c>
      <c r="C147" s="14">
        <f t="shared" ca="1" si="10"/>
        <v>0.10669705120028673</v>
      </c>
      <c r="D147" s="14">
        <f t="shared" si="6"/>
        <v>117</v>
      </c>
      <c r="E147" s="18">
        <f t="shared" ca="1" si="7"/>
        <v>8.834874793993059</v>
      </c>
      <c r="F147" s="18">
        <f t="shared" ca="1" si="8"/>
        <v>8.8110594531655444</v>
      </c>
      <c r="G147" s="18">
        <f t="shared" ca="1" si="11"/>
        <v>2.3815340827514575E-2</v>
      </c>
    </row>
    <row r="148" spans="1:7" x14ac:dyDescent="0.25">
      <c r="A148" s="14">
        <v>118</v>
      </c>
      <c r="B148" s="14">
        <f t="shared" ca="1" si="9"/>
        <v>0.95949099894653989</v>
      </c>
      <c r="C148" s="14">
        <f t="shared" ca="1" si="10"/>
        <v>1.7448096866549356</v>
      </c>
      <c r="D148" s="14">
        <f t="shared" si="6"/>
        <v>118</v>
      </c>
      <c r="E148" s="18">
        <f t="shared" ca="1" si="7"/>
        <v>9.2380194332491676</v>
      </c>
      <c r="F148" s="18">
        <f t="shared" ca="1" si="8"/>
        <v>8.839116551834616</v>
      </c>
      <c r="G148" s="18">
        <f t="shared" ca="1" si="11"/>
        <v>0.39890288141455166</v>
      </c>
    </row>
    <row r="149" spans="1:7" x14ac:dyDescent="0.25">
      <c r="A149" s="14">
        <v>119</v>
      </c>
      <c r="B149" s="14">
        <f t="shared" ca="1" si="9"/>
        <v>0.45528573203666822</v>
      </c>
      <c r="C149" s="14">
        <f t="shared" ca="1" si="10"/>
        <v>-0.1123177554440937</v>
      </c>
      <c r="D149" s="14">
        <f t="shared" si="6"/>
        <v>119</v>
      </c>
      <c r="E149" s="18">
        <f t="shared" ca="1" si="7"/>
        <v>9.2162301470599619</v>
      </c>
      <c r="F149" s="18">
        <f t="shared" ca="1" si="8"/>
        <v>9.2424547469672618</v>
      </c>
      <c r="G149" s="18">
        <f t="shared" ca="1" si="11"/>
        <v>-2.6224599907299861E-2</v>
      </c>
    </row>
    <row r="150" spans="1:7" x14ac:dyDescent="0.25">
      <c r="A150" s="14">
        <v>120</v>
      </c>
      <c r="B150" s="14">
        <f t="shared" ca="1" si="9"/>
        <v>0.34726377054344959</v>
      </c>
      <c r="C150" s="14">
        <f t="shared" ca="1" si="10"/>
        <v>-0.39271831608440322</v>
      </c>
      <c r="D150" s="14">
        <f t="shared" si="6"/>
        <v>120</v>
      </c>
      <c r="E150" s="18">
        <f t="shared" ca="1" si="7"/>
        <v>9.1295006640778809</v>
      </c>
      <c r="F150" s="18">
        <f t="shared" ca="1" si="8"/>
        <v>9.2206549994101579</v>
      </c>
      <c r="G150" s="18">
        <f t="shared" ca="1" si="11"/>
        <v>-9.1154335332277014E-2</v>
      </c>
    </row>
    <row r="151" spans="1:7" x14ac:dyDescent="0.25">
      <c r="A151" s="14">
        <v>121</v>
      </c>
      <c r="B151" s="14">
        <f t="shared" ca="1" si="9"/>
        <v>0.28117499207666696</v>
      </c>
      <c r="C151" s="14">
        <f t="shared" ca="1" si="10"/>
        <v>-0.57935452137087684</v>
      </c>
      <c r="D151" s="14">
        <f t="shared" si="6"/>
        <v>121</v>
      </c>
      <c r="E151" s="18">
        <f t="shared" ca="1" si="7"/>
        <v>9.0009881202854896</v>
      </c>
      <c r="F151" s="18">
        <f t="shared" ca="1" si="8"/>
        <v>9.1338838762834094</v>
      </c>
      <c r="G151" s="18">
        <f t="shared" ca="1" si="11"/>
        <v>-0.13289575599791981</v>
      </c>
    </row>
    <row r="152" spans="1:7" x14ac:dyDescent="0.25">
      <c r="A152" s="14">
        <v>122</v>
      </c>
      <c r="B152" s="14">
        <f t="shared" ca="1" si="9"/>
        <v>0.24234789123088463</v>
      </c>
      <c r="C152" s="14">
        <f t="shared" ca="1" si="10"/>
        <v>-0.69876999559689013</v>
      </c>
      <c r="D152" s="14">
        <f t="shared" si="6"/>
        <v>122</v>
      </c>
      <c r="E152" s="18">
        <f t="shared" ca="1" si="7"/>
        <v>8.8475158480241411</v>
      </c>
      <c r="F152" s="18">
        <f t="shared" ca="1" si="8"/>
        <v>9.0053096316629837</v>
      </c>
      <c r="G152" s="18">
        <f t="shared" ca="1" si="11"/>
        <v>-0.15779378363884256</v>
      </c>
    </row>
    <row r="153" spans="1:7" x14ac:dyDescent="0.25">
      <c r="A153" s="14">
        <v>123</v>
      </c>
      <c r="B153" s="14">
        <f t="shared" ca="1" si="9"/>
        <v>0.22211041936419695</v>
      </c>
      <c r="C153" s="14">
        <f t="shared" ca="1" si="10"/>
        <v>-0.76508515546844846</v>
      </c>
      <c r="D153" s="14">
        <f t="shared" si="6"/>
        <v>123</v>
      </c>
      <c r="E153" s="18">
        <f t="shared" ca="1" si="7"/>
        <v>8.682082601284332</v>
      </c>
      <c r="F153" s="18">
        <f t="shared" ca="1" si="8"/>
        <v>8.8517636750281152</v>
      </c>
      <c r="G153" s="18">
        <f t="shared" ca="1" si="11"/>
        <v>-0.16968107374378327</v>
      </c>
    </row>
    <row r="154" spans="1:7" x14ac:dyDescent="0.25">
      <c r="A154" s="14">
        <v>124</v>
      </c>
      <c r="B154" s="14">
        <f t="shared" ca="1" si="9"/>
        <v>0.34563582236916435</v>
      </c>
      <c r="C154" s="14">
        <f t="shared" ca="1" si="10"/>
        <v>-0.39712993703150612</v>
      </c>
      <c r="D154" s="14">
        <f t="shared" si="6"/>
        <v>124</v>
      </c>
      <c r="E154" s="18">
        <f t="shared" ca="1" si="7"/>
        <v>8.5994199206083639</v>
      </c>
      <c r="F154" s="18">
        <f t="shared" ca="1" si="8"/>
        <v>8.6862510012689107</v>
      </c>
      <c r="G154" s="18">
        <f t="shared" ca="1" si="11"/>
        <v>-8.6831080660546789E-2</v>
      </c>
    </row>
    <row r="155" spans="1:7" x14ac:dyDescent="0.25">
      <c r="A155" s="14">
        <v>125</v>
      </c>
      <c r="B155" s="14">
        <f t="shared" ca="1" si="9"/>
        <v>7.0967731347453045E-2</v>
      </c>
      <c r="C155" s="14">
        <f t="shared" ca="1" si="10"/>
        <v>-1.4686215637333626</v>
      </c>
      <c r="D155" s="14">
        <f t="shared" si="6"/>
        <v>125</v>
      </c>
      <c r="E155" s="18">
        <f t="shared" ca="1" si="7"/>
        <v>8.2897618105608242</v>
      </c>
      <c r="F155" s="18">
        <f t="shared" ca="1" si="8"/>
        <v>8.603548632981953</v>
      </c>
      <c r="G155" s="18">
        <f t="shared" ca="1" si="11"/>
        <v>-0.31378682242112887</v>
      </c>
    </row>
    <row r="156" spans="1:7" x14ac:dyDescent="0.25">
      <c r="A156" s="14">
        <v>126</v>
      </c>
      <c r="B156" s="14">
        <f t="shared" ca="1" si="9"/>
        <v>0.7411201262118351</v>
      </c>
      <c r="C156" s="14">
        <f t="shared" ca="1" si="10"/>
        <v>0.64680254107107282</v>
      </c>
      <c r="D156" s="14">
        <f t="shared" si="6"/>
        <v>126</v>
      </c>
      <c r="E156" s="18">
        <f t="shared" ca="1" si="7"/>
        <v>8.4305683561879068</v>
      </c>
      <c r="F156" s="18">
        <f t="shared" ca="1" si="8"/>
        <v>8.2937418513632686</v>
      </c>
      <c r="G156" s="18">
        <f t="shared" ca="1" si="11"/>
        <v>0.13682650482463821</v>
      </c>
    </row>
    <row r="157" spans="1:7" x14ac:dyDescent="0.25">
      <c r="A157" s="14">
        <v>127</v>
      </c>
      <c r="B157" s="14">
        <f t="shared" ca="1" si="9"/>
        <v>0.80580479298278829</v>
      </c>
      <c r="C157" s="14">
        <f t="shared" ca="1" si="10"/>
        <v>0.86254003162998716</v>
      </c>
      <c r="D157" s="14">
        <f t="shared" si="6"/>
        <v>127</v>
      </c>
      <c r="E157" s="18">
        <f t="shared" ca="1" si="7"/>
        <v>8.6206881992447446</v>
      </c>
      <c r="F157" s="18">
        <f t="shared" ca="1" si="8"/>
        <v>8.4346160003557618</v>
      </c>
      <c r="G157" s="18">
        <f t="shared" ca="1" si="11"/>
        <v>0.18607219888898285</v>
      </c>
    </row>
    <row r="158" spans="1:7" x14ac:dyDescent="0.25">
      <c r="A158" s="14">
        <v>128</v>
      </c>
      <c r="B158" s="14">
        <f t="shared" ca="1" si="9"/>
        <v>0.51021264229998753</v>
      </c>
      <c r="C158" s="14">
        <f t="shared" ca="1" si="10"/>
        <v>2.5602094561941277E-2</v>
      </c>
      <c r="D158" s="14">
        <f t="shared" si="6"/>
        <v>128</v>
      </c>
      <c r="E158" s="18">
        <f t="shared" ca="1" si="7"/>
        <v>8.6304151246025658</v>
      </c>
      <c r="F158" s="18">
        <f t="shared" ca="1" si="8"/>
        <v>8.6248271228425786</v>
      </c>
      <c r="G158" s="18">
        <f t="shared" ca="1" si="11"/>
        <v>5.5880017599871934E-3</v>
      </c>
    </row>
    <row r="159" spans="1:7" x14ac:dyDescent="0.25">
      <c r="A159" s="14">
        <v>129</v>
      </c>
      <c r="B159" s="14">
        <f t="shared" ca="1" si="9"/>
        <v>0.26682854844966519</v>
      </c>
      <c r="C159" s="14">
        <f t="shared" ca="1" si="10"/>
        <v>-0.62243313689221624</v>
      </c>
      <c r="D159" s="14">
        <f t="shared" ref="D159:D222" si="12">A159*Dt</f>
        <v>129</v>
      </c>
      <c r="E159" s="18">
        <f t="shared" ref="E159:E222" ca="1" si="13">E158*EXP(m*Dt/250+V*C159*SQRT(Dt/250))</f>
        <v>8.4996599363838765</v>
      </c>
      <c r="F159" s="18">
        <f t="shared" ref="F159:F222" ca="1" si="14">E158*EXP(m*Dt/250)</f>
        <v>8.634558718245291</v>
      </c>
      <c r="G159" s="18">
        <f t="shared" ca="1" si="11"/>
        <v>-0.13489878186141446</v>
      </c>
    </row>
    <row r="160" spans="1:7" x14ac:dyDescent="0.25">
      <c r="A160" s="14">
        <v>130</v>
      </c>
      <c r="B160" s="14">
        <f t="shared" ref="B160:B223" ca="1" si="15">RAND()</f>
        <v>0.87128421226415487</v>
      </c>
      <c r="C160" s="14">
        <f t="shared" ref="C160:C223" ca="1" si="16">_xlfn.NORM.S.INV(B160)</f>
        <v>1.1324826479172345</v>
      </c>
      <c r="D160" s="14">
        <f t="shared" si="12"/>
        <v>130</v>
      </c>
      <c r="E160" s="18">
        <f t="shared" ca="1" si="13"/>
        <v>8.7508947460754101</v>
      </c>
      <c r="F160" s="18">
        <f t="shared" ca="1" si="14"/>
        <v>8.5037407524708488</v>
      </c>
      <c r="G160" s="18">
        <f t="shared" ref="G160:G223" ca="1" si="17">E160-F160</f>
        <v>0.24715399360456125</v>
      </c>
    </row>
    <row r="161" spans="1:7" x14ac:dyDescent="0.25">
      <c r="A161" s="14">
        <v>131</v>
      </c>
      <c r="B161" s="14">
        <f t="shared" ca="1" si="15"/>
        <v>0.11712704593475443</v>
      </c>
      <c r="C161" s="14">
        <f t="shared" ca="1" si="16"/>
        <v>-1.1894717229098912</v>
      </c>
      <c r="D161" s="14">
        <f t="shared" si="12"/>
        <v>131</v>
      </c>
      <c r="E161" s="18">
        <f t="shared" ca="1" si="13"/>
        <v>8.4955664472884269</v>
      </c>
      <c r="F161" s="18">
        <f t="shared" ca="1" si="14"/>
        <v>8.7550961838179155</v>
      </c>
      <c r="G161" s="18">
        <f t="shared" ca="1" si="17"/>
        <v>-0.25952973652948863</v>
      </c>
    </row>
    <row r="162" spans="1:7" x14ac:dyDescent="0.25">
      <c r="A162" s="14">
        <v>132</v>
      </c>
      <c r="B162" s="14">
        <f t="shared" ca="1" si="15"/>
        <v>7.1817260970394092E-2</v>
      </c>
      <c r="C162" s="14">
        <f t="shared" ca="1" si="16"/>
        <v>-1.4623894385512157</v>
      </c>
      <c r="D162" s="14">
        <f t="shared" si="12"/>
        <v>132</v>
      </c>
      <c r="E162" s="18">
        <f t="shared" ca="1" si="13"/>
        <v>8.1909393117336542</v>
      </c>
      <c r="F162" s="18">
        <f t="shared" ca="1" si="14"/>
        <v>8.4996452980289892</v>
      </c>
      <c r="G162" s="18">
        <f t="shared" ca="1" si="17"/>
        <v>-0.30870598629533497</v>
      </c>
    </row>
    <row r="163" spans="1:7" x14ac:dyDescent="0.25">
      <c r="A163" s="14">
        <v>133</v>
      </c>
      <c r="B163" s="14">
        <f t="shared" ca="1" si="15"/>
        <v>0.79104402080883962</v>
      </c>
      <c r="C163" s="14">
        <f t="shared" ca="1" si="16"/>
        <v>0.81004909703568329</v>
      </c>
      <c r="D163" s="14">
        <f t="shared" si="12"/>
        <v>133</v>
      </c>
      <c r="E163" s="18">
        <f t="shared" ca="1" si="13"/>
        <v>8.3645403410963528</v>
      </c>
      <c r="F163" s="18">
        <f t="shared" ca="1" si="14"/>
        <v>8.1948719063504889</v>
      </c>
      <c r="G163" s="18">
        <f t="shared" ca="1" si="17"/>
        <v>0.16966843474586391</v>
      </c>
    </row>
    <row r="164" spans="1:7" x14ac:dyDescent="0.25">
      <c r="A164" s="14">
        <v>134</v>
      </c>
      <c r="B164" s="14">
        <f t="shared" ca="1" si="15"/>
        <v>0.56623521068435201</v>
      </c>
      <c r="C164" s="14">
        <f t="shared" ca="1" si="16"/>
        <v>0.16679725498962542</v>
      </c>
      <c r="D164" s="14">
        <f t="shared" si="12"/>
        <v>134</v>
      </c>
      <c r="E164" s="18">
        <f t="shared" ca="1" si="13"/>
        <v>8.4039434711429948</v>
      </c>
      <c r="F164" s="18">
        <f t="shared" ca="1" si="14"/>
        <v>8.3685562842093191</v>
      </c>
      <c r="G164" s="18">
        <f t="shared" ca="1" si="17"/>
        <v>3.5387186933675707E-2</v>
      </c>
    </row>
    <row r="165" spans="1:7" x14ac:dyDescent="0.25">
      <c r="A165" s="14">
        <v>135</v>
      </c>
      <c r="B165" s="14">
        <f t="shared" ca="1" si="15"/>
        <v>0.77847780566978675</v>
      </c>
      <c r="C165" s="14">
        <f t="shared" ca="1" si="16"/>
        <v>0.76706244590499795</v>
      </c>
      <c r="D165" s="14">
        <f t="shared" si="12"/>
        <v>135</v>
      </c>
      <c r="E165" s="18">
        <f t="shared" ca="1" si="13"/>
        <v>8.5727311749430068</v>
      </c>
      <c r="F165" s="18">
        <f t="shared" ca="1" si="14"/>
        <v>8.4079783322983506</v>
      </c>
      <c r="G165" s="18">
        <f t="shared" ca="1" si="17"/>
        <v>0.16475284264465628</v>
      </c>
    </row>
    <row r="166" spans="1:7" x14ac:dyDescent="0.25">
      <c r="A166" s="14">
        <v>136</v>
      </c>
      <c r="B166" s="14">
        <f t="shared" ca="1" si="15"/>
        <v>0.85793633657379964</v>
      </c>
      <c r="C166" s="14">
        <f t="shared" ca="1" si="16"/>
        <v>1.0710936417244978</v>
      </c>
      <c r="D166" s="14">
        <f t="shared" si="12"/>
        <v>136</v>
      </c>
      <c r="E166" s="18">
        <f t="shared" ca="1" si="13"/>
        <v>8.812429216993019</v>
      </c>
      <c r="F166" s="18">
        <f t="shared" ca="1" si="14"/>
        <v>8.5768470736436413</v>
      </c>
      <c r="G166" s="18">
        <f t="shared" ca="1" si="17"/>
        <v>0.23558214334937766</v>
      </c>
    </row>
    <row r="167" spans="1:7" x14ac:dyDescent="0.25">
      <c r="A167" s="14">
        <v>137</v>
      </c>
      <c r="B167" s="14">
        <f t="shared" ca="1" si="15"/>
        <v>0.64316307220786839</v>
      </c>
      <c r="C167" s="14">
        <f t="shared" ca="1" si="16"/>
        <v>0.36692648436624659</v>
      </c>
      <c r="D167" s="14">
        <f t="shared" si="12"/>
        <v>137</v>
      </c>
      <c r="E167" s="18">
        <f t="shared" ca="1" si="13"/>
        <v>8.8988826453236225</v>
      </c>
      <c r="F167" s="18">
        <f t="shared" ca="1" si="14"/>
        <v>8.816660198371471</v>
      </c>
      <c r="G167" s="18">
        <f t="shared" ca="1" si="17"/>
        <v>8.2222446952151529E-2</v>
      </c>
    </row>
    <row r="168" spans="1:7" x14ac:dyDescent="0.25">
      <c r="A168" s="14">
        <v>138</v>
      </c>
      <c r="B168" s="14">
        <f t="shared" ca="1" si="15"/>
        <v>0.14051503266262788</v>
      </c>
      <c r="C168" s="14">
        <f t="shared" ca="1" si="16"/>
        <v>-1.0780082704041827</v>
      </c>
      <c r="D168" s="14">
        <f t="shared" si="12"/>
        <v>138</v>
      </c>
      <c r="E168" s="18">
        <f t="shared" ca="1" si="13"/>
        <v>8.6636319777387349</v>
      </c>
      <c r="F168" s="18">
        <f t="shared" ca="1" si="14"/>
        <v>8.9031551343087028</v>
      </c>
      <c r="G168" s="18">
        <f t="shared" ca="1" si="17"/>
        <v>-0.23952315656996781</v>
      </c>
    </row>
    <row r="169" spans="1:7" x14ac:dyDescent="0.25">
      <c r="A169" s="14">
        <v>139</v>
      </c>
      <c r="B169" s="14">
        <f t="shared" ca="1" si="15"/>
        <v>9.6367381935873464E-2</v>
      </c>
      <c r="C169" s="14">
        <f t="shared" ca="1" si="16"/>
        <v>-1.3025314799657246</v>
      </c>
      <c r="D169" s="14">
        <f t="shared" si="12"/>
        <v>139</v>
      </c>
      <c r="E169" s="18">
        <f t="shared" ca="1" si="13"/>
        <v>8.3868273470888148</v>
      </c>
      <c r="F169" s="18">
        <f t="shared" ca="1" si="14"/>
        <v>8.6677915192981594</v>
      </c>
      <c r="G169" s="18">
        <f t="shared" ca="1" si="17"/>
        <v>-0.28096417220934455</v>
      </c>
    </row>
    <row r="170" spans="1:7" x14ac:dyDescent="0.25">
      <c r="A170" s="14">
        <v>140</v>
      </c>
      <c r="B170" s="14">
        <f t="shared" ca="1" si="15"/>
        <v>0.11294456257541241</v>
      </c>
      <c r="C170" s="14">
        <f t="shared" ca="1" si="16"/>
        <v>-1.2110163848954494</v>
      </c>
      <c r="D170" s="14">
        <f t="shared" si="12"/>
        <v>140</v>
      </c>
      <c r="E170" s="18">
        <f t="shared" ca="1" si="13"/>
        <v>8.137685000014347</v>
      </c>
      <c r="F170" s="18">
        <f t="shared" ca="1" si="14"/>
        <v>8.3908539905325323</v>
      </c>
      <c r="G170" s="18">
        <f t="shared" ca="1" si="17"/>
        <v>-0.25316899051818531</v>
      </c>
    </row>
    <row r="171" spans="1:7" x14ac:dyDescent="0.25">
      <c r="A171" s="14">
        <v>141</v>
      </c>
      <c r="B171" s="14">
        <f t="shared" ca="1" si="15"/>
        <v>0.14173820234223522</v>
      </c>
      <c r="C171" s="14">
        <f t="shared" ca="1" si="16"/>
        <v>-1.0725425685517149</v>
      </c>
      <c r="D171" s="14">
        <f t="shared" si="12"/>
        <v>141</v>
      </c>
      <c r="E171" s="18">
        <f t="shared" ca="1" si="13"/>
        <v>7.9236528846104353</v>
      </c>
      <c r="F171" s="18">
        <f t="shared" ca="1" si="14"/>
        <v>8.1415920264256769</v>
      </c>
      <c r="G171" s="18">
        <f t="shared" ca="1" si="17"/>
        <v>-0.21793914181524165</v>
      </c>
    </row>
    <row r="172" spans="1:7" x14ac:dyDescent="0.25">
      <c r="A172" s="14">
        <v>142</v>
      </c>
      <c r="B172" s="14">
        <f t="shared" ca="1" si="15"/>
        <v>0.60678041598390886</v>
      </c>
      <c r="C172" s="14">
        <f t="shared" ca="1" si="16"/>
        <v>0.27093741478944977</v>
      </c>
      <c r="D172" s="14">
        <f t="shared" si="12"/>
        <v>142</v>
      </c>
      <c r="E172" s="18">
        <f t="shared" ca="1" si="13"/>
        <v>7.9819804468883992</v>
      </c>
      <c r="F172" s="18">
        <f t="shared" ca="1" si="14"/>
        <v>7.9274571509459264</v>
      </c>
      <c r="G172" s="18">
        <f t="shared" ca="1" si="17"/>
        <v>5.4523295942472849E-2</v>
      </c>
    </row>
    <row r="173" spans="1:7" x14ac:dyDescent="0.25">
      <c r="A173" s="14">
        <v>143</v>
      </c>
      <c r="B173" s="14">
        <f t="shared" ca="1" si="15"/>
        <v>0.33699085802810647</v>
      </c>
      <c r="C173" s="14">
        <f t="shared" ca="1" si="16"/>
        <v>-0.42068965524897528</v>
      </c>
      <c r="D173" s="14">
        <f t="shared" si="12"/>
        <v>143</v>
      </c>
      <c r="E173" s="18">
        <f t="shared" ca="1" si="13"/>
        <v>7.9012727728515699</v>
      </c>
      <c r="F173" s="18">
        <f t="shared" ca="1" si="14"/>
        <v>7.9858127171741939</v>
      </c>
      <c r="G173" s="18">
        <f t="shared" ca="1" si="17"/>
        <v>-8.4539944322624017E-2</v>
      </c>
    </row>
    <row r="174" spans="1:7" x14ac:dyDescent="0.25">
      <c r="A174" s="14">
        <v>144</v>
      </c>
      <c r="B174" s="14">
        <f t="shared" ca="1" si="15"/>
        <v>0.89099857953039807</v>
      </c>
      <c r="C174" s="14">
        <f t="shared" ca="1" si="16"/>
        <v>1.231856104803069</v>
      </c>
      <c r="D174" s="14">
        <f t="shared" si="12"/>
        <v>144</v>
      </c>
      <c r="E174" s="18">
        <f t="shared" ca="1" si="13"/>
        <v>8.1552967596248838</v>
      </c>
      <c r="F174" s="18">
        <f t="shared" ca="1" si="14"/>
        <v>7.9050662941548158</v>
      </c>
      <c r="G174" s="18">
        <f t="shared" ca="1" si="17"/>
        <v>0.250230465470068</v>
      </c>
    </row>
    <row r="175" spans="1:7" x14ac:dyDescent="0.25">
      <c r="A175" s="14">
        <v>145</v>
      </c>
      <c r="B175" s="14">
        <f t="shared" ca="1" si="15"/>
        <v>0.79040167881746426</v>
      </c>
      <c r="C175" s="14">
        <f t="shared" ca="1" si="16"/>
        <v>0.80781577533757576</v>
      </c>
      <c r="D175" s="14">
        <f t="shared" si="12"/>
        <v>145</v>
      </c>
      <c r="E175" s="18">
        <f t="shared" ca="1" si="13"/>
        <v>8.3276718519193089</v>
      </c>
      <c r="F175" s="18">
        <f t="shared" ca="1" si="14"/>
        <v>8.1592122417100263</v>
      </c>
      <c r="G175" s="18">
        <f t="shared" ca="1" si="17"/>
        <v>0.16845961020928257</v>
      </c>
    </row>
    <row r="176" spans="1:7" x14ac:dyDescent="0.25">
      <c r="A176" s="14">
        <v>146</v>
      </c>
      <c r="B176" s="14">
        <f t="shared" ca="1" si="15"/>
        <v>0.82919856862714891</v>
      </c>
      <c r="C176" s="14">
        <f t="shared" ca="1" si="16"/>
        <v>0.95100298073155731</v>
      </c>
      <c r="D176" s="14">
        <f t="shared" si="12"/>
        <v>146</v>
      </c>
      <c r="E176" s="18">
        <f t="shared" ca="1" si="13"/>
        <v>8.5345498345612487</v>
      </c>
      <c r="F176" s="18">
        <f t="shared" ca="1" si="14"/>
        <v>8.3316700939095405</v>
      </c>
      <c r="G176" s="18">
        <f t="shared" ca="1" si="17"/>
        <v>0.20287974065170822</v>
      </c>
    </row>
    <row r="177" spans="1:7" x14ac:dyDescent="0.25">
      <c r="A177" s="14">
        <v>147</v>
      </c>
      <c r="B177" s="14">
        <f t="shared" ca="1" si="15"/>
        <v>0.90707158708700264</v>
      </c>
      <c r="C177" s="14">
        <f t="shared" ca="1" si="16"/>
        <v>1.3229355077961362</v>
      </c>
      <c r="D177" s="14">
        <f t="shared" si="12"/>
        <v>147</v>
      </c>
      <c r="E177" s="18">
        <f t="shared" ca="1" si="13"/>
        <v>8.8292540024375583</v>
      </c>
      <c r="F177" s="18">
        <f t="shared" ca="1" si="14"/>
        <v>8.5386474018193059</v>
      </c>
      <c r="G177" s="18">
        <f t="shared" ca="1" si="17"/>
        <v>0.29060660061825239</v>
      </c>
    </row>
    <row r="178" spans="1:7" x14ac:dyDescent="0.25">
      <c r="A178" s="14">
        <v>148</v>
      </c>
      <c r="B178" s="14">
        <f t="shared" ca="1" si="15"/>
        <v>0.72631430255493301</v>
      </c>
      <c r="C178" s="14">
        <f t="shared" ca="1" si="16"/>
        <v>0.6017036876513423</v>
      </c>
      <c r="D178" s="14">
        <f t="shared" si="12"/>
        <v>148</v>
      </c>
      <c r="E178" s="18">
        <f t="shared" ca="1" si="13"/>
        <v>8.9689854030705742</v>
      </c>
      <c r="F178" s="18">
        <f t="shared" ca="1" si="14"/>
        <v>8.8334930616515486</v>
      </c>
      <c r="G178" s="18">
        <f t="shared" ca="1" si="17"/>
        <v>0.13549234141902566</v>
      </c>
    </row>
    <row r="179" spans="1:7" x14ac:dyDescent="0.25">
      <c r="A179" s="14">
        <v>149</v>
      </c>
      <c r="B179" s="14">
        <f t="shared" ca="1" si="15"/>
        <v>0.43871788552586677</v>
      </c>
      <c r="C179" s="14">
        <f t="shared" ca="1" si="16"/>
        <v>-0.15422063677487929</v>
      </c>
      <c r="D179" s="14">
        <f t="shared" si="12"/>
        <v>149</v>
      </c>
      <c r="E179" s="18">
        <f t="shared" ca="1" si="13"/>
        <v>8.9383503884551398</v>
      </c>
      <c r="F179" s="18">
        <f t="shared" ca="1" si="14"/>
        <v>8.9732915494565031</v>
      </c>
      <c r="G179" s="18">
        <f t="shared" ca="1" si="17"/>
        <v>-3.4941161001363241E-2</v>
      </c>
    </row>
    <row r="180" spans="1:7" x14ac:dyDescent="0.25">
      <c r="A180" s="14">
        <v>150</v>
      </c>
      <c r="B180" s="14">
        <f t="shared" ca="1" si="15"/>
        <v>0.16077269278593087</v>
      </c>
      <c r="C180" s="14">
        <f t="shared" ca="1" si="16"/>
        <v>-0.9912871504482591</v>
      </c>
      <c r="D180" s="14">
        <f t="shared" si="12"/>
        <v>150</v>
      </c>
      <c r="E180" s="18">
        <f t="shared" ca="1" si="13"/>
        <v>8.7211686650923159</v>
      </c>
      <c r="F180" s="18">
        <f t="shared" ca="1" si="14"/>
        <v>8.9426418265043335</v>
      </c>
      <c r="G180" s="18">
        <f t="shared" ca="1" si="17"/>
        <v>-0.22147316141201756</v>
      </c>
    </row>
    <row r="181" spans="1:7" x14ac:dyDescent="0.25">
      <c r="A181" s="14">
        <v>151</v>
      </c>
      <c r="B181" s="14">
        <f t="shared" ca="1" si="15"/>
        <v>0.33029459885351786</v>
      </c>
      <c r="C181" s="14">
        <f t="shared" ca="1" si="16"/>
        <v>-0.43909983630863647</v>
      </c>
      <c r="D181" s="14">
        <f t="shared" si="12"/>
        <v>151</v>
      </c>
      <c r="E181" s="18">
        <f t="shared" ca="1" si="13"/>
        <v>8.6289670529645477</v>
      </c>
      <c r="F181" s="18">
        <f t="shared" ca="1" si="14"/>
        <v>8.7253558308909582</v>
      </c>
      <c r="G181" s="18">
        <f t="shared" ca="1" si="17"/>
        <v>-9.638877792641054E-2</v>
      </c>
    </row>
    <row r="182" spans="1:7" x14ac:dyDescent="0.25">
      <c r="A182" s="14">
        <v>152</v>
      </c>
      <c r="B182" s="14">
        <f t="shared" ca="1" si="15"/>
        <v>0.56626740444765689</v>
      </c>
      <c r="C182" s="14">
        <f t="shared" ca="1" si="16"/>
        <v>0.16687908374941302</v>
      </c>
      <c r="D182" s="14">
        <f t="shared" si="12"/>
        <v>152</v>
      </c>
      <c r="E182" s="18">
        <f t="shared" ca="1" si="13"/>
        <v>8.6696337742677976</v>
      </c>
      <c r="F182" s="18">
        <f t="shared" ca="1" si="14"/>
        <v>8.633109951366043</v>
      </c>
      <c r="G182" s="18">
        <f t="shared" ca="1" si="17"/>
        <v>3.6523822901754599E-2</v>
      </c>
    </row>
    <row r="183" spans="1:7" x14ac:dyDescent="0.25">
      <c r="A183" s="14">
        <v>153</v>
      </c>
      <c r="B183" s="14">
        <f t="shared" ca="1" si="15"/>
        <v>0.75405238946853903</v>
      </c>
      <c r="C183" s="14">
        <f t="shared" ca="1" si="16"/>
        <v>0.68729758389800588</v>
      </c>
      <c r="D183" s="14">
        <f t="shared" si="12"/>
        <v>153</v>
      </c>
      <c r="E183" s="18">
        <f t="shared" ca="1" si="13"/>
        <v>8.8259297881045669</v>
      </c>
      <c r="F183" s="18">
        <f t="shared" ca="1" si="14"/>
        <v>8.6737961973810744</v>
      </c>
      <c r="G183" s="18">
        <f t="shared" ca="1" si="17"/>
        <v>0.15213359072349242</v>
      </c>
    </row>
    <row r="184" spans="1:7" x14ac:dyDescent="0.25">
      <c r="A184" s="14">
        <v>154</v>
      </c>
      <c r="B184" s="14">
        <f t="shared" ca="1" si="15"/>
        <v>0.27604304745513353</v>
      </c>
      <c r="C184" s="14">
        <f t="shared" ca="1" si="16"/>
        <v>-0.59463707053123038</v>
      </c>
      <c r="D184" s="14">
        <f t="shared" si="12"/>
        <v>154</v>
      </c>
      <c r="E184" s="18">
        <f t="shared" ca="1" si="13"/>
        <v>8.6983268885260543</v>
      </c>
      <c r="F184" s="18">
        <f t="shared" ca="1" si="14"/>
        <v>8.8301672513126679</v>
      </c>
      <c r="G184" s="18">
        <f t="shared" ca="1" si="17"/>
        <v>-0.1318403627866136</v>
      </c>
    </row>
    <row r="185" spans="1:7" x14ac:dyDescent="0.25">
      <c r="A185" s="14">
        <v>155</v>
      </c>
      <c r="B185" s="14">
        <f t="shared" ca="1" si="15"/>
        <v>0.50783121028940037</v>
      </c>
      <c r="C185" s="14">
        <f t="shared" ca="1" si="16"/>
        <v>1.9631193987053385E-2</v>
      </c>
      <c r="D185" s="14">
        <f t="shared" si="12"/>
        <v>155</v>
      </c>
      <c r="E185" s="18">
        <f t="shared" ca="1" si="13"/>
        <v>8.7068261224727781</v>
      </c>
      <c r="F185" s="18">
        <f t="shared" ca="1" si="14"/>
        <v>8.7025030876401512</v>
      </c>
      <c r="G185" s="18">
        <f t="shared" ca="1" si="17"/>
        <v>4.3230348326268597E-3</v>
      </c>
    </row>
    <row r="186" spans="1:7" x14ac:dyDescent="0.25">
      <c r="A186" s="14">
        <v>156</v>
      </c>
      <c r="B186" s="14">
        <f t="shared" ca="1" si="15"/>
        <v>0.46489517568816607</v>
      </c>
      <c r="C186" s="14">
        <f t="shared" ca="1" si="16"/>
        <v>-8.8108612302184489E-2</v>
      </c>
      <c r="D186" s="14">
        <f t="shared" si="12"/>
        <v>156</v>
      </c>
      <c r="E186" s="18">
        <f t="shared" ca="1" si="13"/>
        <v>8.6916112696588677</v>
      </c>
      <c r="F186" s="18">
        <f t="shared" ca="1" si="14"/>
        <v>8.7110064021984375</v>
      </c>
      <c r="G186" s="18">
        <f t="shared" ca="1" si="17"/>
        <v>-1.9395132539569815E-2</v>
      </c>
    </row>
    <row r="187" spans="1:7" x14ac:dyDescent="0.25">
      <c r="A187" s="14">
        <v>157</v>
      </c>
      <c r="B187" s="14">
        <f t="shared" ca="1" si="15"/>
        <v>0.65740862906386899</v>
      </c>
      <c r="C187" s="14">
        <f t="shared" ca="1" si="16"/>
        <v>0.40540104648246211</v>
      </c>
      <c r="D187" s="14">
        <f t="shared" si="12"/>
        <v>157</v>
      </c>
      <c r="E187" s="18">
        <f t="shared" ca="1" si="13"/>
        <v>8.7854264550167986</v>
      </c>
      <c r="F187" s="18">
        <f t="shared" ca="1" si="14"/>
        <v>8.6957842445021445</v>
      </c>
      <c r="G187" s="18">
        <f t="shared" ca="1" si="17"/>
        <v>8.9642210514654153E-2</v>
      </c>
    </row>
    <row r="188" spans="1:7" x14ac:dyDescent="0.25">
      <c r="A188" s="14">
        <v>158</v>
      </c>
      <c r="B188" s="14">
        <f t="shared" ca="1" si="15"/>
        <v>0.13619916307355073</v>
      </c>
      <c r="C188" s="14">
        <f t="shared" ca="1" si="16"/>
        <v>-1.0975562032501383</v>
      </c>
      <c r="D188" s="14">
        <f t="shared" si="12"/>
        <v>158</v>
      </c>
      <c r="E188" s="18">
        <f t="shared" ca="1" si="13"/>
        <v>8.5489463745161913</v>
      </c>
      <c r="F188" s="18">
        <f t="shared" ca="1" si="14"/>
        <v>8.7896444719582867</v>
      </c>
      <c r="G188" s="18">
        <f t="shared" ca="1" si="17"/>
        <v>-0.24069809744209536</v>
      </c>
    </row>
    <row r="189" spans="1:7" x14ac:dyDescent="0.25">
      <c r="A189" s="14">
        <v>159</v>
      </c>
      <c r="B189" s="14">
        <f t="shared" ca="1" si="15"/>
        <v>0.50783541332321613</v>
      </c>
      <c r="C189" s="14">
        <f t="shared" ca="1" si="16"/>
        <v>1.9641731461835399E-2</v>
      </c>
      <c r="D189" s="14">
        <f t="shared" si="12"/>
        <v>159</v>
      </c>
      <c r="E189" s="18">
        <f t="shared" ca="1" si="13"/>
        <v>8.5573019282667424</v>
      </c>
      <c r="F189" s="18">
        <f t="shared" ca="1" si="14"/>
        <v>8.5530508537721737</v>
      </c>
      <c r="G189" s="18">
        <f t="shared" ca="1" si="17"/>
        <v>4.2510744945687406E-3</v>
      </c>
    </row>
    <row r="190" spans="1:7" x14ac:dyDescent="0.25">
      <c r="A190" s="14">
        <v>160</v>
      </c>
      <c r="B190" s="14">
        <f t="shared" ca="1" si="15"/>
        <v>0.26381729886187499</v>
      </c>
      <c r="C190" s="14">
        <f t="shared" ca="1" si="16"/>
        <v>-0.63162094372128064</v>
      </c>
      <c r="D190" s="14">
        <f t="shared" si="12"/>
        <v>160</v>
      </c>
      <c r="E190" s="18">
        <f t="shared" ca="1" si="13"/>
        <v>8.4256957865836206</v>
      </c>
      <c r="F190" s="18">
        <f t="shared" ca="1" si="14"/>
        <v>8.5614104191512386</v>
      </c>
      <c r="G190" s="18">
        <f t="shared" ca="1" si="17"/>
        <v>-0.13571463256761795</v>
      </c>
    </row>
    <row r="191" spans="1:7" x14ac:dyDescent="0.25">
      <c r="A191" s="14">
        <v>161</v>
      </c>
      <c r="B191" s="14">
        <f t="shared" ca="1" si="15"/>
        <v>0.85163203172434832</v>
      </c>
      <c r="C191" s="14">
        <f t="shared" ca="1" si="16"/>
        <v>1.0434586191564772</v>
      </c>
      <c r="D191" s="14">
        <f t="shared" si="12"/>
        <v>161</v>
      </c>
      <c r="E191" s="18">
        <f t="shared" ca="1" si="13"/>
        <v>8.6552295093242613</v>
      </c>
      <c r="F191" s="18">
        <f t="shared" ca="1" si="14"/>
        <v>8.4297410913566555</v>
      </c>
      <c r="G191" s="18">
        <f t="shared" ca="1" si="17"/>
        <v>0.22548841796760577</v>
      </c>
    </row>
    <row r="192" spans="1:7" x14ac:dyDescent="0.25">
      <c r="A192" s="14">
        <v>162</v>
      </c>
      <c r="B192" s="14">
        <f t="shared" ca="1" si="15"/>
        <v>6.0706308624085881E-2</v>
      </c>
      <c r="C192" s="14">
        <f t="shared" ca="1" si="16"/>
        <v>-1.5488714835391291</v>
      </c>
      <c r="D192" s="14">
        <f t="shared" si="12"/>
        <v>162</v>
      </c>
      <c r="E192" s="18">
        <f t="shared" ca="1" si="13"/>
        <v>8.3266399902520156</v>
      </c>
      <c r="F192" s="18">
        <f t="shared" ca="1" si="14"/>
        <v>8.6593850167307291</v>
      </c>
      <c r="G192" s="18">
        <f t="shared" ca="1" si="17"/>
        <v>-0.33274502647871351</v>
      </c>
    </row>
    <row r="193" spans="1:7" x14ac:dyDescent="0.25">
      <c r="A193" s="14">
        <v>163</v>
      </c>
      <c r="B193" s="14">
        <f t="shared" ca="1" si="15"/>
        <v>0.80458879458994781</v>
      </c>
      <c r="C193" s="14">
        <f t="shared" ca="1" si="16"/>
        <v>0.85812687143718269</v>
      </c>
      <c r="D193" s="14">
        <f t="shared" si="12"/>
        <v>163</v>
      </c>
      <c r="E193" s="18">
        <f t="shared" ca="1" si="13"/>
        <v>8.5134655790864144</v>
      </c>
      <c r="F193" s="18">
        <f t="shared" ca="1" si="14"/>
        <v>8.3306377368297575</v>
      </c>
      <c r="G193" s="18">
        <f t="shared" ca="1" si="17"/>
        <v>0.18282784225665694</v>
      </c>
    </row>
    <row r="194" spans="1:7" x14ac:dyDescent="0.25">
      <c r="A194" s="14">
        <v>164</v>
      </c>
      <c r="B194" s="14">
        <f t="shared" ca="1" si="15"/>
        <v>0.95748786918146056</v>
      </c>
      <c r="C194" s="14">
        <f t="shared" ca="1" si="16"/>
        <v>1.7222498854736092</v>
      </c>
      <c r="D194" s="14">
        <f t="shared" si="12"/>
        <v>164</v>
      </c>
      <c r="E194" s="18">
        <f t="shared" ca="1" si="13"/>
        <v>8.8968648841944109</v>
      </c>
      <c r="F194" s="18">
        <f t="shared" ca="1" si="14"/>
        <v>8.5175530234725496</v>
      </c>
      <c r="G194" s="18">
        <f t="shared" ca="1" si="17"/>
        <v>0.37931186072186129</v>
      </c>
    </row>
    <row r="195" spans="1:7" x14ac:dyDescent="0.25">
      <c r="A195" s="14">
        <v>165</v>
      </c>
      <c r="B195" s="14">
        <f t="shared" ca="1" si="15"/>
        <v>0.30025194648190301</v>
      </c>
      <c r="C195" s="14">
        <f t="shared" ca="1" si="16"/>
        <v>-0.52367602608743202</v>
      </c>
      <c r="D195" s="14">
        <f t="shared" si="12"/>
        <v>165</v>
      </c>
      <c r="E195" s="18">
        <f t="shared" ca="1" si="13"/>
        <v>8.7839911959957639</v>
      </c>
      <c r="F195" s="18">
        <f t="shared" ca="1" si="14"/>
        <v>8.9011364044216652</v>
      </c>
      <c r="G195" s="18">
        <f t="shared" ca="1" si="17"/>
        <v>-0.11714520842590126</v>
      </c>
    </row>
    <row r="196" spans="1:7" x14ac:dyDescent="0.25">
      <c r="A196" s="14">
        <v>166</v>
      </c>
      <c r="B196" s="14">
        <f t="shared" ca="1" si="15"/>
        <v>1.4440002675743524E-2</v>
      </c>
      <c r="C196" s="14">
        <f t="shared" ca="1" si="16"/>
        <v>-2.1851205979945365</v>
      </c>
      <c r="D196" s="14">
        <f t="shared" si="12"/>
        <v>166</v>
      </c>
      <c r="E196" s="18">
        <f t="shared" ca="1" si="13"/>
        <v>8.3155829470835663</v>
      </c>
      <c r="F196" s="18">
        <f t="shared" ca="1" si="14"/>
        <v>8.7882085238475529</v>
      </c>
      <c r="G196" s="18">
        <f t="shared" ca="1" si="17"/>
        <v>-0.47262557676398664</v>
      </c>
    </row>
    <row r="197" spans="1:7" x14ac:dyDescent="0.25">
      <c r="A197" s="14">
        <v>167</v>
      </c>
      <c r="B197" s="14">
        <f t="shared" ca="1" si="15"/>
        <v>0.62953013881278952</v>
      </c>
      <c r="C197" s="14">
        <f t="shared" ca="1" si="16"/>
        <v>0.33060916517970362</v>
      </c>
      <c r="D197" s="14">
        <f t="shared" si="12"/>
        <v>167</v>
      </c>
      <c r="E197" s="18">
        <f t="shared" ca="1" si="13"/>
        <v>8.3894506526494954</v>
      </c>
      <c r="F197" s="18">
        <f t="shared" ca="1" si="14"/>
        <v>8.3195753850066119</v>
      </c>
      <c r="G197" s="18">
        <f t="shared" ca="1" si="17"/>
        <v>6.9875267642883543E-2</v>
      </c>
    </row>
    <row r="198" spans="1:7" x14ac:dyDescent="0.25">
      <c r="A198" s="14">
        <v>168</v>
      </c>
      <c r="B198" s="14">
        <f t="shared" ca="1" si="15"/>
        <v>0.72559932071395894</v>
      </c>
      <c r="C198" s="14">
        <f t="shared" ca="1" si="16"/>
        <v>0.59955722974948855</v>
      </c>
      <c r="D198" s="14">
        <f t="shared" si="12"/>
        <v>168</v>
      </c>
      <c r="E198" s="18">
        <f t="shared" ca="1" si="13"/>
        <v>8.5217589866286563</v>
      </c>
      <c r="F198" s="18">
        <f t="shared" ca="1" si="14"/>
        <v>8.393478555582135</v>
      </c>
      <c r="G198" s="18">
        <f t="shared" ca="1" si="17"/>
        <v>0.12828043104652131</v>
      </c>
    </row>
    <row r="199" spans="1:7" x14ac:dyDescent="0.25">
      <c r="A199" s="14">
        <v>169</v>
      </c>
      <c r="B199" s="14">
        <f t="shared" ca="1" si="15"/>
        <v>0.90703482845873395</v>
      </c>
      <c r="C199" s="14">
        <f t="shared" ca="1" si="16"/>
        <v>1.3227144897176504</v>
      </c>
      <c r="D199" s="14">
        <f t="shared" si="12"/>
        <v>169</v>
      </c>
      <c r="E199" s="18">
        <f t="shared" ca="1" si="13"/>
        <v>8.8159721838410796</v>
      </c>
      <c r="F199" s="18">
        <f t="shared" ca="1" si="14"/>
        <v>8.5258504128059656</v>
      </c>
      <c r="G199" s="18">
        <f t="shared" ca="1" si="17"/>
        <v>0.29012177103511405</v>
      </c>
    </row>
    <row r="200" spans="1:7" x14ac:dyDescent="0.25">
      <c r="A200" s="14">
        <v>170</v>
      </c>
      <c r="B200" s="14">
        <f t="shared" ca="1" si="15"/>
        <v>0.37622975248058121</v>
      </c>
      <c r="C200" s="14">
        <f t="shared" ca="1" si="16"/>
        <v>-0.31539797393553287</v>
      </c>
      <c r="D200" s="14">
        <f t="shared" si="12"/>
        <v>170</v>
      </c>
      <c r="E200" s="18">
        <f t="shared" ca="1" si="13"/>
        <v>8.7501084053779685</v>
      </c>
      <c r="F200" s="18">
        <f t="shared" ca="1" si="14"/>
        <v>8.8202048662518333</v>
      </c>
      <c r="G200" s="18">
        <f t="shared" ca="1" si="17"/>
        <v>-7.0096460873864785E-2</v>
      </c>
    </row>
    <row r="201" spans="1:7" x14ac:dyDescent="0.25">
      <c r="A201" s="14">
        <v>171</v>
      </c>
      <c r="B201" s="14">
        <f t="shared" ca="1" si="15"/>
        <v>0.54303372252052973</v>
      </c>
      <c r="C201" s="14">
        <f t="shared" ca="1" si="16"/>
        <v>0.10807959399144992</v>
      </c>
      <c r="D201" s="14">
        <f t="shared" si="12"/>
        <v>171</v>
      </c>
      <c r="E201" s="18">
        <f t="shared" ca="1" si="13"/>
        <v>8.7782784399213725</v>
      </c>
      <c r="F201" s="18">
        <f t="shared" ca="1" si="14"/>
        <v>8.7543094655863385</v>
      </c>
      <c r="G201" s="18">
        <f t="shared" ca="1" si="17"/>
        <v>2.3968974335033977E-2</v>
      </c>
    </row>
    <row r="202" spans="1:7" x14ac:dyDescent="0.25">
      <c r="A202" s="14">
        <v>172</v>
      </c>
      <c r="B202" s="14">
        <f t="shared" ca="1" si="15"/>
        <v>0.41564961111329879</v>
      </c>
      <c r="C202" s="14">
        <f t="shared" ca="1" si="16"/>
        <v>-0.21303556533722004</v>
      </c>
      <c r="D202" s="14">
        <f t="shared" si="12"/>
        <v>172</v>
      </c>
      <c r="E202" s="18">
        <f t="shared" ca="1" si="13"/>
        <v>8.7352877924612162</v>
      </c>
      <c r="F202" s="18">
        <f t="shared" ca="1" si="14"/>
        <v>8.7824930249920321</v>
      </c>
      <c r="G202" s="18">
        <f t="shared" ca="1" si="17"/>
        <v>-4.7205232530815877E-2</v>
      </c>
    </row>
    <row r="203" spans="1:7" x14ac:dyDescent="0.25">
      <c r="A203" s="14">
        <v>173</v>
      </c>
      <c r="B203" s="14">
        <f t="shared" ca="1" si="15"/>
        <v>0.43358127803426139</v>
      </c>
      <c r="C203" s="14">
        <f t="shared" ca="1" si="16"/>
        <v>-0.16726371126076511</v>
      </c>
      <c r="D203" s="14">
        <f t="shared" si="12"/>
        <v>173</v>
      </c>
      <c r="E203" s="18">
        <f t="shared" ca="1" si="13"/>
        <v>8.702578975612477</v>
      </c>
      <c r="F203" s="18">
        <f t="shared" ca="1" si="14"/>
        <v>8.7394817370677789</v>
      </c>
      <c r="G203" s="18">
        <f t="shared" ca="1" si="17"/>
        <v>-3.6902761455301913E-2</v>
      </c>
    </row>
    <row r="204" spans="1:7" x14ac:dyDescent="0.25">
      <c r="A204" s="14">
        <v>174</v>
      </c>
      <c r="B204" s="14">
        <f t="shared" ca="1" si="15"/>
        <v>3.2172971086813384E-2</v>
      </c>
      <c r="C204" s="14">
        <f t="shared" ca="1" si="16"/>
        <v>-1.8497753007221545</v>
      </c>
      <c r="D204" s="14">
        <f t="shared" si="12"/>
        <v>174</v>
      </c>
      <c r="E204" s="18">
        <f t="shared" ca="1" si="13"/>
        <v>8.3087019295254301</v>
      </c>
      <c r="F204" s="18">
        <f t="shared" ca="1" si="14"/>
        <v>8.7067572162182945</v>
      </c>
      <c r="G204" s="18">
        <f t="shared" ca="1" si="17"/>
        <v>-0.39805528669286439</v>
      </c>
    </row>
    <row r="205" spans="1:7" x14ac:dyDescent="0.25">
      <c r="A205" s="14">
        <v>175</v>
      </c>
      <c r="B205" s="14">
        <f t="shared" ca="1" si="15"/>
        <v>0.99305237966641635</v>
      </c>
      <c r="C205" s="14">
        <f t="shared" ca="1" si="16"/>
        <v>2.4599602450749614</v>
      </c>
      <c r="D205" s="14">
        <f t="shared" si="12"/>
        <v>175</v>
      </c>
      <c r="E205" s="18">
        <f t="shared" ca="1" si="13"/>
        <v>8.8464478844044514</v>
      </c>
      <c r="F205" s="18">
        <f t="shared" ca="1" si="14"/>
        <v>8.3126910637672289</v>
      </c>
      <c r="G205" s="18">
        <f t="shared" ca="1" si="17"/>
        <v>0.53375682063722252</v>
      </c>
    </row>
    <row r="206" spans="1:7" x14ac:dyDescent="0.25">
      <c r="A206" s="14">
        <v>176</v>
      </c>
      <c r="B206" s="14">
        <f t="shared" ca="1" si="15"/>
        <v>0.89816616350228473</v>
      </c>
      <c r="C206" s="14">
        <f t="shared" ca="1" si="16"/>
        <v>1.2711714162984504</v>
      </c>
      <c r="D206" s="14">
        <f t="shared" si="12"/>
        <v>176</v>
      </c>
      <c r="E206" s="18">
        <f t="shared" ca="1" si="13"/>
        <v>9.1399451580246716</v>
      </c>
      <c r="F206" s="18">
        <f t="shared" ca="1" si="14"/>
        <v>8.850695198662839</v>
      </c>
      <c r="G206" s="18">
        <f t="shared" ca="1" si="17"/>
        <v>0.28924995936183251</v>
      </c>
    </row>
    <row r="207" spans="1:7" x14ac:dyDescent="0.25">
      <c r="A207" s="14">
        <v>177</v>
      </c>
      <c r="B207" s="14">
        <f t="shared" ca="1" si="15"/>
        <v>0.98107314606644536</v>
      </c>
      <c r="C207" s="14">
        <f t="shared" ca="1" si="16"/>
        <v>2.0764353152282991</v>
      </c>
      <c r="D207" s="14">
        <f t="shared" si="12"/>
        <v>177</v>
      </c>
      <c r="E207" s="18">
        <f t="shared" ca="1" si="13"/>
        <v>9.63752666144374</v>
      </c>
      <c r="F207" s="18">
        <f t="shared" ca="1" si="14"/>
        <v>9.1443333847906931</v>
      </c>
      <c r="G207" s="18">
        <f t="shared" ca="1" si="17"/>
        <v>0.49319327665304691</v>
      </c>
    </row>
    <row r="208" spans="1:7" x14ac:dyDescent="0.25">
      <c r="A208" s="14">
        <v>178</v>
      </c>
      <c r="B208" s="14">
        <f t="shared" ca="1" si="15"/>
        <v>0.91656011293117645</v>
      </c>
      <c r="C208" s="14">
        <f t="shared" ca="1" si="16"/>
        <v>1.3822994521746066</v>
      </c>
      <c r="D208" s="14">
        <f t="shared" si="12"/>
        <v>178</v>
      </c>
      <c r="E208" s="18">
        <f t="shared" ca="1" si="13"/>
        <v>9.9853021093663834</v>
      </c>
      <c r="F208" s="18">
        <f t="shared" ca="1" si="14"/>
        <v>9.6421537846619643</v>
      </c>
      <c r="G208" s="18">
        <f t="shared" ca="1" si="17"/>
        <v>0.34314832470441914</v>
      </c>
    </row>
    <row r="209" spans="1:7" x14ac:dyDescent="0.25">
      <c r="A209" s="14">
        <v>179</v>
      </c>
      <c r="B209" s="14">
        <f t="shared" ca="1" si="15"/>
        <v>0.18554171740134096</v>
      </c>
      <c r="C209" s="14">
        <f t="shared" ca="1" si="16"/>
        <v>-0.89444576634844564</v>
      </c>
      <c r="D209" s="14">
        <f t="shared" si="12"/>
        <v>179</v>
      </c>
      <c r="E209" s="18">
        <f t="shared" ca="1" si="13"/>
        <v>9.7665798262968302</v>
      </c>
      <c r="F209" s="18">
        <f t="shared" ca="1" si="14"/>
        <v>9.9900962048697526</v>
      </c>
      <c r="G209" s="18">
        <f t="shared" ca="1" si="17"/>
        <v>-0.22351637857292239</v>
      </c>
    </row>
    <row r="210" spans="1:7" x14ac:dyDescent="0.25">
      <c r="A210" s="14">
        <v>180</v>
      </c>
      <c r="B210" s="14">
        <f t="shared" ca="1" si="15"/>
        <v>0.48447955401847309</v>
      </c>
      <c r="C210" s="14">
        <f t="shared" ca="1" si="16"/>
        <v>-3.8913807597229774E-2</v>
      </c>
      <c r="D210" s="14">
        <f t="shared" si="12"/>
        <v>180</v>
      </c>
      <c r="E210" s="18">
        <f t="shared" ca="1" si="13"/>
        <v>9.7616543164169318</v>
      </c>
      <c r="F210" s="18">
        <f t="shared" ca="1" si="14"/>
        <v>9.7712689099034868</v>
      </c>
      <c r="G210" s="18">
        <f t="shared" ca="1" si="17"/>
        <v>-9.6145934865550231E-3</v>
      </c>
    </row>
    <row r="211" spans="1:7" x14ac:dyDescent="0.25">
      <c r="A211" s="14">
        <v>181</v>
      </c>
      <c r="B211" s="14">
        <f t="shared" ca="1" si="15"/>
        <v>0.18940725793818003</v>
      </c>
      <c r="C211" s="14">
        <f t="shared" ca="1" si="16"/>
        <v>-0.88008268967368819</v>
      </c>
      <c r="D211" s="14">
        <f t="shared" si="12"/>
        <v>181</v>
      </c>
      <c r="E211" s="18">
        <f t="shared" ca="1" si="13"/>
        <v>9.5513008422562375</v>
      </c>
      <c r="F211" s="18">
        <f t="shared" ca="1" si="14"/>
        <v>9.7663410352113367</v>
      </c>
      <c r="G211" s="18">
        <f t="shared" ca="1" si="17"/>
        <v>-0.21504019295509913</v>
      </c>
    </row>
    <row r="212" spans="1:7" x14ac:dyDescent="0.25">
      <c r="A212" s="14">
        <v>182</v>
      </c>
      <c r="B212" s="14">
        <f t="shared" ca="1" si="15"/>
        <v>0.92205100402014295</v>
      </c>
      <c r="C212" s="14">
        <f t="shared" ca="1" si="16"/>
        <v>1.4190035127255674</v>
      </c>
      <c r="D212" s="14">
        <f t="shared" si="12"/>
        <v>182</v>
      </c>
      <c r="E212" s="18">
        <f t="shared" ca="1" si="13"/>
        <v>9.9051579243861987</v>
      </c>
      <c r="F212" s="18">
        <f t="shared" ca="1" si="14"/>
        <v>9.5558865671464481</v>
      </c>
      <c r="G212" s="18">
        <f t="shared" ca="1" si="17"/>
        <v>0.34927135723975056</v>
      </c>
    </row>
    <row r="213" spans="1:7" x14ac:dyDescent="0.25">
      <c r="A213" s="14">
        <v>183</v>
      </c>
      <c r="B213" s="14">
        <f t="shared" ca="1" si="15"/>
        <v>0.78252920478649279</v>
      </c>
      <c r="C213" s="14">
        <f t="shared" ca="1" si="16"/>
        <v>0.780763525155166</v>
      </c>
      <c r="D213" s="14">
        <f t="shared" si="12"/>
        <v>183</v>
      </c>
      <c r="E213" s="18">
        <f t="shared" ca="1" si="13"/>
        <v>10.107599355435683</v>
      </c>
      <c r="F213" s="18">
        <f t="shared" ca="1" si="14"/>
        <v>9.9099135414466897</v>
      </c>
      <c r="G213" s="18">
        <f t="shared" ca="1" si="17"/>
        <v>0.19768581398899343</v>
      </c>
    </row>
    <row r="214" spans="1:7" x14ac:dyDescent="0.25">
      <c r="A214" s="14">
        <v>184</v>
      </c>
      <c r="B214" s="14">
        <f t="shared" ca="1" si="15"/>
        <v>0.34991726201876727</v>
      </c>
      <c r="C214" s="14">
        <f t="shared" ca="1" si="16"/>
        <v>-0.3855438513028176</v>
      </c>
      <c r="D214" s="14">
        <f t="shared" si="12"/>
        <v>184</v>
      </c>
      <c r="E214" s="18">
        <f t="shared" ca="1" si="13"/>
        <v>10.014299070425219</v>
      </c>
      <c r="F214" s="18">
        <f t="shared" ca="1" si="14"/>
        <v>10.112452167708064</v>
      </c>
      <c r="G214" s="18">
        <f t="shared" ca="1" si="17"/>
        <v>-9.8153097282844826E-2</v>
      </c>
    </row>
    <row r="215" spans="1:7" x14ac:dyDescent="0.25">
      <c r="A215" s="14">
        <v>185</v>
      </c>
      <c r="B215" s="14">
        <f t="shared" ca="1" si="15"/>
        <v>0.71566314325155089</v>
      </c>
      <c r="C215" s="14">
        <f t="shared" ca="1" si="16"/>
        <v>0.57000587484038534</v>
      </c>
      <c r="D215" s="14">
        <f t="shared" si="12"/>
        <v>185</v>
      </c>
      <c r="E215" s="18">
        <f t="shared" ca="1" si="13"/>
        <v>10.164630675320536</v>
      </c>
      <c r="F215" s="18">
        <f t="shared" ca="1" si="14"/>
        <v>10.01910708781088</v>
      </c>
      <c r="G215" s="18">
        <f t="shared" ca="1" si="17"/>
        <v>0.14552358750965588</v>
      </c>
    </row>
    <row r="216" spans="1:7" x14ac:dyDescent="0.25">
      <c r="A216" s="14">
        <v>186</v>
      </c>
      <c r="B216" s="14">
        <f t="shared" ca="1" si="15"/>
        <v>0.63094402950705541</v>
      </c>
      <c r="C216" s="14">
        <f t="shared" ca="1" si="16"/>
        <v>0.33435467008061165</v>
      </c>
      <c r="D216" s="14">
        <f t="shared" si="12"/>
        <v>186</v>
      </c>
      <c r="E216" s="18">
        <f t="shared" ca="1" si="13"/>
        <v>10.255895304191235</v>
      </c>
      <c r="F216" s="18">
        <f t="shared" ca="1" si="14"/>
        <v>10.16951086919752</v>
      </c>
      <c r="G216" s="18">
        <f t="shared" ca="1" si="17"/>
        <v>8.6384434993714621E-2</v>
      </c>
    </row>
    <row r="217" spans="1:7" x14ac:dyDescent="0.25">
      <c r="A217" s="14">
        <v>187</v>
      </c>
      <c r="B217" s="14">
        <f t="shared" ca="1" si="15"/>
        <v>0.70441516051636166</v>
      </c>
      <c r="C217" s="14">
        <f t="shared" ca="1" si="16"/>
        <v>0.53714178598899576</v>
      </c>
      <c r="D217" s="14">
        <f t="shared" si="12"/>
        <v>187</v>
      </c>
      <c r="E217" s="18">
        <f t="shared" ca="1" si="13"/>
        <v>10.401202491415479</v>
      </c>
      <c r="F217" s="18">
        <f t="shared" ca="1" si="14"/>
        <v>10.260819315605444</v>
      </c>
      <c r="G217" s="18">
        <f t="shared" ca="1" si="17"/>
        <v>0.1403831758100349</v>
      </c>
    </row>
    <row r="218" spans="1:7" x14ac:dyDescent="0.25">
      <c r="A218" s="14">
        <v>188</v>
      </c>
      <c r="B218" s="14">
        <f t="shared" ca="1" si="15"/>
        <v>0.61905417931332329</v>
      </c>
      <c r="C218" s="14">
        <f t="shared" ca="1" si="16"/>
        <v>0.30299766460091548</v>
      </c>
      <c r="D218" s="14">
        <f t="shared" si="12"/>
        <v>188</v>
      </c>
      <c r="E218" s="18">
        <f t="shared" ca="1" si="13"/>
        <v>10.486269404051482</v>
      </c>
      <c r="F218" s="18">
        <f t="shared" ca="1" si="14"/>
        <v>10.406196267021622</v>
      </c>
      <c r="G218" s="18">
        <f t="shared" ca="1" si="17"/>
        <v>8.0073137029859964E-2</v>
      </c>
    </row>
    <row r="219" spans="1:7" x14ac:dyDescent="0.25">
      <c r="A219" s="14">
        <v>189</v>
      </c>
      <c r="B219" s="14">
        <f t="shared" ca="1" si="15"/>
        <v>0.76197228100064696</v>
      </c>
      <c r="C219" s="14">
        <f t="shared" ca="1" si="16"/>
        <v>0.71266118922855348</v>
      </c>
      <c r="D219" s="14">
        <f t="shared" si="12"/>
        <v>189</v>
      </c>
      <c r="E219" s="18">
        <f t="shared" ca="1" si="13"/>
        <v>10.682167753057026</v>
      </c>
      <c r="F219" s="18">
        <f t="shared" ca="1" si="14"/>
        <v>10.491304021576967</v>
      </c>
      <c r="G219" s="18">
        <f t="shared" ca="1" si="17"/>
        <v>0.19086373148005897</v>
      </c>
    </row>
    <row r="220" spans="1:7" x14ac:dyDescent="0.25">
      <c r="A220" s="14">
        <v>190</v>
      </c>
      <c r="B220" s="14">
        <f t="shared" ca="1" si="15"/>
        <v>3.7156842000893864E-3</v>
      </c>
      <c r="C220" s="14">
        <f t="shared" ca="1" si="16"/>
        <v>-2.676869002192686</v>
      </c>
      <c r="D220" s="14">
        <f t="shared" si="12"/>
        <v>190</v>
      </c>
      <c r="E220" s="18">
        <f t="shared" ca="1" si="13"/>
        <v>9.9875144880520654</v>
      </c>
      <c r="F220" s="18">
        <f t="shared" ca="1" si="14"/>
        <v>10.687296424361136</v>
      </c>
      <c r="G220" s="18">
        <f t="shared" ca="1" si="17"/>
        <v>-0.69978193630907093</v>
      </c>
    </row>
    <row r="221" spans="1:7" x14ac:dyDescent="0.25">
      <c r="A221" s="14">
        <v>191</v>
      </c>
      <c r="B221" s="14">
        <f t="shared" ca="1" si="15"/>
        <v>0.48224549168104003</v>
      </c>
      <c r="C221" s="14">
        <f t="shared" ca="1" si="16"/>
        <v>-4.451865351503137E-2</v>
      </c>
      <c r="D221" s="14">
        <f t="shared" si="12"/>
        <v>191</v>
      </c>
      <c r="E221" s="18">
        <f t="shared" ca="1" si="13"/>
        <v>9.9810622143380083</v>
      </c>
      <c r="F221" s="18">
        <f t="shared" ca="1" si="14"/>
        <v>9.9923096457521101</v>
      </c>
      <c r="G221" s="18">
        <f t="shared" ca="1" si="17"/>
        <v>-1.1247431414101783E-2</v>
      </c>
    </row>
    <row r="222" spans="1:7" x14ac:dyDescent="0.25">
      <c r="A222" s="14">
        <v>192</v>
      </c>
      <c r="B222" s="14">
        <f t="shared" ca="1" si="15"/>
        <v>0.176233352468807</v>
      </c>
      <c r="C222" s="14">
        <f t="shared" ca="1" si="16"/>
        <v>-0.92981533522267368</v>
      </c>
      <c r="D222" s="14">
        <f t="shared" si="12"/>
        <v>192</v>
      </c>
      <c r="E222" s="18">
        <f t="shared" ca="1" si="13"/>
        <v>9.7537014109567082</v>
      </c>
      <c r="F222" s="18">
        <f t="shared" ca="1" si="14"/>
        <v>9.9858542742032501</v>
      </c>
      <c r="G222" s="18">
        <f t="shared" ca="1" si="17"/>
        <v>-0.23215286324654194</v>
      </c>
    </row>
    <row r="223" spans="1:7" x14ac:dyDescent="0.25">
      <c r="A223" s="14">
        <v>193</v>
      </c>
      <c r="B223" s="14">
        <f t="shared" ca="1" si="15"/>
        <v>0.54105836971690868</v>
      </c>
      <c r="C223" s="14">
        <f t="shared" ca="1" si="16"/>
        <v>0.1031004340150953</v>
      </c>
      <c r="D223" s="14">
        <f t="shared" ref="D223:D280" si="18">A223*Dt</f>
        <v>193</v>
      </c>
      <c r="E223" s="18">
        <f t="shared" ref="E223:E280" ca="1" si="19">E222*EXP(m*Dt/250+V*C223*SQRT(Dt/250))</f>
        <v>9.7838699134841498</v>
      </c>
      <c r="F223" s="18">
        <f t="shared" ref="F223:F280" ca="1" si="20">E222*EXP(m*Dt/250)</f>
        <v>9.7583843114401709</v>
      </c>
      <c r="G223" s="18">
        <f t="shared" ca="1" si="17"/>
        <v>2.5485602043978872E-2</v>
      </c>
    </row>
    <row r="224" spans="1:7" x14ac:dyDescent="0.25">
      <c r="A224" s="14">
        <v>194</v>
      </c>
      <c r="B224" s="14">
        <f t="shared" ref="B224:B280" ca="1" si="21">RAND()</f>
        <v>0.85358191890203072</v>
      </c>
      <c r="C224" s="14">
        <f t="shared" ref="C224:C280" ca="1" si="22">_xlfn.NORM.S.INV(B224)</f>
        <v>1.0519202024440641</v>
      </c>
      <c r="D224" s="14">
        <f t="shared" si="18"/>
        <v>194</v>
      </c>
      <c r="E224" s="18">
        <f t="shared" ca="1" si="19"/>
        <v>10.052554813588801</v>
      </c>
      <c r="F224" s="18">
        <f t="shared" ca="1" si="20"/>
        <v>9.7885672983247929</v>
      </c>
      <c r="G224" s="18">
        <f t="shared" ref="G224:G280" ca="1" si="23">E224-F224</f>
        <v>0.26398751526400765</v>
      </c>
    </row>
    <row r="225" spans="1:7" x14ac:dyDescent="0.25">
      <c r="A225" s="14">
        <v>195</v>
      </c>
      <c r="B225" s="14">
        <f t="shared" ca="1" si="21"/>
        <v>7.8533679616081709E-2</v>
      </c>
      <c r="C225" s="14">
        <f t="shared" ca="1" si="22"/>
        <v>-1.415003877247885</v>
      </c>
      <c r="D225" s="14">
        <f t="shared" si="18"/>
        <v>195</v>
      </c>
      <c r="E225" s="18">
        <f t="shared" ca="1" si="19"/>
        <v>9.7037240189052607</v>
      </c>
      <c r="F225" s="18">
        <f t="shared" ca="1" si="20"/>
        <v>10.057381198138948</v>
      </c>
      <c r="G225" s="18">
        <f t="shared" ca="1" si="23"/>
        <v>-0.35365717923368756</v>
      </c>
    </row>
    <row r="226" spans="1:7" x14ac:dyDescent="0.25">
      <c r="A226" s="14">
        <v>196</v>
      </c>
      <c r="B226" s="14">
        <f t="shared" ca="1" si="21"/>
        <v>0.17591457385614517</v>
      </c>
      <c r="C226" s="14">
        <f t="shared" ca="1" si="22"/>
        <v>-0.93104720270157892</v>
      </c>
      <c r="D226" s="14">
        <f t="shared" si="18"/>
        <v>196</v>
      </c>
      <c r="E226" s="18">
        <f t="shared" ca="1" si="19"/>
        <v>9.482385248861986</v>
      </c>
      <c r="F226" s="18">
        <f t="shared" ca="1" si="20"/>
        <v>9.7083829244822226</v>
      </c>
      <c r="G226" s="18">
        <f t="shared" ca="1" si="23"/>
        <v>-0.22599767562023665</v>
      </c>
    </row>
    <row r="227" spans="1:7" x14ac:dyDescent="0.25">
      <c r="A227" s="14">
        <v>197</v>
      </c>
      <c r="B227" s="14">
        <f t="shared" ca="1" si="21"/>
        <v>0.41208886240575904</v>
      </c>
      <c r="C227" s="14">
        <f t="shared" ca="1" si="22"/>
        <v>-0.22217491017680036</v>
      </c>
      <c r="D227" s="14">
        <f t="shared" si="18"/>
        <v>197</v>
      </c>
      <c r="E227" s="18">
        <f t="shared" ca="1" si="19"/>
        <v>9.4337648910993455</v>
      </c>
      <c r="F227" s="18">
        <f t="shared" ca="1" si="20"/>
        <v>9.48693788632702</v>
      </c>
      <c r="G227" s="18">
        <f t="shared" ca="1" si="23"/>
        <v>-5.3172995227674491E-2</v>
      </c>
    </row>
    <row r="228" spans="1:7" x14ac:dyDescent="0.25">
      <c r="A228" s="14">
        <v>198</v>
      </c>
      <c r="B228" s="14">
        <f t="shared" ca="1" si="21"/>
        <v>3.2188355456015061E-2</v>
      </c>
      <c r="C228" s="14">
        <f t="shared" ca="1" si="22"/>
        <v>-1.8495619521004312</v>
      </c>
      <c r="D228" s="14">
        <f t="shared" si="18"/>
        <v>198</v>
      </c>
      <c r="E228" s="18">
        <f t="shared" ca="1" si="19"/>
        <v>9.0068431243606053</v>
      </c>
      <c r="F228" s="18">
        <f t="shared" ca="1" si="20"/>
        <v>9.4382941851906921</v>
      </c>
      <c r="G228" s="18">
        <f t="shared" ca="1" si="23"/>
        <v>-0.43145106083008677</v>
      </c>
    </row>
    <row r="229" spans="1:7" x14ac:dyDescent="0.25">
      <c r="A229" s="14">
        <v>199</v>
      </c>
      <c r="B229" s="14">
        <f t="shared" ca="1" si="21"/>
        <v>0.49293605396489526</v>
      </c>
      <c r="C229" s="14">
        <f t="shared" ca="1" si="22"/>
        <v>-1.7707612216966217E-2</v>
      </c>
      <c r="D229" s="14">
        <f t="shared" si="18"/>
        <v>199</v>
      </c>
      <c r="E229" s="18">
        <f t="shared" ca="1" si="19"/>
        <v>9.0071316083282316</v>
      </c>
      <c r="F229" s="18">
        <f t="shared" ca="1" si="20"/>
        <v>9.0111674468146603</v>
      </c>
      <c r="G229" s="18">
        <f t="shared" ca="1" si="23"/>
        <v>-4.0358384864287444E-3</v>
      </c>
    </row>
    <row r="230" spans="1:7" x14ac:dyDescent="0.25">
      <c r="A230" s="14">
        <v>200</v>
      </c>
      <c r="B230" s="14">
        <f t="shared" ca="1" si="21"/>
        <v>0.1217867585466994</v>
      </c>
      <c r="C230" s="14">
        <f t="shared" ca="1" si="22"/>
        <v>-1.1661012357713525</v>
      </c>
      <c r="D230" s="14">
        <f t="shared" si="18"/>
        <v>200</v>
      </c>
      <c r="E230" s="18">
        <f t="shared" ca="1" si="19"/>
        <v>8.7494984382061229</v>
      </c>
      <c r="F230" s="18">
        <f t="shared" ca="1" si="20"/>
        <v>9.0114560692878296</v>
      </c>
      <c r="G230" s="18">
        <f t="shared" ca="1" si="23"/>
        <v>-0.26195763108170667</v>
      </c>
    </row>
    <row r="231" spans="1:7" x14ac:dyDescent="0.25">
      <c r="A231" s="14">
        <v>201</v>
      </c>
      <c r="B231" s="14">
        <f t="shared" ca="1" si="21"/>
        <v>0.12525239863834536</v>
      </c>
      <c r="C231" s="14">
        <f t="shared" ca="1" si="22"/>
        <v>-1.149124136046825</v>
      </c>
      <c r="D231" s="14">
        <f t="shared" si="18"/>
        <v>201</v>
      </c>
      <c r="E231" s="18">
        <f t="shared" ca="1" si="19"/>
        <v>8.502885535949078</v>
      </c>
      <c r="F231" s="18">
        <f t="shared" ca="1" si="20"/>
        <v>8.7536992055599718</v>
      </c>
      <c r="G231" s="18">
        <f t="shared" ca="1" si="23"/>
        <v>-0.2508136696108938</v>
      </c>
    </row>
    <row r="232" spans="1:7" x14ac:dyDescent="0.25">
      <c r="A232" s="14">
        <v>202</v>
      </c>
      <c r="B232" s="14">
        <f t="shared" ca="1" si="21"/>
        <v>0.99025328541570445</v>
      </c>
      <c r="C232" s="14">
        <f t="shared" ca="1" si="22"/>
        <v>2.3359580276681129</v>
      </c>
      <c r="D232" s="14">
        <f t="shared" si="18"/>
        <v>202</v>
      </c>
      <c r="E232" s="18">
        <f t="shared" ca="1" si="19"/>
        <v>9.0248435040141306</v>
      </c>
      <c r="F232" s="18">
        <f t="shared" ca="1" si="20"/>
        <v>8.506967900695491</v>
      </c>
      <c r="G232" s="18">
        <f t="shared" ca="1" si="23"/>
        <v>0.51787560331863958</v>
      </c>
    </row>
    <row r="233" spans="1:7" x14ac:dyDescent="0.25">
      <c r="A233" s="14">
        <v>203</v>
      </c>
      <c r="B233" s="14">
        <f t="shared" ca="1" si="21"/>
        <v>0.17112164180639855</v>
      </c>
      <c r="C233" s="14">
        <f t="shared" ca="1" si="22"/>
        <v>-0.94974215650555116</v>
      </c>
      <c r="D233" s="14">
        <f t="shared" si="18"/>
        <v>203</v>
      </c>
      <c r="E233" s="18">
        <f t="shared" ca="1" si="19"/>
        <v>8.8148198294807454</v>
      </c>
      <c r="F233" s="18">
        <f t="shared" ca="1" si="20"/>
        <v>9.0291764687243941</v>
      </c>
      <c r="G233" s="18">
        <f t="shared" ca="1" si="23"/>
        <v>-0.21435663924364867</v>
      </c>
    </row>
    <row r="234" spans="1:7" x14ac:dyDescent="0.25">
      <c r="A234" s="14">
        <v>204</v>
      </c>
      <c r="B234" s="14">
        <f t="shared" ca="1" si="21"/>
        <v>0.5651363783192227</v>
      </c>
      <c r="C234" s="14">
        <f t="shared" ca="1" si="22"/>
        <v>0.16400495467485637</v>
      </c>
      <c r="D234" s="14">
        <f t="shared" si="18"/>
        <v>204</v>
      </c>
      <c r="E234" s="18">
        <f t="shared" ca="1" si="19"/>
        <v>8.8557185146176902</v>
      </c>
      <c r="F234" s="18">
        <f t="shared" ca="1" si="20"/>
        <v>8.8190519586286342</v>
      </c>
      <c r="G234" s="18">
        <f t="shared" ca="1" si="23"/>
        <v>3.6666555989055993E-2</v>
      </c>
    </row>
    <row r="235" spans="1:7" x14ac:dyDescent="0.25">
      <c r="A235" s="14">
        <v>205</v>
      </c>
      <c r="B235" s="14">
        <f t="shared" ca="1" si="21"/>
        <v>0.78118283891832951</v>
      </c>
      <c r="C235" s="14">
        <f t="shared" ca="1" si="22"/>
        <v>0.77619421353192075</v>
      </c>
      <c r="D235" s="14">
        <f t="shared" si="18"/>
        <v>205</v>
      </c>
      <c r="E235" s="18">
        <f t="shared" ca="1" si="19"/>
        <v>9.0356669803605083</v>
      </c>
      <c r="F235" s="18">
        <f t="shared" ca="1" si="20"/>
        <v>8.8599702798467277</v>
      </c>
      <c r="G235" s="18">
        <f t="shared" ca="1" si="23"/>
        <v>0.17569670051378061</v>
      </c>
    </row>
    <row r="236" spans="1:7" x14ac:dyDescent="0.25">
      <c r="A236" s="14">
        <v>206</v>
      </c>
      <c r="B236" s="14">
        <f t="shared" ca="1" si="21"/>
        <v>0.57972561283622903</v>
      </c>
      <c r="C236" s="14">
        <f t="shared" ca="1" si="22"/>
        <v>0.20119158095249218</v>
      </c>
      <c r="D236" s="14">
        <f t="shared" si="18"/>
        <v>206</v>
      </c>
      <c r="E236" s="18">
        <f t="shared" ca="1" si="19"/>
        <v>9.0861341554274855</v>
      </c>
      <c r="F236" s="18">
        <f t="shared" ca="1" si="20"/>
        <v>9.0400051415864819</v>
      </c>
      <c r="G236" s="18">
        <f t="shared" ca="1" si="23"/>
        <v>4.6129013841003541E-2</v>
      </c>
    </row>
    <row r="237" spans="1:7" x14ac:dyDescent="0.25">
      <c r="A237" s="14">
        <v>207</v>
      </c>
      <c r="B237" s="14">
        <f t="shared" ca="1" si="21"/>
        <v>0.41368071508973392</v>
      </c>
      <c r="C237" s="14">
        <f t="shared" ca="1" si="22"/>
        <v>-0.21808686645605169</v>
      </c>
      <c r="D237" s="14">
        <f t="shared" si="18"/>
        <v>207</v>
      </c>
      <c r="E237" s="18">
        <f t="shared" ca="1" si="19"/>
        <v>9.0404804714846012</v>
      </c>
      <c r="F237" s="18">
        <f t="shared" ca="1" si="20"/>
        <v>9.0904965467122398</v>
      </c>
      <c r="G237" s="18">
        <f t="shared" ca="1" si="23"/>
        <v>-5.0016075227638623E-2</v>
      </c>
    </row>
    <row r="238" spans="1:7" x14ac:dyDescent="0.25">
      <c r="A238" s="14">
        <v>208</v>
      </c>
      <c r="B238" s="14">
        <f t="shared" ca="1" si="21"/>
        <v>0.57974178525025089</v>
      </c>
      <c r="C238" s="14">
        <f t="shared" ca="1" si="22"/>
        <v>0.20123294816809972</v>
      </c>
      <c r="D238" s="14">
        <f t="shared" si="18"/>
        <v>208</v>
      </c>
      <c r="E238" s="18">
        <f t="shared" ca="1" si="19"/>
        <v>9.0909840453484794</v>
      </c>
      <c r="F238" s="18">
        <f t="shared" ca="1" si="20"/>
        <v>9.0448209437409179</v>
      </c>
      <c r="G238" s="18">
        <f t="shared" ca="1" si="23"/>
        <v>4.616310160756143E-2</v>
      </c>
    </row>
    <row r="239" spans="1:7" x14ac:dyDescent="0.25">
      <c r="A239" s="14">
        <v>209</v>
      </c>
      <c r="B239" s="14">
        <f t="shared" ca="1" si="21"/>
        <v>0.52877587054057384</v>
      </c>
      <c r="C239" s="14">
        <f t="shared" ca="1" si="22"/>
        <v>7.2193071514047538E-2</v>
      </c>
      <c r="D239" s="14">
        <f t="shared" si="18"/>
        <v>209</v>
      </c>
      <c r="E239" s="18">
        <f t="shared" ca="1" si="19"/>
        <v>9.1119752909987302</v>
      </c>
      <c r="F239" s="18">
        <f t="shared" ca="1" si="20"/>
        <v>9.0953487651391942</v>
      </c>
      <c r="G239" s="18">
        <f t="shared" ca="1" si="23"/>
        <v>1.6626525859535946E-2</v>
      </c>
    </row>
    <row r="240" spans="1:7" x14ac:dyDescent="0.25">
      <c r="A240" s="14">
        <v>210</v>
      </c>
      <c r="B240" s="14">
        <f t="shared" ca="1" si="21"/>
        <v>0.31541873589329861</v>
      </c>
      <c r="C240" s="14">
        <f t="shared" ca="1" si="22"/>
        <v>-0.48054843447431861</v>
      </c>
      <c r="D240" s="14">
        <f t="shared" si="18"/>
        <v>210</v>
      </c>
      <c r="E240" s="18">
        <f t="shared" ca="1" si="19"/>
        <v>9.0061933782874934</v>
      </c>
      <c r="F240" s="18">
        <f t="shared" ca="1" si="20"/>
        <v>9.1163500890059339</v>
      </c>
      <c r="G240" s="18">
        <f t="shared" ca="1" si="23"/>
        <v>-0.11015671071844046</v>
      </c>
    </row>
    <row r="241" spans="1:7" x14ac:dyDescent="0.25">
      <c r="A241" s="14">
        <v>211</v>
      </c>
      <c r="B241" s="14">
        <f t="shared" ca="1" si="21"/>
        <v>0.84098880196155301</v>
      </c>
      <c r="C241" s="14">
        <f t="shared" ca="1" si="22"/>
        <v>0.99853005899162228</v>
      </c>
      <c r="D241" s="14">
        <f t="shared" si="18"/>
        <v>211</v>
      </c>
      <c r="E241" s="18">
        <f t="shared" ca="1" si="19"/>
        <v>9.2410316347048838</v>
      </c>
      <c r="F241" s="18">
        <f t="shared" ca="1" si="20"/>
        <v>9.0105173887885694</v>
      </c>
      <c r="G241" s="18">
        <f t="shared" ca="1" si="23"/>
        <v>0.23051424591631431</v>
      </c>
    </row>
    <row r="242" spans="1:7" x14ac:dyDescent="0.25">
      <c r="A242" s="14">
        <v>212</v>
      </c>
      <c r="B242" s="14">
        <f t="shared" ca="1" si="21"/>
        <v>0.71989490376979359</v>
      </c>
      <c r="C242" s="14">
        <f t="shared" ca="1" si="22"/>
        <v>0.5825293284737123</v>
      </c>
      <c r="D242" s="14">
        <f t="shared" si="18"/>
        <v>212</v>
      </c>
      <c r="E242" s="18">
        <f t="shared" ca="1" si="19"/>
        <v>9.382727359743134</v>
      </c>
      <c r="F242" s="18">
        <f t="shared" ca="1" si="20"/>
        <v>9.2454683946267373</v>
      </c>
      <c r="G242" s="18">
        <f t="shared" ca="1" si="23"/>
        <v>0.13725896511639668</v>
      </c>
    </row>
    <row r="243" spans="1:7" x14ac:dyDescent="0.25">
      <c r="A243" s="14">
        <v>213</v>
      </c>
      <c r="B243" s="14">
        <f t="shared" ca="1" si="21"/>
        <v>0.65402512413504521</v>
      </c>
      <c r="C243" s="14">
        <f t="shared" ca="1" si="22"/>
        <v>0.3962104921556836</v>
      </c>
      <c r="D243" s="14">
        <f t="shared" si="18"/>
        <v>213</v>
      </c>
      <c r="E243" s="18">
        <f t="shared" ca="1" si="19"/>
        <v>9.4817974692803162</v>
      </c>
      <c r="F243" s="18">
        <f t="shared" ca="1" si="20"/>
        <v>9.3872321499389653</v>
      </c>
      <c r="G243" s="18">
        <f t="shared" ca="1" si="23"/>
        <v>9.4565319341350929E-2</v>
      </c>
    </row>
    <row r="244" spans="1:7" x14ac:dyDescent="0.25">
      <c r="A244" s="14">
        <v>214</v>
      </c>
      <c r="B244" s="14">
        <f t="shared" ca="1" si="21"/>
        <v>0.64405408590426416</v>
      </c>
      <c r="C244" s="14">
        <f t="shared" ca="1" si="22"/>
        <v>0.36931650016385581</v>
      </c>
      <c r="D244" s="14">
        <f t="shared" si="18"/>
        <v>214</v>
      </c>
      <c r="E244" s="18">
        <f t="shared" ca="1" si="19"/>
        <v>9.5753966069672263</v>
      </c>
      <c r="F244" s="18">
        <f t="shared" ca="1" si="20"/>
        <v>9.4863498245434279</v>
      </c>
      <c r="G244" s="18">
        <f t="shared" ca="1" si="23"/>
        <v>8.9046782423798376E-2</v>
      </c>
    </row>
    <row r="245" spans="1:7" x14ac:dyDescent="0.25">
      <c r="A245" s="14">
        <v>215</v>
      </c>
      <c r="B245" s="14">
        <f t="shared" ca="1" si="21"/>
        <v>0.85318693660495992</v>
      </c>
      <c r="C245" s="14">
        <f t="shared" ca="1" si="22"/>
        <v>1.0502000930246391</v>
      </c>
      <c r="D245" s="14">
        <f t="shared" si="18"/>
        <v>215</v>
      </c>
      <c r="E245" s="18">
        <f t="shared" ca="1" si="19"/>
        <v>9.8379282937547021</v>
      </c>
      <c r="F245" s="18">
        <f t="shared" ca="1" si="20"/>
        <v>9.5799939006007744</v>
      </c>
      <c r="G245" s="18">
        <f t="shared" ca="1" si="23"/>
        <v>0.25793439315392774</v>
      </c>
    </row>
    <row r="246" spans="1:7" x14ac:dyDescent="0.25">
      <c r="A246" s="14">
        <v>216</v>
      </c>
      <c r="B246" s="14">
        <f t="shared" ca="1" si="21"/>
        <v>0.37634479745331439</v>
      </c>
      <c r="C246" s="14">
        <f t="shared" ca="1" si="22"/>
        <v>-0.31509490756838504</v>
      </c>
      <c r="D246" s="14">
        <f t="shared" si="18"/>
        <v>216</v>
      </c>
      <c r="E246" s="18">
        <f t="shared" ca="1" si="19"/>
        <v>9.7645043862934848</v>
      </c>
      <c r="F246" s="18">
        <f t="shared" ca="1" si="20"/>
        <v>9.8426516328463975</v>
      </c>
      <c r="G246" s="18">
        <f t="shared" ca="1" si="23"/>
        <v>-7.8147246552912719E-2</v>
      </c>
    </row>
    <row r="247" spans="1:7" x14ac:dyDescent="0.25">
      <c r="A247" s="14">
        <v>217</v>
      </c>
      <c r="B247" s="14">
        <f t="shared" ca="1" si="21"/>
        <v>0.30647487643296378</v>
      </c>
      <c r="C247" s="14">
        <f t="shared" ca="1" si="22"/>
        <v>-0.50586738046910529</v>
      </c>
      <c r="D247" s="14">
        <f t="shared" si="18"/>
        <v>217</v>
      </c>
      <c r="E247" s="18">
        <f t="shared" ca="1" si="19"/>
        <v>9.6449673773953766</v>
      </c>
      <c r="F247" s="18">
        <f t="shared" ca="1" si="20"/>
        <v>9.7691924734498112</v>
      </c>
      <c r="G247" s="18">
        <f t="shared" ca="1" si="23"/>
        <v>-0.12422509605443466</v>
      </c>
    </row>
    <row r="248" spans="1:7" x14ac:dyDescent="0.25">
      <c r="A248" s="14">
        <v>218</v>
      </c>
      <c r="B248" s="14">
        <f t="shared" ca="1" si="21"/>
        <v>0.37052068582709485</v>
      </c>
      <c r="C248" s="14">
        <f t="shared" ca="1" si="22"/>
        <v>-0.33047461344385154</v>
      </c>
      <c r="D248" s="14">
        <f t="shared" si="18"/>
        <v>218</v>
      </c>
      <c r="E248" s="18">
        <f t="shared" ca="1" si="19"/>
        <v>9.569259680565203</v>
      </c>
      <c r="F248" s="18">
        <f t="shared" ca="1" si="20"/>
        <v>9.6495980730145643</v>
      </c>
      <c r="G248" s="18">
        <f t="shared" ca="1" si="23"/>
        <v>-8.0338392449361251E-2</v>
      </c>
    </row>
    <row r="249" spans="1:7" x14ac:dyDescent="0.25">
      <c r="A249" s="14">
        <v>219</v>
      </c>
      <c r="B249" s="14">
        <f t="shared" ca="1" si="21"/>
        <v>2.0940525596812476E-2</v>
      </c>
      <c r="C249" s="14">
        <f t="shared" ca="1" si="22"/>
        <v>-2.0347001689885809</v>
      </c>
      <c r="D249" s="14">
        <f t="shared" si="18"/>
        <v>219</v>
      </c>
      <c r="E249" s="18">
        <f t="shared" ca="1" si="19"/>
        <v>9.0935152445262712</v>
      </c>
      <c r="F249" s="18">
        <f t="shared" ca="1" si="20"/>
        <v>9.5738540277669912</v>
      </c>
      <c r="G249" s="18">
        <f t="shared" ca="1" si="23"/>
        <v>-0.48033878324071999</v>
      </c>
    </row>
    <row r="250" spans="1:7" x14ac:dyDescent="0.25">
      <c r="A250" s="14">
        <v>220</v>
      </c>
      <c r="B250" s="14">
        <f t="shared" ca="1" si="21"/>
        <v>0.94698830595008443</v>
      </c>
      <c r="C250" s="14">
        <f t="shared" ca="1" si="22"/>
        <v>1.6163281296541556</v>
      </c>
      <c r="D250" s="14">
        <f t="shared" si="18"/>
        <v>220</v>
      </c>
      <c r="E250" s="18">
        <f t="shared" ca="1" si="19"/>
        <v>9.4776062176155182</v>
      </c>
      <c r="F250" s="18">
        <f t="shared" ca="1" si="20"/>
        <v>9.0978811795842311</v>
      </c>
      <c r="G250" s="18">
        <f t="shared" ca="1" si="23"/>
        <v>0.3797250380312871</v>
      </c>
    </row>
    <row r="251" spans="1:7" x14ac:dyDescent="0.25">
      <c r="A251" s="14">
        <v>221</v>
      </c>
      <c r="B251" s="14">
        <f t="shared" ca="1" si="21"/>
        <v>0.70591964511259864</v>
      </c>
      <c r="C251" s="14">
        <f t="shared" ca="1" si="22"/>
        <v>0.54150332021428094</v>
      </c>
      <c r="D251" s="14">
        <f t="shared" si="18"/>
        <v>221</v>
      </c>
      <c r="E251" s="18">
        <f t="shared" ca="1" si="19"/>
        <v>9.6129471039072758</v>
      </c>
      <c r="F251" s="18">
        <f t="shared" ca="1" si="20"/>
        <v>9.4821565605949214</v>
      </c>
      <c r="G251" s="18">
        <f t="shared" ca="1" si="23"/>
        <v>0.1307905433123544</v>
      </c>
    </row>
    <row r="252" spans="1:7" x14ac:dyDescent="0.25">
      <c r="A252" s="14">
        <v>222</v>
      </c>
      <c r="B252" s="14">
        <f t="shared" ca="1" si="21"/>
        <v>0.11591235819900858</v>
      </c>
      <c r="C252" s="14">
        <f t="shared" ca="1" si="22"/>
        <v>-1.1956716560639007</v>
      </c>
      <c r="D252" s="14">
        <f t="shared" si="18"/>
        <v>222</v>
      </c>
      <c r="E252" s="18">
        <f t="shared" ca="1" si="19"/>
        <v>9.3310027071421935</v>
      </c>
      <c r="F252" s="18">
        <f t="shared" ca="1" si="20"/>
        <v>9.6175624261058648</v>
      </c>
      <c r="G252" s="18">
        <f t="shared" ca="1" si="23"/>
        <v>-0.28655971896367127</v>
      </c>
    </row>
    <row r="253" spans="1:7" x14ac:dyDescent="0.25">
      <c r="A253" s="14">
        <v>223</v>
      </c>
      <c r="B253" s="14">
        <f t="shared" ca="1" si="21"/>
        <v>0.74116088514280798</v>
      </c>
      <c r="C253" s="14">
        <f t="shared" ca="1" si="22"/>
        <v>0.64692848427086147</v>
      </c>
      <c r="D253" s="14">
        <f t="shared" si="18"/>
        <v>223</v>
      </c>
      <c r="E253" s="18">
        <f t="shared" ca="1" si="19"/>
        <v>9.4895255849485149</v>
      </c>
      <c r="F253" s="18">
        <f t="shared" ca="1" si="20"/>
        <v>9.3354826635451431</v>
      </c>
      <c r="G253" s="18">
        <f t="shared" ca="1" si="23"/>
        <v>0.15404292140337184</v>
      </c>
    </row>
    <row r="254" spans="1:7" x14ac:dyDescent="0.25">
      <c r="A254" s="14">
        <v>224</v>
      </c>
      <c r="B254" s="14">
        <f t="shared" ca="1" si="21"/>
        <v>0.37917223567282754</v>
      </c>
      <c r="C254" s="14">
        <f t="shared" ca="1" si="22"/>
        <v>-0.30765551682666448</v>
      </c>
      <c r="D254" s="14">
        <f t="shared" si="18"/>
        <v>224</v>
      </c>
      <c r="E254" s="18">
        <f t="shared" ca="1" si="19"/>
        <v>9.4204747271365363</v>
      </c>
      <c r="F254" s="18">
        <f t="shared" ca="1" si="20"/>
        <v>9.4940816505975683</v>
      </c>
      <c r="G254" s="18">
        <f t="shared" ca="1" si="23"/>
        <v>-7.3606923461031926E-2</v>
      </c>
    </row>
    <row r="255" spans="1:7" x14ac:dyDescent="0.25">
      <c r="A255" s="14">
        <v>225</v>
      </c>
      <c r="B255" s="14">
        <f t="shared" ca="1" si="21"/>
        <v>0.49887221327407782</v>
      </c>
      <c r="C255" s="14">
        <f t="shared" ca="1" si="22"/>
        <v>-2.8269458602597445E-3</v>
      </c>
      <c r="D255" s="14">
        <f t="shared" si="18"/>
        <v>225</v>
      </c>
      <c r="E255" s="18">
        <f t="shared" ca="1" si="19"/>
        <v>9.4243236197731868</v>
      </c>
      <c r="F255" s="18">
        <f t="shared" ca="1" si="20"/>
        <v>9.4249976404179083</v>
      </c>
      <c r="G255" s="18">
        <f t="shared" ca="1" si="23"/>
        <v>-6.7402064472155132E-4</v>
      </c>
    </row>
    <row r="256" spans="1:7" x14ac:dyDescent="0.25">
      <c r="A256" s="14">
        <v>226</v>
      </c>
      <c r="B256" s="14">
        <f t="shared" ca="1" si="21"/>
        <v>0.98832960559312744</v>
      </c>
      <c r="C256" s="14">
        <f t="shared" ca="1" si="22"/>
        <v>2.2678100137071295</v>
      </c>
      <c r="D256" s="14">
        <f t="shared" si="18"/>
        <v>226</v>
      </c>
      <c r="E256" s="18">
        <f t="shared" ca="1" si="19"/>
        <v>9.9856146851512868</v>
      </c>
      <c r="F256" s="18">
        <f t="shared" ca="1" si="20"/>
        <v>9.4288483809664889</v>
      </c>
      <c r="G256" s="18">
        <f t="shared" ca="1" si="23"/>
        <v>0.55676630418479789</v>
      </c>
    </row>
    <row r="257" spans="1:7" x14ac:dyDescent="0.25">
      <c r="A257" s="14">
        <v>227</v>
      </c>
      <c r="B257" s="14">
        <f t="shared" ca="1" si="21"/>
        <v>0.65848183961061213</v>
      </c>
      <c r="C257" s="14">
        <f t="shared" ca="1" si="22"/>
        <v>0.40832331999963689</v>
      </c>
      <c r="D257" s="14">
        <f t="shared" si="18"/>
        <v>227</v>
      </c>
      <c r="E257" s="18">
        <f t="shared" ca="1" si="19"/>
        <v>10.094143251178437</v>
      </c>
      <c r="F257" s="18">
        <f t="shared" ca="1" si="20"/>
        <v>9.9904089307270478</v>
      </c>
      <c r="G257" s="18">
        <f t="shared" ca="1" si="23"/>
        <v>0.10373432045138919</v>
      </c>
    </row>
    <row r="258" spans="1:7" x14ac:dyDescent="0.25">
      <c r="A258" s="14">
        <v>228</v>
      </c>
      <c r="B258" s="14">
        <f t="shared" ca="1" si="21"/>
        <v>0.94245458481693967</v>
      </c>
      <c r="C258" s="14">
        <f t="shared" ca="1" si="22"/>
        <v>1.5757178998933812</v>
      </c>
      <c r="D258" s="14">
        <f t="shared" si="18"/>
        <v>228</v>
      </c>
      <c r="E258" s="18">
        <f t="shared" ca="1" si="19"/>
        <v>10.509695789853696</v>
      </c>
      <c r="F258" s="18">
        <f t="shared" ca="1" si="20"/>
        <v>10.098989602970383</v>
      </c>
      <c r="G258" s="18">
        <f t="shared" ca="1" si="23"/>
        <v>0.41070618688331351</v>
      </c>
    </row>
    <row r="259" spans="1:7" x14ac:dyDescent="0.25">
      <c r="A259" s="14">
        <v>229</v>
      </c>
      <c r="B259" s="14">
        <f t="shared" ca="1" si="21"/>
        <v>0.39719687410426041</v>
      </c>
      <c r="C259" s="14">
        <f t="shared" ca="1" si="22"/>
        <v>-0.26060938932202016</v>
      </c>
      <c r="D259" s="14">
        <f t="shared" si="18"/>
        <v>229</v>
      </c>
      <c r="E259" s="18">
        <f t="shared" ca="1" si="19"/>
        <v>10.445646467676788</v>
      </c>
      <c r="F259" s="18">
        <f t="shared" ca="1" si="20"/>
        <v>10.514741654743519</v>
      </c>
      <c r="G259" s="18">
        <f t="shared" ca="1" si="23"/>
        <v>-6.9095187066730901E-2</v>
      </c>
    </row>
    <row r="260" spans="1:7" x14ac:dyDescent="0.25">
      <c r="A260" s="14">
        <v>230</v>
      </c>
      <c r="B260" s="14">
        <f t="shared" ca="1" si="21"/>
        <v>0.77846535646644033</v>
      </c>
      <c r="C260" s="14">
        <f t="shared" ca="1" si="22"/>
        <v>0.76702056744965752</v>
      </c>
      <c r="D260" s="14">
        <f t="shared" si="18"/>
        <v>230</v>
      </c>
      <c r="E260" s="18">
        <f t="shared" ca="1" si="19"/>
        <v>10.655429150856452</v>
      </c>
      <c r="F260" s="18">
        <f t="shared" ca="1" si="20"/>
        <v>10.450661581512303</v>
      </c>
      <c r="G260" s="18">
        <f t="shared" ca="1" si="23"/>
        <v>0.20476756934414908</v>
      </c>
    </row>
    <row r="261" spans="1:7" x14ac:dyDescent="0.25">
      <c r="A261" s="14">
        <v>231</v>
      </c>
      <c r="B261" s="14">
        <f t="shared" ca="1" si="21"/>
        <v>0.86053006635635765</v>
      </c>
      <c r="C261" s="14">
        <f t="shared" ca="1" si="22"/>
        <v>1.0827039115245902</v>
      </c>
      <c r="D261" s="14">
        <f t="shared" si="18"/>
        <v>231</v>
      </c>
      <c r="E261" s="18">
        <f t="shared" ca="1" si="19"/>
        <v>10.956578200849327</v>
      </c>
      <c r="F261" s="18">
        <f t="shared" ca="1" si="20"/>
        <v>10.660544984550725</v>
      </c>
      <c r="G261" s="18">
        <f t="shared" ca="1" si="23"/>
        <v>0.29603321629860169</v>
      </c>
    </row>
    <row r="262" spans="1:7" x14ac:dyDescent="0.25">
      <c r="A262" s="14">
        <v>232</v>
      </c>
      <c r="B262" s="14">
        <f t="shared" ca="1" si="21"/>
        <v>0.54013594280668531</v>
      </c>
      <c r="C262" s="14">
        <f t="shared" ca="1" si="22"/>
        <v>0.10077620743436198</v>
      </c>
      <c r="D262" s="14">
        <f t="shared" si="18"/>
        <v>232</v>
      </c>
      <c r="E262" s="18">
        <f t="shared" ca="1" si="19"/>
        <v>10.989821031517943</v>
      </c>
      <c r="F262" s="18">
        <f t="shared" ca="1" si="20"/>
        <v>10.961838620785519</v>
      </c>
      <c r="G262" s="18">
        <f t="shared" ca="1" si="23"/>
        <v>2.7982410732423801E-2</v>
      </c>
    </row>
    <row r="263" spans="1:7" x14ac:dyDescent="0.25">
      <c r="A263" s="14">
        <v>233</v>
      </c>
      <c r="B263" s="14">
        <f t="shared" ca="1" si="21"/>
        <v>0.60663942514684888</v>
      </c>
      <c r="C263" s="14">
        <f t="shared" ca="1" si="22"/>
        <v>0.27057080892365309</v>
      </c>
      <c r="D263" s="14">
        <f t="shared" si="18"/>
        <v>233</v>
      </c>
      <c r="E263" s="18">
        <f t="shared" ca="1" si="19"/>
        <v>11.070616583985496</v>
      </c>
      <c r="F263" s="18">
        <f t="shared" ca="1" si="20"/>
        <v>10.995097411843043</v>
      </c>
      <c r="G263" s="18">
        <f t="shared" ca="1" si="23"/>
        <v>7.5519172142453073E-2</v>
      </c>
    </row>
    <row r="264" spans="1:7" x14ac:dyDescent="0.25">
      <c r="A264" s="14">
        <v>234</v>
      </c>
      <c r="B264" s="14">
        <f t="shared" ca="1" si="21"/>
        <v>9.7100128147462827E-2</v>
      </c>
      <c r="C264" s="14">
        <f t="shared" ca="1" si="22"/>
        <v>-1.2982534508405512</v>
      </c>
      <c r="D264" s="14">
        <f t="shared" si="18"/>
        <v>234</v>
      </c>
      <c r="E264" s="18">
        <f t="shared" ca="1" si="19"/>
        <v>10.718068270252758</v>
      </c>
      <c r="F264" s="18">
        <f t="shared" ca="1" si="20"/>
        <v>11.075931755484916</v>
      </c>
      <c r="G264" s="18">
        <f t="shared" ca="1" si="23"/>
        <v>-0.3578634852321585</v>
      </c>
    </row>
    <row r="265" spans="1:7" x14ac:dyDescent="0.25">
      <c r="A265" s="14">
        <v>235</v>
      </c>
      <c r="B265" s="14">
        <f t="shared" ca="1" si="21"/>
        <v>0.41454441193341207</v>
      </c>
      <c r="C265" s="14">
        <f t="shared" ca="1" si="22"/>
        <v>-0.21587033151894644</v>
      </c>
      <c r="D265" s="14">
        <f t="shared" si="18"/>
        <v>235</v>
      </c>
      <c r="E265" s="18">
        <f t="shared" ca="1" si="19"/>
        <v>10.664812867113479</v>
      </c>
      <c r="F265" s="18">
        <f t="shared" ca="1" si="20"/>
        <v>10.723214177941522</v>
      </c>
      <c r="G265" s="18">
        <f t="shared" ca="1" si="23"/>
        <v>-5.8401310828042341E-2</v>
      </c>
    </row>
    <row r="266" spans="1:7" x14ac:dyDescent="0.25">
      <c r="A266" s="14">
        <v>236</v>
      </c>
      <c r="B266" s="14">
        <f t="shared" ca="1" si="21"/>
        <v>0.77060445883126927</v>
      </c>
      <c r="C266" s="14">
        <f t="shared" ca="1" si="22"/>
        <v>0.74083897169684865</v>
      </c>
      <c r="D266" s="14">
        <f t="shared" si="18"/>
        <v>236</v>
      </c>
      <c r="E266" s="18">
        <f t="shared" ca="1" si="19"/>
        <v>10.871793833072658</v>
      </c>
      <c r="F266" s="18">
        <f t="shared" ca="1" si="20"/>
        <v>10.669933206072733</v>
      </c>
      <c r="G266" s="18">
        <f t="shared" ca="1" si="23"/>
        <v>0.20186062699992569</v>
      </c>
    </row>
    <row r="267" spans="1:7" x14ac:dyDescent="0.25">
      <c r="A267" s="14">
        <v>237</v>
      </c>
      <c r="B267" s="14">
        <f t="shared" ca="1" si="21"/>
        <v>0.47560104247666779</v>
      </c>
      <c r="C267" s="14">
        <f t="shared" ca="1" si="22"/>
        <v>-6.1197293770697658E-2</v>
      </c>
      <c r="D267" s="14">
        <f t="shared" si="18"/>
        <v>237</v>
      </c>
      <c r="E267" s="18">
        <f t="shared" ca="1" si="19"/>
        <v>10.860186971431572</v>
      </c>
      <c r="F267" s="18">
        <f t="shared" ca="1" si="20"/>
        <v>10.877013546743594</v>
      </c>
      <c r="G267" s="18">
        <f t="shared" ca="1" si="23"/>
        <v>-1.682657531202203E-2</v>
      </c>
    </row>
    <row r="268" spans="1:7" x14ac:dyDescent="0.25">
      <c r="A268" s="14">
        <v>238</v>
      </c>
      <c r="B268" s="14">
        <f t="shared" ca="1" si="21"/>
        <v>0.66368965102005995</v>
      </c>
      <c r="C268" s="14">
        <f t="shared" ca="1" si="22"/>
        <v>0.42255399500717733</v>
      </c>
      <c r="D268" s="14">
        <f t="shared" si="18"/>
        <v>238</v>
      </c>
      <c r="E268" s="18">
        <f t="shared" ca="1" si="19"/>
        <v>10.982173807912272</v>
      </c>
      <c r="F268" s="18">
        <f t="shared" ca="1" si="20"/>
        <v>10.865401112471597</v>
      </c>
      <c r="G268" s="18">
        <f t="shared" ca="1" si="23"/>
        <v>0.11677269544067492</v>
      </c>
    </row>
    <row r="269" spans="1:7" x14ac:dyDescent="0.25">
      <c r="A269" s="14">
        <v>239</v>
      </c>
      <c r="B269" s="14">
        <f t="shared" ca="1" si="21"/>
        <v>0.72879915512092142</v>
      </c>
      <c r="C269" s="14">
        <f t="shared" ca="1" si="22"/>
        <v>0.60918519901618795</v>
      </c>
      <c r="D269" s="14">
        <f t="shared" si="18"/>
        <v>239</v>
      </c>
      <c r="E269" s="18">
        <f t="shared" ca="1" si="19"/>
        <v>11.158088906087958</v>
      </c>
      <c r="F269" s="18">
        <f t="shared" ca="1" si="20"/>
        <v>10.987446516688939</v>
      </c>
      <c r="G269" s="18">
        <f t="shared" ca="1" si="23"/>
        <v>0.17064238939901877</v>
      </c>
    </row>
    <row r="270" spans="1:7" x14ac:dyDescent="0.25">
      <c r="A270" s="14">
        <v>240</v>
      </c>
      <c r="B270" s="14">
        <f t="shared" ca="1" si="21"/>
        <v>0.55792637386763178</v>
      </c>
      <c r="C270" s="14">
        <f t="shared" ca="1" si="22"/>
        <v>0.14571389444695296</v>
      </c>
      <c r="D270" s="14">
        <f t="shared" si="18"/>
        <v>240</v>
      </c>
      <c r="E270" s="18">
        <f t="shared" ca="1" si="19"/>
        <v>11.204673854172364</v>
      </c>
      <c r="F270" s="18">
        <f t="shared" ca="1" si="20"/>
        <v>11.163446074380412</v>
      </c>
      <c r="G270" s="18">
        <f t="shared" ca="1" si="23"/>
        <v>4.1227779791952912E-2</v>
      </c>
    </row>
    <row r="271" spans="1:7" x14ac:dyDescent="0.25">
      <c r="A271" s="14">
        <v>241</v>
      </c>
      <c r="B271" s="14">
        <f t="shared" ca="1" si="21"/>
        <v>0.62129543216668892</v>
      </c>
      <c r="C271" s="14">
        <f t="shared" ca="1" si="22"/>
        <v>0.30888483152790841</v>
      </c>
      <c r="D271" s="14">
        <f t="shared" si="18"/>
        <v>241</v>
      </c>
      <c r="E271" s="18">
        <f t="shared" ca="1" si="19"/>
        <v>11.297994549571943</v>
      </c>
      <c r="F271" s="18">
        <f t="shared" ca="1" si="20"/>
        <v>11.210053388607344</v>
      </c>
      <c r="G271" s="18">
        <f t="shared" ca="1" si="23"/>
        <v>8.7941160964598808E-2</v>
      </c>
    </row>
    <row r="272" spans="1:7" x14ac:dyDescent="0.25">
      <c r="A272" s="14">
        <v>242</v>
      </c>
      <c r="B272" s="14">
        <f t="shared" ca="1" si="21"/>
        <v>0.46225295247508158</v>
      </c>
      <c r="C272" s="14">
        <f t="shared" ca="1" si="22"/>
        <v>-9.4759438853076541E-2</v>
      </c>
      <c r="D272" s="14">
        <f t="shared" si="18"/>
        <v>242</v>
      </c>
      <c r="E272" s="18">
        <f t="shared" ca="1" si="19"/>
        <v>11.276354274643873</v>
      </c>
      <c r="F272" s="18">
        <f t="shared" ca="1" si="20"/>
        <v>11.303418888692978</v>
      </c>
      <c r="G272" s="18">
        <f t="shared" ca="1" si="23"/>
        <v>-2.7064614049104208E-2</v>
      </c>
    </row>
    <row r="273" spans="1:7" x14ac:dyDescent="0.25">
      <c r="A273" s="14">
        <v>243</v>
      </c>
      <c r="B273" s="14">
        <f t="shared" ca="1" si="21"/>
        <v>0.8002813804829918</v>
      </c>
      <c r="C273" s="14">
        <f t="shared" ca="1" si="22"/>
        <v>0.84262672605219335</v>
      </c>
      <c r="D273" s="14">
        <f t="shared" si="18"/>
        <v>243</v>
      </c>
      <c r="E273" s="18">
        <f t="shared" ca="1" si="19"/>
        <v>11.524842796807517</v>
      </c>
      <c r="F273" s="18">
        <f t="shared" ca="1" si="20"/>
        <v>11.281768223939585</v>
      </c>
      <c r="G273" s="18">
        <f t="shared" ca="1" si="23"/>
        <v>0.24307457286793266</v>
      </c>
    </row>
    <row r="274" spans="1:7" x14ac:dyDescent="0.25">
      <c r="A274" s="14">
        <v>244</v>
      </c>
      <c r="B274" s="14">
        <f t="shared" ca="1" si="21"/>
        <v>0.78217165693322988</v>
      </c>
      <c r="C274" s="14">
        <f t="shared" ca="1" si="22"/>
        <v>0.77954848857402192</v>
      </c>
      <c r="D274" s="14">
        <f t="shared" si="18"/>
        <v>244</v>
      </c>
      <c r="E274" s="18">
        <f t="shared" ca="1" si="19"/>
        <v>11.760025828427588</v>
      </c>
      <c r="F274" s="18">
        <f t="shared" ca="1" si="20"/>
        <v>11.530376049224326</v>
      </c>
      <c r="G274" s="18">
        <f t="shared" ca="1" si="23"/>
        <v>0.22964977920326213</v>
      </c>
    </row>
    <row r="275" spans="1:7" x14ac:dyDescent="0.25">
      <c r="A275" s="14">
        <v>245</v>
      </c>
      <c r="B275" s="14">
        <f t="shared" ca="1" si="21"/>
        <v>0.54304767100026929</v>
      </c>
      <c r="C275" s="14">
        <f t="shared" ca="1" si="22"/>
        <v>0.10811476251820347</v>
      </c>
      <c r="D275" s="14">
        <f t="shared" si="18"/>
        <v>245</v>
      </c>
      <c r="E275" s="18">
        <f t="shared" ca="1" si="19"/>
        <v>11.797896465548124</v>
      </c>
      <c r="F275" s="18">
        <f t="shared" ca="1" si="20"/>
        <v>11.765671995796996</v>
      </c>
      <c r="G275" s="18">
        <f t="shared" ca="1" si="23"/>
        <v>3.2224469751128026E-2</v>
      </c>
    </row>
    <row r="276" spans="1:7" x14ac:dyDescent="0.25">
      <c r="A276" s="14">
        <v>246</v>
      </c>
      <c r="B276" s="14">
        <f t="shared" ca="1" si="21"/>
        <v>0.4041747818241106</v>
      </c>
      <c r="C276" s="14">
        <f t="shared" ca="1" si="22"/>
        <v>-0.24255575039406416</v>
      </c>
      <c r="D276" s="14">
        <f t="shared" si="18"/>
        <v>246</v>
      </c>
      <c r="E276" s="18">
        <f t="shared" ca="1" si="19"/>
        <v>11.731353230171417</v>
      </c>
      <c r="F276" s="18">
        <f t="shared" ca="1" si="20"/>
        <v>11.803560815186744</v>
      </c>
      <c r="G276" s="18">
        <f t="shared" ca="1" si="23"/>
        <v>-7.2207585015327425E-2</v>
      </c>
    </row>
    <row r="277" spans="1:7" x14ac:dyDescent="0.25">
      <c r="A277" s="14">
        <v>247</v>
      </c>
      <c r="B277" s="14">
        <f t="shared" ca="1" si="21"/>
        <v>0.26166537545263446</v>
      </c>
      <c r="C277" s="14">
        <f t="shared" ca="1" si="22"/>
        <v>-0.63821958352754815</v>
      </c>
      <c r="D277" s="14">
        <f t="shared" si="18"/>
        <v>247</v>
      </c>
      <c r="E277" s="18">
        <f t="shared" ca="1" si="19"/>
        <v>11.549004013500472</v>
      </c>
      <c r="F277" s="18">
        <f t="shared" ca="1" si="20"/>
        <v>11.736985631390048</v>
      </c>
      <c r="G277" s="18">
        <f t="shared" ca="1" si="23"/>
        <v>-0.18798161788957657</v>
      </c>
    </row>
    <row r="278" spans="1:7" x14ac:dyDescent="0.25">
      <c r="A278" s="14">
        <v>248</v>
      </c>
      <c r="B278" s="14">
        <f t="shared" ca="1" si="21"/>
        <v>0.73651348681899054</v>
      </c>
      <c r="C278" s="14">
        <f t="shared" ca="1" si="22"/>
        <v>0.6326334678573956</v>
      </c>
      <c r="D278" s="14">
        <f t="shared" si="18"/>
        <v>248</v>
      </c>
      <c r="E278" s="18">
        <f t="shared" ca="1" si="19"/>
        <v>11.740961401102851</v>
      </c>
      <c r="F278" s="18">
        <f t="shared" ca="1" si="20"/>
        <v>11.55454886608511</v>
      </c>
      <c r="G278" s="18">
        <f t="shared" ca="1" si="23"/>
        <v>0.18641253501774102</v>
      </c>
    </row>
    <row r="279" spans="1:7" x14ac:dyDescent="0.25">
      <c r="A279" s="14">
        <v>249</v>
      </c>
      <c r="B279" s="14">
        <f t="shared" ca="1" si="21"/>
        <v>0.7620823833083239</v>
      </c>
      <c r="C279" s="14">
        <f t="shared" ca="1" si="22"/>
        <v>0.71301700686021541</v>
      </c>
      <c r="D279" s="14">
        <f t="shared" si="18"/>
        <v>249</v>
      </c>
      <c r="E279" s="18">
        <f t="shared" ca="1" si="19"/>
        <v>11.960406833572648</v>
      </c>
      <c r="F279" s="18">
        <f t="shared" ca="1" si="20"/>
        <v>11.746598415350569</v>
      </c>
      <c r="G279" s="18">
        <f t="shared" ca="1" si="23"/>
        <v>0.21380841822207941</v>
      </c>
    </row>
    <row r="280" spans="1:7" x14ac:dyDescent="0.25">
      <c r="A280" s="14">
        <v>250</v>
      </c>
      <c r="B280" s="14">
        <f t="shared" ca="1" si="21"/>
        <v>0.65474283210954376</v>
      </c>
      <c r="C280" s="14">
        <f t="shared" ca="1" si="22"/>
        <v>0.39815716883253122</v>
      </c>
      <c r="D280" s="14">
        <f t="shared" si="18"/>
        <v>250</v>
      </c>
      <c r="E280" s="18">
        <f t="shared" ca="1" si="19"/>
        <v>12.087289334980076</v>
      </c>
      <c r="F280" s="18">
        <f t="shared" ca="1" si="20"/>
        <v>11.96614920691211</v>
      </c>
      <c r="G280" s="18">
        <f t="shared" ca="1" si="23"/>
        <v>0.12114012806796559</v>
      </c>
    </row>
  </sheetData>
  <mergeCells count="2">
    <mergeCell ref="F28:G28"/>
    <mergeCell ref="B28:C2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8</vt:i4>
      </vt:variant>
    </vt:vector>
  </HeadingPairs>
  <TitlesOfParts>
    <vt:vector size="12" baseType="lpstr">
      <vt:lpstr>hs300</vt:lpstr>
      <vt:lpstr>volatility_v1</vt:lpstr>
      <vt:lpstr>volatility_v2</vt:lpstr>
      <vt:lpstr>PriceSimulation</vt:lpstr>
      <vt:lpstr>Dt</vt:lpstr>
      <vt:lpstr>hs300_relprice</vt:lpstr>
      <vt:lpstr>hs300_rr_daily</vt:lpstr>
      <vt:lpstr>hs300_series</vt:lpstr>
      <vt:lpstr>m</vt:lpstr>
      <vt:lpstr>Mu</vt:lpstr>
      <vt:lpstr>S0</vt:lpstr>
      <vt:lpstr>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ThinkPad</dc:creator>
  <cp:lastModifiedBy>ThinkPad</cp:lastModifiedBy>
  <dcterms:created xsi:type="dcterms:W3CDTF">2013-11-16T01:58:19Z</dcterms:created>
  <dcterms:modified xsi:type="dcterms:W3CDTF">2013-11-17T01:32:43Z</dcterms:modified>
</cp:coreProperties>
</file>