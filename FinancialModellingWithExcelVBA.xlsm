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ThinkPad\Dropbox\workspace\office15\"/>
    </mc:Choice>
  </mc:AlternateContent>
  <bookViews>
    <workbookView xWindow="0" yWindow="0" windowWidth="20490" windowHeight="7920" firstSheet="8" activeTab="9"/>
  </bookViews>
  <sheets>
    <sheet name="方案摘要" sheetId="2" r:id="rId1"/>
    <sheet name="模拟运算表" sheetId="1" r:id="rId2"/>
    <sheet name="CircularReferencing" sheetId="3" r:id="rId3"/>
    <sheet name="CustomFormat" sheetId="4" r:id="rId4"/>
    <sheet name="arrayFormula" sheetId="5" r:id="rId5"/>
    <sheet name="AnuityFuncions" sheetId="6" r:id="rId6"/>
    <sheet name="FinancialFunction" sheetId="7" r:id="rId7"/>
    <sheet name="SomeMathFunc" sheetId="8" r:id="rId8"/>
    <sheet name="Lookup&amp;Feference" sheetId="9" r:id="rId9"/>
    <sheet name="Sheet1" sheetId="10" r:id="rId10"/>
  </sheets>
  <definedNames>
    <definedName name="ATIncome">模拟运算表!$B$13</definedName>
    <definedName name="qty">arrayFormula!$A$5:$A$9</definedName>
    <definedName name="Revenue">模拟运算表!$B$6</definedName>
    <definedName name="Sales">模拟运算表!$B$3</definedName>
    <definedName name="solver_eng" localSheetId="4" hidden="1">1</definedName>
    <definedName name="solver_neg" localSheetId="4" hidden="1">1</definedName>
    <definedName name="solver_num" localSheetId="4" hidden="1">0</definedName>
    <definedName name="solver_opt" localSheetId="4" hidden="1">arrayFormula!$D$15</definedName>
    <definedName name="solver_typ" localSheetId="4" hidden="1">1</definedName>
    <definedName name="solver_val" localSheetId="4" hidden="1">0</definedName>
    <definedName name="solver_ver" localSheetId="4" hidden="1">3</definedName>
    <definedName name="SPrice">模拟运算表!$B$5</definedName>
    <definedName name="stkPrice">arrayFormula!$B$5:$B$9</definedName>
  </definedNames>
  <calcPr calcId="152511"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0" i="9" l="1"/>
  <c r="C19" i="9"/>
  <c r="C18" i="9"/>
  <c r="C16" i="9" l="1"/>
  <c r="C15" i="9"/>
  <c r="C13" i="9"/>
  <c r="C12" i="9"/>
  <c r="C11" i="9"/>
  <c r="C7" i="9"/>
  <c r="C8" i="9"/>
  <c r="C6" i="9"/>
  <c r="C5" i="9"/>
  <c r="B42" i="8"/>
  <c r="B41" i="8"/>
  <c r="B40" i="8"/>
  <c r="B39" i="8"/>
  <c r="B33" i="8"/>
  <c r="B32" i="8"/>
  <c r="B31" i="8"/>
  <c r="B30" i="8"/>
  <c r="B28" i="8"/>
  <c r="B27" i="8"/>
  <c r="B25" i="8"/>
  <c r="B24" i="8"/>
  <c r="B23" i="8"/>
  <c r="B21" i="8"/>
  <c r="B20" i="8"/>
  <c r="B19" i="8"/>
  <c r="B18" i="8"/>
  <c r="B16" i="8"/>
  <c r="B15" i="8"/>
  <c r="B13" i="8"/>
  <c r="B12" i="8"/>
  <c r="B10" i="8"/>
  <c r="B9" i="8"/>
  <c r="B7" i="8"/>
  <c r="B6" i="8"/>
  <c r="B4" i="8" l="1"/>
  <c r="B3" i="8"/>
  <c r="A33" i="6"/>
  <c r="A82" i="6"/>
  <c r="A83" i="6" s="1"/>
  <c r="A81" i="6"/>
  <c r="A75" i="6"/>
  <c r="A76" i="6" s="1"/>
  <c r="A77" i="6" s="1"/>
  <c r="A78" i="6" s="1"/>
  <c r="A79" i="6" s="1"/>
  <c r="A80" i="6" s="1"/>
  <c r="A64" i="6"/>
  <c r="A65" i="6" s="1"/>
  <c r="A66" i="6" s="1"/>
  <c r="A67" i="6" s="1"/>
  <c r="A68" i="6" s="1"/>
  <c r="A69" i="6" s="1"/>
  <c r="A70" i="6" s="1"/>
  <c r="A71" i="6" s="1"/>
  <c r="A72" i="6" s="1"/>
  <c r="A73" i="6" s="1"/>
  <c r="A74" i="6" s="1"/>
  <c r="A36" i="6"/>
  <c r="A37" i="6"/>
  <c r="A38" i="6"/>
  <c r="A39" i="6"/>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35" i="6"/>
  <c r="A34" i="6"/>
  <c r="E33" i="6"/>
  <c r="F33" i="6"/>
  <c r="G33" i="6"/>
  <c r="H33" i="6"/>
  <c r="I33" i="6" s="1"/>
  <c r="J33" i="6" s="1"/>
  <c r="K33" i="6" s="1"/>
  <c r="L33" i="6" s="1"/>
  <c r="M33" i="6" s="1"/>
  <c r="N33" i="6" s="1"/>
  <c r="O33" i="6" s="1"/>
  <c r="P33" i="6" s="1"/>
  <c r="Q33" i="6" s="1"/>
  <c r="R33" i="6" s="1"/>
  <c r="S33" i="6" s="1"/>
  <c r="T33" i="6" s="1"/>
  <c r="U33" i="6" s="1"/>
  <c r="D33" i="6"/>
  <c r="C33" i="6"/>
  <c r="B33" i="6"/>
  <c r="C443" i="6" l="1"/>
  <c r="D443" i="6"/>
  <c r="C444" i="6"/>
  <c r="D444" i="6"/>
  <c r="C445" i="6"/>
  <c r="D445" i="6"/>
  <c r="C446" i="6"/>
  <c r="D446" i="6"/>
  <c r="C447" i="6"/>
  <c r="D447" i="6"/>
  <c r="C448" i="6"/>
  <c r="D448" i="6"/>
  <c r="C449" i="6"/>
  <c r="D449" i="6"/>
  <c r="C450" i="6"/>
  <c r="D450" i="6"/>
  <c r="C451" i="6"/>
  <c r="D451" i="6"/>
  <c r="C452" i="6"/>
  <c r="D452" i="6"/>
  <c r="C453" i="6"/>
  <c r="D453" i="6"/>
  <c r="C454" i="6"/>
  <c r="D454" i="6"/>
  <c r="C455" i="6"/>
  <c r="D455" i="6"/>
  <c r="C456" i="6"/>
  <c r="D456" i="6"/>
  <c r="C457" i="6"/>
  <c r="D457" i="6"/>
  <c r="C458" i="6"/>
  <c r="D458" i="6"/>
  <c r="C459" i="6"/>
  <c r="D459" i="6"/>
  <c r="C460" i="6"/>
  <c r="D460" i="6"/>
  <c r="C461" i="6"/>
  <c r="D461" i="6"/>
  <c r="C462" i="6"/>
  <c r="D462" i="6"/>
  <c r="C463" i="6"/>
  <c r="D463" i="6"/>
  <c r="C464" i="6"/>
  <c r="D464" i="6"/>
  <c r="C465" i="6"/>
  <c r="D465" i="6"/>
  <c r="C466" i="6"/>
  <c r="D466" i="6"/>
  <c r="C467" i="6"/>
  <c r="D467" i="6"/>
  <c r="C468" i="6"/>
  <c r="D468" i="6"/>
  <c r="C469" i="6"/>
  <c r="D469" i="6"/>
  <c r="C470" i="6"/>
  <c r="D470" i="6"/>
  <c r="C471" i="6"/>
  <c r="D471" i="6"/>
  <c r="C472" i="6"/>
  <c r="D472" i="6"/>
  <c r="C473" i="6"/>
  <c r="D473" i="6"/>
  <c r="C474" i="6"/>
  <c r="D474" i="6"/>
  <c r="C475" i="6"/>
  <c r="D475" i="6"/>
  <c r="C476" i="6"/>
  <c r="D476" i="6"/>
  <c r="C477" i="6"/>
  <c r="D477" i="6"/>
  <c r="C478" i="6"/>
  <c r="D478" i="6"/>
  <c r="C479" i="6"/>
  <c r="D479" i="6"/>
  <c r="C480" i="6"/>
  <c r="D480" i="6"/>
  <c r="C481" i="6"/>
  <c r="D481" i="6"/>
  <c r="C482" i="6"/>
  <c r="D482" i="6"/>
  <c r="C483" i="6"/>
  <c r="D483" i="6"/>
  <c r="C484" i="6"/>
  <c r="D484" i="6"/>
  <c r="C485" i="6"/>
  <c r="D485" i="6"/>
  <c r="C486" i="6"/>
  <c r="D486" i="6"/>
  <c r="C487" i="6"/>
  <c r="D487" i="6"/>
  <c r="C488" i="6"/>
  <c r="D488" i="6"/>
  <c r="C489" i="6"/>
  <c r="D489" i="6"/>
  <c r="C490" i="6"/>
  <c r="D490" i="6"/>
  <c r="C491" i="6"/>
  <c r="D491" i="6"/>
  <c r="C492" i="6"/>
  <c r="D492" i="6"/>
  <c r="C493" i="6"/>
  <c r="D493" i="6"/>
  <c r="C494" i="6"/>
  <c r="D494" i="6"/>
  <c r="C495" i="6"/>
  <c r="D495" i="6"/>
  <c r="C496" i="6"/>
  <c r="D496" i="6"/>
  <c r="C497" i="6"/>
  <c r="D497" i="6"/>
  <c r="C498" i="6"/>
  <c r="D498" i="6"/>
  <c r="C499" i="6"/>
  <c r="D499" i="6"/>
  <c r="C500" i="6"/>
  <c r="D500" i="6"/>
  <c r="C501" i="6"/>
  <c r="D501" i="6"/>
  <c r="C502" i="6"/>
  <c r="D502" i="6"/>
  <c r="C503" i="6"/>
  <c r="D503" i="6"/>
  <c r="C504" i="6"/>
  <c r="D504" i="6"/>
  <c r="C505" i="6"/>
  <c r="D505" i="6"/>
  <c r="C506" i="6"/>
  <c r="D506" i="6"/>
  <c r="C507" i="6"/>
  <c r="D507" i="6"/>
  <c r="C508" i="6"/>
  <c r="D508" i="6"/>
  <c r="C509" i="6"/>
  <c r="D509" i="6"/>
  <c r="C510" i="6"/>
  <c r="D510" i="6"/>
  <c r="C511" i="6"/>
  <c r="D511" i="6"/>
  <c r="C153" i="6"/>
  <c r="D153" i="6"/>
  <c r="C154" i="6"/>
  <c r="D154" i="6"/>
  <c r="C155" i="6"/>
  <c r="D155" i="6"/>
  <c r="C156" i="6"/>
  <c r="D156" i="6"/>
  <c r="C157" i="6"/>
  <c r="D157" i="6"/>
  <c r="C158" i="6"/>
  <c r="D158" i="6"/>
  <c r="C159" i="6"/>
  <c r="D159" i="6"/>
  <c r="C160" i="6"/>
  <c r="D160" i="6"/>
  <c r="C161" i="6"/>
  <c r="D161" i="6"/>
  <c r="C162" i="6"/>
  <c r="D162" i="6"/>
  <c r="C163" i="6"/>
  <c r="D163" i="6"/>
  <c r="C164" i="6"/>
  <c r="D164" i="6"/>
  <c r="C165" i="6"/>
  <c r="D165" i="6"/>
  <c r="C166" i="6"/>
  <c r="D166" i="6"/>
  <c r="C167" i="6"/>
  <c r="D167" i="6"/>
  <c r="C168" i="6"/>
  <c r="D168" i="6"/>
  <c r="C169" i="6"/>
  <c r="D169" i="6"/>
  <c r="C170" i="6"/>
  <c r="D170" i="6"/>
  <c r="C171" i="6"/>
  <c r="D171" i="6"/>
  <c r="C172" i="6"/>
  <c r="D172" i="6"/>
  <c r="C173" i="6"/>
  <c r="D173" i="6"/>
  <c r="C174" i="6"/>
  <c r="D174" i="6"/>
  <c r="C175" i="6"/>
  <c r="D175" i="6"/>
  <c r="C176" i="6"/>
  <c r="D176" i="6"/>
  <c r="C177" i="6"/>
  <c r="D177" i="6"/>
  <c r="C178" i="6"/>
  <c r="D178" i="6"/>
  <c r="C179" i="6"/>
  <c r="D179" i="6"/>
  <c r="C180" i="6"/>
  <c r="D180" i="6"/>
  <c r="C181" i="6"/>
  <c r="D181" i="6"/>
  <c r="C182" i="6"/>
  <c r="D182" i="6"/>
  <c r="C183" i="6"/>
  <c r="D183" i="6"/>
  <c r="C184" i="6"/>
  <c r="D184" i="6"/>
  <c r="C185" i="6"/>
  <c r="D185" i="6"/>
  <c r="C186" i="6"/>
  <c r="D186" i="6"/>
  <c r="C187" i="6"/>
  <c r="D187" i="6"/>
  <c r="C188" i="6"/>
  <c r="D188" i="6"/>
  <c r="C189" i="6"/>
  <c r="D189" i="6"/>
  <c r="C190" i="6"/>
  <c r="D190" i="6"/>
  <c r="C191" i="6"/>
  <c r="D191" i="6"/>
  <c r="C192" i="6"/>
  <c r="D192" i="6"/>
  <c r="C193" i="6"/>
  <c r="D193" i="6"/>
  <c r="C194" i="6"/>
  <c r="D194" i="6"/>
  <c r="C195" i="6"/>
  <c r="D195" i="6"/>
  <c r="C196" i="6"/>
  <c r="D196" i="6"/>
  <c r="C197" i="6"/>
  <c r="D197" i="6"/>
  <c r="C198" i="6"/>
  <c r="D198" i="6"/>
  <c r="C199" i="6"/>
  <c r="D199" i="6"/>
  <c r="C200" i="6"/>
  <c r="D200" i="6"/>
  <c r="C201" i="6"/>
  <c r="D201" i="6"/>
  <c r="C202" i="6"/>
  <c r="D202" i="6"/>
  <c r="C203" i="6"/>
  <c r="D203" i="6"/>
  <c r="C204" i="6"/>
  <c r="D204" i="6"/>
  <c r="C205" i="6"/>
  <c r="D205" i="6"/>
  <c r="C206" i="6"/>
  <c r="D206" i="6"/>
  <c r="C207" i="6"/>
  <c r="D207" i="6"/>
  <c r="C208" i="6"/>
  <c r="D208" i="6"/>
  <c r="C209" i="6"/>
  <c r="D209" i="6"/>
  <c r="C210" i="6"/>
  <c r="D210" i="6"/>
  <c r="C211" i="6"/>
  <c r="D211" i="6"/>
  <c r="C212" i="6"/>
  <c r="D212" i="6"/>
  <c r="C213" i="6"/>
  <c r="D213" i="6"/>
  <c r="C214" i="6"/>
  <c r="D214" i="6"/>
  <c r="C215" i="6"/>
  <c r="D215" i="6"/>
  <c r="C216" i="6"/>
  <c r="D216" i="6"/>
  <c r="C217" i="6"/>
  <c r="D217" i="6"/>
  <c r="C218" i="6"/>
  <c r="D218" i="6"/>
  <c r="C219" i="6"/>
  <c r="D219" i="6"/>
  <c r="C220" i="6"/>
  <c r="D220" i="6"/>
  <c r="C221" i="6"/>
  <c r="D221" i="6"/>
  <c r="C222" i="6"/>
  <c r="D222" i="6"/>
  <c r="C223" i="6"/>
  <c r="D223" i="6"/>
  <c r="C224" i="6"/>
  <c r="D224" i="6"/>
  <c r="C225" i="6"/>
  <c r="D225" i="6"/>
  <c r="C226" i="6"/>
  <c r="D226" i="6"/>
  <c r="C227" i="6"/>
  <c r="D227" i="6"/>
  <c r="C228" i="6"/>
  <c r="D228" i="6"/>
  <c r="C229" i="6"/>
  <c r="D229" i="6"/>
  <c r="C230" i="6"/>
  <c r="D230" i="6"/>
  <c r="C231" i="6"/>
  <c r="D231" i="6"/>
  <c r="C232" i="6"/>
  <c r="D232" i="6"/>
  <c r="C233" i="6"/>
  <c r="D233" i="6"/>
  <c r="C234" i="6"/>
  <c r="D234" i="6"/>
  <c r="C235" i="6"/>
  <c r="D235" i="6"/>
  <c r="C236" i="6"/>
  <c r="D236" i="6"/>
  <c r="C237" i="6"/>
  <c r="D237" i="6"/>
  <c r="C238" i="6"/>
  <c r="D238" i="6"/>
  <c r="C239" i="6"/>
  <c r="D239" i="6"/>
  <c r="C240" i="6"/>
  <c r="D240" i="6"/>
  <c r="C241" i="6"/>
  <c r="D241" i="6"/>
  <c r="C242" i="6"/>
  <c r="D242" i="6"/>
  <c r="C243" i="6"/>
  <c r="D243" i="6"/>
  <c r="C244" i="6"/>
  <c r="D244" i="6"/>
  <c r="C245" i="6"/>
  <c r="D245" i="6"/>
  <c r="C246" i="6"/>
  <c r="D246" i="6"/>
  <c r="C247" i="6"/>
  <c r="D247" i="6"/>
  <c r="C248" i="6"/>
  <c r="D248" i="6"/>
  <c r="C249" i="6"/>
  <c r="D249" i="6"/>
  <c r="C250" i="6"/>
  <c r="D250" i="6"/>
  <c r="C251" i="6"/>
  <c r="D251" i="6"/>
  <c r="C252" i="6"/>
  <c r="D252" i="6"/>
  <c r="C253" i="6"/>
  <c r="D253" i="6"/>
  <c r="C254" i="6"/>
  <c r="D254" i="6"/>
  <c r="C255" i="6"/>
  <c r="D255" i="6"/>
  <c r="C256" i="6"/>
  <c r="D256" i="6"/>
  <c r="C257" i="6"/>
  <c r="D257" i="6"/>
  <c r="C258" i="6"/>
  <c r="D258" i="6"/>
  <c r="C259" i="6"/>
  <c r="D259" i="6"/>
  <c r="C260" i="6"/>
  <c r="D260" i="6"/>
  <c r="C261" i="6"/>
  <c r="D261" i="6"/>
  <c r="C262" i="6"/>
  <c r="D262" i="6"/>
  <c r="C263" i="6"/>
  <c r="D263" i="6"/>
  <c r="C264" i="6"/>
  <c r="D264" i="6"/>
  <c r="C265" i="6"/>
  <c r="D265" i="6"/>
  <c r="C266" i="6"/>
  <c r="D266" i="6"/>
  <c r="C267" i="6"/>
  <c r="D267" i="6"/>
  <c r="C268" i="6"/>
  <c r="D268" i="6"/>
  <c r="C269" i="6"/>
  <c r="D269" i="6"/>
  <c r="C270" i="6"/>
  <c r="D270" i="6"/>
  <c r="C271" i="6"/>
  <c r="D271" i="6"/>
  <c r="C272" i="6"/>
  <c r="D272" i="6"/>
  <c r="C273" i="6"/>
  <c r="D273" i="6"/>
  <c r="C274" i="6"/>
  <c r="D274" i="6"/>
  <c r="C275" i="6"/>
  <c r="D275" i="6"/>
  <c r="C276" i="6"/>
  <c r="D276" i="6"/>
  <c r="C277" i="6"/>
  <c r="D277" i="6"/>
  <c r="C278" i="6"/>
  <c r="D278" i="6"/>
  <c r="C279" i="6"/>
  <c r="D279" i="6"/>
  <c r="C280" i="6"/>
  <c r="D280" i="6"/>
  <c r="C281" i="6"/>
  <c r="D281" i="6"/>
  <c r="C282" i="6"/>
  <c r="D282" i="6"/>
  <c r="C283" i="6"/>
  <c r="D283" i="6"/>
  <c r="C284" i="6"/>
  <c r="D284" i="6"/>
  <c r="C285" i="6"/>
  <c r="D285" i="6"/>
  <c r="C286" i="6"/>
  <c r="D286" i="6"/>
  <c r="C287" i="6"/>
  <c r="D287" i="6"/>
  <c r="C288" i="6"/>
  <c r="D288" i="6"/>
  <c r="C289" i="6"/>
  <c r="D289" i="6"/>
  <c r="C290" i="6"/>
  <c r="D290" i="6"/>
  <c r="C291" i="6"/>
  <c r="D291" i="6"/>
  <c r="C292" i="6"/>
  <c r="D292" i="6"/>
  <c r="C293" i="6"/>
  <c r="D293" i="6"/>
  <c r="C294" i="6"/>
  <c r="D294" i="6"/>
  <c r="C295" i="6"/>
  <c r="D295" i="6"/>
  <c r="C296" i="6"/>
  <c r="D296" i="6"/>
  <c r="C297" i="6"/>
  <c r="D297" i="6"/>
  <c r="C298" i="6"/>
  <c r="D298" i="6"/>
  <c r="C299" i="6"/>
  <c r="D299" i="6"/>
  <c r="C300" i="6"/>
  <c r="D300" i="6"/>
  <c r="C301" i="6"/>
  <c r="D301" i="6"/>
  <c r="C302" i="6"/>
  <c r="D302" i="6"/>
  <c r="C303" i="6"/>
  <c r="D303" i="6"/>
  <c r="C304" i="6"/>
  <c r="D304" i="6"/>
  <c r="C305" i="6"/>
  <c r="D305" i="6"/>
  <c r="C306" i="6"/>
  <c r="D306" i="6"/>
  <c r="C307" i="6"/>
  <c r="D307" i="6"/>
  <c r="C308" i="6"/>
  <c r="D308" i="6"/>
  <c r="C309" i="6"/>
  <c r="D309" i="6"/>
  <c r="C310" i="6"/>
  <c r="D310" i="6"/>
  <c r="C311" i="6"/>
  <c r="D311" i="6"/>
  <c r="C312" i="6"/>
  <c r="D312" i="6"/>
  <c r="C313" i="6"/>
  <c r="D313" i="6"/>
  <c r="C314" i="6"/>
  <c r="D314" i="6"/>
  <c r="C315" i="6"/>
  <c r="D315" i="6"/>
  <c r="C316" i="6"/>
  <c r="D316" i="6"/>
  <c r="C317" i="6"/>
  <c r="D317" i="6"/>
  <c r="C318" i="6"/>
  <c r="D318" i="6"/>
  <c r="C319" i="6"/>
  <c r="D319" i="6"/>
  <c r="C320" i="6"/>
  <c r="D320" i="6"/>
  <c r="C321" i="6"/>
  <c r="D321" i="6"/>
  <c r="C322" i="6"/>
  <c r="D322" i="6"/>
  <c r="C323" i="6"/>
  <c r="D323" i="6"/>
  <c r="C324" i="6"/>
  <c r="D324" i="6"/>
  <c r="C325" i="6"/>
  <c r="D325" i="6"/>
  <c r="C326" i="6"/>
  <c r="D326" i="6"/>
  <c r="C327" i="6"/>
  <c r="D327" i="6"/>
  <c r="C328" i="6"/>
  <c r="D328" i="6"/>
  <c r="C329" i="6"/>
  <c r="D329" i="6"/>
  <c r="C330" i="6"/>
  <c r="D330" i="6"/>
  <c r="C331" i="6"/>
  <c r="D331" i="6"/>
  <c r="C332" i="6"/>
  <c r="D332" i="6"/>
  <c r="C333" i="6"/>
  <c r="D333" i="6"/>
  <c r="C334" i="6"/>
  <c r="D334" i="6"/>
  <c r="C335" i="6"/>
  <c r="D335" i="6"/>
  <c r="C336" i="6"/>
  <c r="D336" i="6"/>
  <c r="C337" i="6"/>
  <c r="D337" i="6"/>
  <c r="C338" i="6"/>
  <c r="D338" i="6"/>
  <c r="C339" i="6"/>
  <c r="D339" i="6"/>
  <c r="C340" i="6"/>
  <c r="D340" i="6"/>
  <c r="C341" i="6"/>
  <c r="D341" i="6"/>
  <c r="C342" i="6"/>
  <c r="D342" i="6"/>
  <c r="C343" i="6"/>
  <c r="D343" i="6"/>
  <c r="C344" i="6"/>
  <c r="D344" i="6"/>
  <c r="C345" i="6"/>
  <c r="D345" i="6"/>
  <c r="C346" i="6"/>
  <c r="D346" i="6"/>
  <c r="C347" i="6"/>
  <c r="D347" i="6"/>
  <c r="C348" i="6"/>
  <c r="D348" i="6"/>
  <c r="C349" i="6"/>
  <c r="D349" i="6"/>
  <c r="C350" i="6"/>
  <c r="D350" i="6"/>
  <c r="C351" i="6"/>
  <c r="D351" i="6"/>
  <c r="C352" i="6"/>
  <c r="D352" i="6"/>
  <c r="C353" i="6"/>
  <c r="D353" i="6"/>
  <c r="C354" i="6"/>
  <c r="D354" i="6"/>
  <c r="C355" i="6"/>
  <c r="D355" i="6"/>
  <c r="C356" i="6"/>
  <c r="D356" i="6"/>
  <c r="C357" i="6"/>
  <c r="D357" i="6"/>
  <c r="C358" i="6"/>
  <c r="D358" i="6"/>
  <c r="C359" i="6"/>
  <c r="D359" i="6"/>
  <c r="C360" i="6"/>
  <c r="D360" i="6"/>
  <c r="C361" i="6"/>
  <c r="D361" i="6"/>
  <c r="C362" i="6"/>
  <c r="D362" i="6"/>
  <c r="C363" i="6"/>
  <c r="D363" i="6"/>
  <c r="C364" i="6"/>
  <c r="D364" i="6"/>
  <c r="C365" i="6"/>
  <c r="D365" i="6"/>
  <c r="C366" i="6"/>
  <c r="D366" i="6"/>
  <c r="C367" i="6"/>
  <c r="D367" i="6"/>
  <c r="C368" i="6"/>
  <c r="D368" i="6"/>
  <c r="C369" i="6"/>
  <c r="D369" i="6"/>
  <c r="C370" i="6"/>
  <c r="D370" i="6"/>
  <c r="C371" i="6"/>
  <c r="D371" i="6"/>
  <c r="C372" i="6"/>
  <c r="D372" i="6"/>
  <c r="C373" i="6"/>
  <c r="D373" i="6"/>
  <c r="C374" i="6"/>
  <c r="D374" i="6"/>
  <c r="C375" i="6"/>
  <c r="D375" i="6"/>
  <c r="C376" i="6"/>
  <c r="D376" i="6"/>
  <c r="C377" i="6"/>
  <c r="D377" i="6"/>
  <c r="C378" i="6"/>
  <c r="D378" i="6"/>
  <c r="C379" i="6"/>
  <c r="D379" i="6"/>
  <c r="C380" i="6"/>
  <c r="D380" i="6"/>
  <c r="C381" i="6"/>
  <c r="D381" i="6"/>
  <c r="C382" i="6"/>
  <c r="D382" i="6"/>
  <c r="C383" i="6"/>
  <c r="D383" i="6"/>
  <c r="C384" i="6"/>
  <c r="D384" i="6"/>
  <c r="C385" i="6"/>
  <c r="D385" i="6"/>
  <c r="C386" i="6"/>
  <c r="D386" i="6"/>
  <c r="C387" i="6"/>
  <c r="D387" i="6"/>
  <c r="C388" i="6"/>
  <c r="D388" i="6"/>
  <c r="C389" i="6"/>
  <c r="D389" i="6"/>
  <c r="C390" i="6"/>
  <c r="D390" i="6"/>
  <c r="C391" i="6"/>
  <c r="D391" i="6"/>
  <c r="C392" i="6"/>
  <c r="D392" i="6"/>
  <c r="C393" i="6"/>
  <c r="D393" i="6"/>
  <c r="C394" i="6"/>
  <c r="D394" i="6"/>
  <c r="C395" i="6"/>
  <c r="D395" i="6"/>
  <c r="C396" i="6"/>
  <c r="D396" i="6"/>
  <c r="C397" i="6"/>
  <c r="D397" i="6"/>
  <c r="C398" i="6"/>
  <c r="D398" i="6"/>
  <c r="C399" i="6"/>
  <c r="D399" i="6"/>
  <c r="C400" i="6"/>
  <c r="D400" i="6"/>
  <c r="C401" i="6"/>
  <c r="D401" i="6"/>
  <c r="C402" i="6"/>
  <c r="D402" i="6"/>
  <c r="C403" i="6"/>
  <c r="D403" i="6"/>
  <c r="C404" i="6"/>
  <c r="D404" i="6"/>
  <c r="C405" i="6"/>
  <c r="D405" i="6"/>
  <c r="C406" i="6"/>
  <c r="D406" i="6"/>
  <c r="C407" i="6"/>
  <c r="D407" i="6"/>
  <c r="C408" i="6"/>
  <c r="D408" i="6"/>
  <c r="C409" i="6"/>
  <c r="D409" i="6"/>
  <c r="C410" i="6"/>
  <c r="D410" i="6"/>
  <c r="C411" i="6"/>
  <c r="D411" i="6"/>
  <c r="C412" i="6"/>
  <c r="D412" i="6"/>
  <c r="C413" i="6"/>
  <c r="D413" i="6"/>
  <c r="C414" i="6"/>
  <c r="D414" i="6"/>
  <c r="C415" i="6"/>
  <c r="D415" i="6"/>
  <c r="C416" i="6"/>
  <c r="D416" i="6"/>
  <c r="C417" i="6"/>
  <c r="D417" i="6"/>
  <c r="C418" i="6"/>
  <c r="D418" i="6"/>
  <c r="C419" i="6"/>
  <c r="D419" i="6"/>
  <c r="C420" i="6"/>
  <c r="D420" i="6"/>
  <c r="C421" i="6"/>
  <c r="D421" i="6"/>
  <c r="C422" i="6"/>
  <c r="D422" i="6"/>
  <c r="C423" i="6"/>
  <c r="D423" i="6"/>
  <c r="C424" i="6"/>
  <c r="D424" i="6"/>
  <c r="C425" i="6"/>
  <c r="D425" i="6"/>
  <c r="C426" i="6"/>
  <c r="D426" i="6"/>
  <c r="C427" i="6"/>
  <c r="D427" i="6"/>
  <c r="C428" i="6"/>
  <c r="D428" i="6"/>
  <c r="C429" i="6"/>
  <c r="D429" i="6"/>
  <c r="C430" i="6"/>
  <c r="D430" i="6"/>
  <c r="C431" i="6"/>
  <c r="D431" i="6"/>
  <c r="C432" i="6"/>
  <c r="D432" i="6"/>
  <c r="C433" i="6"/>
  <c r="D433" i="6"/>
  <c r="C434" i="6"/>
  <c r="D434" i="6"/>
  <c r="C435" i="6"/>
  <c r="D435" i="6"/>
  <c r="C436" i="6"/>
  <c r="D436" i="6"/>
  <c r="C437" i="6"/>
  <c r="D437" i="6"/>
  <c r="C438" i="6"/>
  <c r="D438" i="6"/>
  <c r="C439" i="6"/>
  <c r="D439" i="6"/>
  <c r="C440" i="6"/>
  <c r="D440" i="6"/>
  <c r="C441" i="6"/>
  <c r="D441" i="6"/>
  <c r="C442" i="6"/>
  <c r="D442" i="6"/>
  <c r="D152" i="6"/>
  <c r="E151" i="6"/>
  <c r="C152" i="6"/>
  <c r="B148" i="6"/>
  <c r="B168" i="6" s="1"/>
  <c r="B352" i="6" l="1"/>
  <c r="B307" i="6"/>
  <c r="B288" i="6"/>
  <c r="B388" i="6"/>
  <c r="B371" i="6"/>
  <c r="B324" i="6"/>
  <c r="B216" i="6"/>
  <c r="B171" i="6"/>
  <c r="B438" i="6"/>
  <c r="B391" i="6"/>
  <c r="B374" i="6"/>
  <c r="B266" i="6"/>
  <c r="B219" i="6"/>
  <c r="B184" i="6"/>
  <c r="B408" i="6"/>
  <c r="B302" i="6"/>
  <c r="B283" i="6"/>
  <c r="B238" i="6"/>
  <c r="E152" i="6"/>
  <c r="E153" i="6" s="1"/>
  <c r="E154" i="6" s="1"/>
  <c r="E155" i="6" s="1"/>
  <c r="E156" i="6" s="1"/>
  <c r="E157" i="6" s="1"/>
  <c r="E158" i="6" s="1"/>
  <c r="E159" i="6" s="1"/>
  <c r="E160" i="6" s="1"/>
  <c r="E161" i="6" s="1"/>
  <c r="E162" i="6" s="1"/>
  <c r="E163" i="6" s="1"/>
  <c r="E164" i="6" s="1"/>
  <c r="E165" i="6" s="1"/>
  <c r="E166" i="6" s="1"/>
  <c r="E167" i="6" s="1"/>
  <c r="E168" i="6" s="1"/>
  <c r="E169" i="6" s="1"/>
  <c r="E170" i="6" s="1"/>
  <c r="E171" i="6" s="1"/>
  <c r="E172" i="6" s="1"/>
  <c r="E173" i="6" s="1"/>
  <c r="E174" i="6" s="1"/>
  <c r="E175" i="6" s="1"/>
  <c r="E176" i="6" s="1"/>
  <c r="E177" i="6" s="1"/>
  <c r="E178" i="6" s="1"/>
  <c r="E179" i="6" s="1"/>
  <c r="E180" i="6" s="1"/>
  <c r="E181" i="6" s="1"/>
  <c r="E182" i="6" s="1"/>
  <c r="E183" i="6" s="1"/>
  <c r="E184" i="6" s="1"/>
  <c r="E185" i="6" s="1"/>
  <c r="E186" i="6" s="1"/>
  <c r="E187" i="6" s="1"/>
  <c r="E188" i="6" s="1"/>
  <c r="E189" i="6" s="1"/>
  <c r="E190" i="6" s="1"/>
  <c r="E191" i="6" s="1"/>
  <c r="E192" i="6" s="1"/>
  <c r="E193" i="6" s="1"/>
  <c r="E194" i="6" s="1"/>
  <c r="E195" i="6" s="1"/>
  <c r="E196" i="6" s="1"/>
  <c r="E197" i="6" s="1"/>
  <c r="E198" i="6" s="1"/>
  <c r="E199" i="6" s="1"/>
  <c r="E200" i="6" s="1"/>
  <c r="E201" i="6" s="1"/>
  <c r="E202" i="6" s="1"/>
  <c r="E203" i="6" s="1"/>
  <c r="E204" i="6" s="1"/>
  <c r="E205" i="6" s="1"/>
  <c r="E206" i="6" s="1"/>
  <c r="E207" i="6" s="1"/>
  <c r="E208" i="6" s="1"/>
  <c r="E209" i="6" s="1"/>
  <c r="E210" i="6" s="1"/>
  <c r="E211" i="6" s="1"/>
  <c r="E212" i="6" s="1"/>
  <c r="E213" i="6" s="1"/>
  <c r="E214" i="6" s="1"/>
  <c r="E215" i="6" s="1"/>
  <c r="E216" i="6" s="1"/>
  <c r="E217" i="6" s="1"/>
  <c r="E218" i="6" s="1"/>
  <c r="E219" i="6" s="1"/>
  <c r="E220" i="6" s="1"/>
  <c r="E221" i="6" s="1"/>
  <c r="E222" i="6" s="1"/>
  <c r="E223" i="6" s="1"/>
  <c r="E224" i="6" s="1"/>
  <c r="E225" i="6" s="1"/>
  <c r="E226" i="6" s="1"/>
  <c r="E227" i="6" s="1"/>
  <c r="E228" i="6" s="1"/>
  <c r="E229" i="6" s="1"/>
  <c r="E230" i="6" s="1"/>
  <c r="E231" i="6" s="1"/>
  <c r="E232" i="6" s="1"/>
  <c r="E233" i="6" s="1"/>
  <c r="E234" i="6" s="1"/>
  <c r="E235" i="6" s="1"/>
  <c r="E236" i="6" s="1"/>
  <c r="E237" i="6" s="1"/>
  <c r="E238" i="6" s="1"/>
  <c r="E239" i="6" s="1"/>
  <c r="E240" i="6" s="1"/>
  <c r="E241" i="6" s="1"/>
  <c r="E242" i="6" s="1"/>
  <c r="E243" i="6" s="1"/>
  <c r="E244" i="6" s="1"/>
  <c r="E245" i="6" s="1"/>
  <c r="E246" i="6" s="1"/>
  <c r="E247" i="6" s="1"/>
  <c r="E248" i="6" s="1"/>
  <c r="E249" i="6" s="1"/>
  <c r="E250" i="6" s="1"/>
  <c r="E251" i="6" s="1"/>
  <c r="E252" i="6" s="1"/>
  <c r="E253" i="6" s="1"/>
  <c r="E254" i="6" s="1"/>
  <c r="E255" i="6" s="1"/>
  <c r="E256" i="6" s="1"/>
  <c r="E257" i="6" s="1"/>
  <c r="E258" i="6" s="1"/>
  <c r="E259" i="6" s="1"/>
  <c r="E260" i="6" s="1"/>
  <c r="E261" i="6" s="1"/>
  <c r="E262" i="6" s="1"/>
  <c r="E263" i="6" s="1"/>
  <c r="E264" i="6" s="1"/>
  <c r="E265" i="6" s="1"/>
  <c r="E266" i="6" s="1"/>
  <c r="E267" i="6" s="1"/>
  <c r="E268" i="6" s="1"/>
  <c r="E269" i="6" s="1"/>
  <c r="E270" i="6" s="1"/>
  <c r="E271" i="6" s="1"/>
  <c r="E272" i="6" s="1"/>
  <c r="E273" i="6" s="1"/>
  <c r="E274" i="6" s="1"/>
  <c r="E275" i="6" s="1"/>
  <c r="E276" i="6" s="1"/>
  <c r="E277" i="6" s="1"/>
  <c r="E278" i="6" s="1"/>
  <c r="E279" i="6" s="1"/>
  <c r="E280" i="6" s="1"/>
  <c r="E281" i="6" s="1"/>
  <c r="E282" i="6" s="1"/>
  <c r="E283" i="6" s="1"/>
  <c r="E284" i="6" s="1"/>
  <c r="E285" i="6" s="1"/>
  <c r="E286" i="6" s="1"/>
  <c r="E287" i="6" s="1"/>
  <c r="E288" i="6" s="1"/>
  <c r="E289" i="6" s="1"/>
  <c r="E290" i="6" s="1"/>
  <c r="E291" i="6" s="1"/>
  <c r="E292" i="6" s="1"/>
  <c r="E293" i="6" s="1"/>
  <c r="E294" i="6" s="1"/>
  <c r="E295" i="6" s="1"/>
  <c r="E296" i="6" s="1"/>
  <c r="E297" i="6" s="1"/>
  <c r="E298" i="6" s="1"/>
  <c r="E299" i="6" s="1"/>
  <c r="E300" i="6" s="1"/>
  <c r="E301" i="6" s="1"/>
  <c r="E302" i="6" s="1"/>
  <c r="E303" i="6" s="1"/>
  <c r="E304" i="6" s="1"/>
  <c r="E305" i="6" s="1"/>
  <c r="E306" i="6" s="1"/>
  <c r="E307" i="6" s="1"/>
  <c r="E308" i="6" s="1"/>
  <c r="E309" i="6" s="1"/>
  <c r="E310" i="6" s="1"/>
  <c r="E311" i="6" s="1"/>
  <c r="E312" i="6" s="1"/>
  <c r="E313" i="6" s="1"/>
  <c r="E314" i="6" s="1"/>
  <c r="E315" i="6" s="1"/>
  <c r="E316" i="6" s="1"/>
  <c r="E317" i="6" s="1"/>
  <c r="E318" i="6" s="1"/>
  <c r="E319" i="6" s="1"/>
  <c r="E320" i="6" s="1"/>
  <c r="E321" i="6" s="1"/>
  <c r="E322" i="6" s="1"/>
  <c r="E323" i="6" s="1"/>
  <c r="E324" i="6" s="1"/>
  <c r="E325" i="6" s="1"/>
  <c r="E326" i="6" s="1"/>
  <c r="E327" i="6" s="1"/>
  <c r="E328" i="6" s="1"/>
  <c r="E329" i="6" s="1"/>
  <c r="E330" i="6" s="1"/>
  <c r="E331" i="6" s="1"/>
  <c r="E332" i="6" s="1"/>
  <c r="E333" i="6" s="1"/>
  <c r="E334" i="6" s="1"/>
  <c r="E335" i="6" s="1"/>
  <c r="E336" i="6" s="1"/>
  <c r="E337" i="6" s="1"/>
  <c r="E338" i="6" s="1"/>
  <c r="E339" i="6" s="1"/>
  <c r="E340" i="6" s="1"/>
  <c r="E341" i="6" s="1"/>
  <c r="E342" i="6" s="1"/>
  <c r="E343" i="6" s="1"/>
  <c r="E344" i="6" s="1"/>
  <c r="E345" i="6" s="1"/>
  <c r="E346" i="6" s="1"/>
  <c r="E347" i="6" s="1"/>
  <c r="E348" i="6" s="1"/>
  <c r="E349" i="6" s="1"/>
  <c r="E350" i="6" s="1"/>
  <c r="E351" i="6" s="1"/>
  <c r="E352" i="6" s="1"/>
  <c r="E353" i="6" s="1"/>
  <c r="E354" i="6" s="1"/>
  <c r="E355" i="6" s="1"/>
  <c r="E356" i="6" s="1"/>
  <c r="E357" i="6" s="1"/>
  <c r="E358" i="6" s="1"/>
  <c r="E359" i="6" s="1"/>
  <c r="E360" i="6" s="1"/>
  <c r="E361" i="6" s="1"/>
  <c r="E362" i="6" s="1"/>
  <c r="E363" i="6" s="1"/>
  <c r="E364" i="6" s="1"/>
  <c r="E365" i="6" s="1"/>
  <c r="E366" i="6" s="1"/>
  <c r="E367" i="6" s="1"/>
  <c r="E368" i="6" s="1"/>
  <c r="E369" i="6" s="1"/>
  <c r="E370" i="6" s="1"/>
  <c r="E371" i="6" s="1"/>
  <c r="E372" i="6" s="1"/>
  <c r="E373" i="6" s="1"/>
  <c r="E374" i="6" s="1"/>
  <c r="E375" i="6" s="1"/>
  <c r="E376" i="6" s="1"/>
  <c r="E377" i="6" s="1"/>
  <c r="E378" i="6" s="1"/>
  <c r="E379" i="6" s="1"/>
  <c r="E380" i="6" s="1"/>
  <c r="E381" i="6" s="1"/>
  <c r="E382" i="6" s="1"/>
  <c r="E383" i="6" s="1"/>
  <c r="E384" i="6" s="1"/>
  <c r="E385" i="6" s="1"/>
  <c r="E386" i="6" s="1"/>
  <c r="E387" i="6" s="1"/>
  <c r="E388" i="6" s="1"/>
  <c r="E389" i="6" s="1"/>
  <c r="E390" i="6" s="1"/>
  <c r="E391" i="6" s="1"/>
  <c r="E392" i="6" s="1"/>
  <c r="E393" i="6" s="1"/>
  <c r="E394" i="6" s="1"/>
  <c r="E395" i="6" s="1"/>
  <c r="E396" i="6" s="1"/>
  <c r="E397" i="6" s="1"/>
  <c r="E398" i="6" s="1"/>
  <c r="E399" i="6" s="1"/>
  <c r="E400" i="6" s="1"/>
  <c r="E401" i="6" s="1"/>
  <c r="E402" i="6" s="1"/>
  <c r="E403" i="6" s="1"/>
  <c r="E404" i="6" s="1"/>
  <c r="E405" i="6" s="1"/>
  <c r="E406" i="6" s="1"/>
  <c r="E407" i="6" s="1"/>
  <c r="E408" i="6" s="1"/>
  <c r="E409" i="6" s="1"/>
  <c r="E410" i="6" s="1"/>
  <c r="E411" i="6" s="1"/>
  <c r="E412" i="6" s="1"/>
  <c r="E413" i="6" s="1"/>
  <c r="E414" i="6" s="1"/>
  <c r="E415" i="6" s="1"/>
  <c r="E416" i="6" s="1"/>
  <c r="E417" i="6" s="1"/>
  <c r="E418" i="6" s="1"/>
  <c r="E419" i="6" s="1"/>
  <c r="E420" i="6" s="1"/>
  <c r="E421" i="6" s="1"/>
  <c r="E422" i="6" s="1"/>
  <c r="E423" i="6" s="1"/>
  <c r="E424" i="6" s="1"/>
  <c r="E425" i="6" s="1"/>
  <c r="E426" i="6" s="1"/>
  <c r="E427" i="6" s="1"/>
  <c r="E428" i="6" s="1"/>
  <c r="E429" i="6" s="1"/>
  <c r="E430" i="6" s="1"/>
  <c r="E431" i="6" s="1"/>
  <c r="E432" i="6" s="1"/>
  <c r="E433" i="6" s="1"/>
  <c r="E434" i="6" s="1"/>
  <c r="E435" i="6" s="1"/>
  <c r="E436" i="6" s="1"/>
  <c r="E437" i="6" s="1"/>
  <c r="E438" i="6" s="1"/>
  <c r="E439" i="6" s="1"/>
  <c r="E440" i="6" s="1"/>
  <c r="E441" i="6" s="1"/>
  <c r="E442" i="6" s="1"/>
  <c r="E443" i="6" s="1"/>
  <c r="E444" i="6" s="1"/>
  <c r="E445" i="6" s="1"/>
  <c r="E446" i="6" s="1"/>
  <c r="E447" i="6" s="1"/>
  <c r="E448" i="6" s="1"/>
  <c r="E449" i="6" s="1"/>
  <c r="E450" i="6" s="1"/>
  <c r="E451" i="6" s="1"/>
  <c r="E452" i="6" s="1"/>
  <c r="E453" i="6" s="1"/>
  <c r="E454" i="6" s="1"/>
  <c r="E455" i="6" s="1"/>
  <c r="E456" i="6" s="1"/>
  <c r="E457" i="6" s="1"/>
  <c r="E458" i="6" s="1"/>
  <c r="E459" i="6" s="1"/>
  <c r="E460" i="6" s="1"/>
  <c r="E461" i="6" s="1"/>
  <c r="E462" i="6" s="1"/>
  <c r="E463" i="6" s="1"/>
  <c r="E464" i="6" s="1"/>
  <c r="E465" i="6" s="1"/>
  <c r="E466" i="6" s="1"/>
  <c r="E467" i="6" s="1"/>
  <c r="E468" i="6" s="1"/>
  <c r="E469" i="6" s="1"/>
  <c r="E470" i="6" s="1"/>
  <c r="E471" i="6" s="1"/>
  <c r="E472" i="6" s="1"/>
  <c r="E473" i="6" s="1"/>
  <c r="E474" i="6" s="1"/>
  <c r="E475" i="6" s="1"/>
  <c r="E476" i="6" s="1"/>
  <c r="E477" i="6" s="1"/>
  <c r="E478" i="6" s="1"/>
  <c r="E479" i="6" s="1"/>
  <c r="E480" i="6" s="1"/>
  <c r="E481" i="6" s="1"/>
  <c r="E482" i="6" s="1"/>
  <c r="E483" i="6" s="1"/>
  <c r="E484" i="6" s="1"/>
  <c r="E485" i="6" s="1"/>
  <c r="E486" i="6" s="1"/>
  <c r="E487" i="6" s="1"/>
  <c r="E488" i="6" s="1"/>
  <c r="E489" i="6" s="1"/>
  <c r="E490" i="6" s="1"/>
  <c r="E491" i="6" s="1"/>
  <c r="E492" i="6" s="1"/>
  <c r="E493" i="6" s="1"/>
  <c r="E494" i="6" s="1"/>
  <c r="E495" i="6" s="1"/>
  <c r="E496" i="6" s="1"/>
  <c r="E497" i="6" s="1"/>
  <c r="E498" i="6" s="1"/>
  <c r="E499" i="6" s="1"/>
  <c r="E500" i="6" s="1"/>
  <c r="E501" i="6" s="1"/>
  <c r="E502" i="6" s="1"/>
  <c r="E503" i="6" s="1"/>
  <c r="E504" i="6" s="1"/>
  <c r="E505" i="6" s="1"/>
  <c r="E506" i="6" s="1"/>
  <c r="E507" i="6" s="1"/>
  <c r="E508" i="6" s="1"/>
  <c r="E509" i="6" s="1"/>
  <c r="E510" i="6" s="1"/>
  <c r="E511" i="6" s="1"/>
  <c r="B430" i="6"/>
  <c r="B411" i="6"/>
  <c r="B394" i="6"/>
  <c r="B344" i="6"/>
  <c r="B327" i="6"/>
  <c r="B310" i="6"/>
  <c r="B260" i="6"/>
  <c r="B243" i="6"/>
  <c r="B224" i="6"/>
  <c r="B435" i="6"/>
  <c r="B416" i="6"/>
  <c r="B366" i="6"/>
  <c r="B347" i="6"/>
  <c r="B330" i="6"/>
  <c r="B280" i="6"/>
  <c r="B263" i="6"/>
  <c r="B246"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153" i="6"/>
  <c r="B157" i="6"/>
  <c r="B161" i="6"/>
  <c r="B165" i="6"/>
  <c r="B169" i="6"/>
  <c r="B173" i="6"/>
  <c r="B177" i="6"/>
  <c r="B181" i="6"/>
  <c r="B185" i="6"/>
  <c r="B189" i="6"/>
  <c r="B193" i="6"/>
  <c r="B197" i="6"/>
  <c r="B201" i="6"/>
  <c r="B205" i="6"/>
  <c r="B209" i="6"/>
  <c r="B213" i="6"/>
  <c r="B156" i="6"/>
  <c r="B159" i="6"/>
  <c r="B162" i="6"/>
  <c r="B172" i="6"/>
  <c r="B175" i="6"/>
  <c r="B178" i="6"/>
  <c r="B188" i="6"/>
  <c r="B191" i="6"/>
  <c r="B194" i="6"/>
  <c r="B204" i="6"/>
  <c r="B207" i="6"/>
  <c r="B210" i="6"/>
  <c r="B217" i="6"/>
  <c r="B221" i="6"/>
  <c r="B225" i="6"/>
  <c r="B229" i="6"/>
  <c r="B233" i="6"/>
  <c r="B237" i="6"/>
  <c r="B241" i="6"/>
  <c r="B245" i="6"/>
  <c r="B249" i="6"/>
  <c r="B253" i="6"/>
  <c r="B257" i="6"/>
  <c r="B261" i="6"/>
  <c r="B265" i="6"/>
  <c r="B269" i="6"/>
  <c r="B273" i="6"/>
  <c r="B277" i="6"/>
  <c r="B281" i="6"/>
  <c r="B285" i="6"/>
  <c r="B289" i="6"/>
  <c r="B293" i="6"/>
  <c r="B297" i="6"/>
  <c r="B301" i="6"/>
  <c r="B305" i="6"/>
  <c r="B309" i="6"/>
  <c r="B313" i="6"/>
  <c r="B317" i="6"/>
  <c r="B321" i="6"/>
  <c r="B325" i="6"/>
  <c r="B329" i="6"/>
  <c r="B333" i="6"/>
  <c r="B337" i="6"/>
  <c r="B341" i="6"/>
  <c r="B345" i="6"/>
  <c r="B349" i="6"/>
  <c r="B353" i="6"/>
  <c r="B357" i="6"/>
  <c r="B361" i="6"/>
  <c r="B365" i="6"/>
  <c r="B369" i="6"/>
  <c r="B373" i="6"/>
  <c r="B377" i="6"/>
  <c r="B381" i="6"/>
  <c r="B385" i="6"/>
  <c r="B389" i="6"/>
  <c r="B393" i="6"/>
  <c r="B397" i="6"/>
  <c r="B401" i="6"/>
  <c r="B405" i="6"/>
  <c r="B409" i="6"/>
  <c r="B413" i="6"/>
  <c r="B417" i="6"/>
  <c r="B421" i="6"/>
  <c r="B425" i="6"/>
  <c r="B429" i="6"/>
  <c r="B433" i="6"/>
  <c r="B437" i="6"/>
  <c r="B158" i="6"/>
  <c r="B163" i="6"/>
  <c r="B166" i="6"/>
  <c r="B180" i="6"/>
  <c r="B183" i="6"/>
  <c r="B186" i="6"/>
  <c r="B200" i="6"/>
  <c r="B203" i="6"/>
  <c r="B208" i="6"/>
  <c r="B220" i="6"/>
  <c r="B223" i="6"/>
  <c r="B226" i="6"/>
  <c r="B236" i="6"/>
  <c r="B239" i="6"/>
  <c r="B242" i="6"/>
  <c r="B252" i="6"/>
  <c r="B255" i="6"/>
  <c r="B258" i="6"/>
  <c r="B268" i="6"/>
  <c r="B271" i="6"/>
  <c r="B274" i="6"/>
  <c r="B284" i="6"/>
  <c r="B287" i="6"/>
  <c r="B290" i="6"/>
  <c r="B300" i="6"/>
  <c r="B303" i="6"/>
  <c r="B306" i="6"/>
  <c r="B316" i="6"/>
  <c r="B319" i="6"/>
  <c r="B322" i="6"/>
  <c r="B332" i="6"/>
  <c r="B335" i="6"/>
  <c r="B338" i="6"/>
  <c r="B348" i="6"/>
  <c r="B351" i="6"/>
  <c r="B354" i="6"/>
  <c r="B364" i="6"/>
  <c r="B367" i="6"/>
  <c r="B370" i="6"/>
  <c r="B380" i="6"/>
  <c r="B383" i="6"/>
  <c r="B386" i="6"/>
  <c r="B396" i="6"/>
  <c r="B399" i="6"/>
  <c r="B402" i="6"/>
  <c r="B412" i="6"/>
  <c r="B415" i="6"/>
  <c r="B418" i="6"/>
  <c r="B428" i="6"/>
  <c r="B431" i="6"/>
  <c r="B434" i="6"/>
  <c r="B441" i="6"/>
  <c r="B155" i="6"/>
  <c r="B160" i="6"/>
  <c r="B174" i="6"/>
  <c r="B179" i="6"/>
  <c r="B182" i="6"/>
  <c r="B196" i="6"/>
  <c r="B199" i="6"/>
  <c r="B442" i="6"/>
  <c r="B439" i="6"/>
  <c r="B436" i="6"/>
  <c r="B422" i="6"/>
  <c r="B419" i="6"/>
  <c r="B414" i="6"/>
  <c r="B400" i="6"/>
  <c r="B395" i="6"/>
  <c r="B392" i="6"/>
  <c r="B378" i="6"/>
  <c r="B375" i="6"/>
  <c r="B372" i="6"/>
  <c r="B358" i="6"/>
  <c r="B355" i="6"/>
  <c r="B350" i="6"/>
  <c r="B336" i="6"/>
  <c r="B331" i="6"/>
  <c r="B328" i="6"/>
  <c r="B314" i="6"/>
  <c r="B311" i="6"/>
  <c r="B308" i="6"/>
  <c r="B294" i="6"/>
  <c r="B291" i="6"/>
  <c r="B286" i="6"/>
  <c r="B272" i="6"/>
  <c r="B267" i="6"/>
  <c r="B264" i="6"/>
  <c r="B250" i="6"/>
  <c r="B247" i="6"/>
  <c r="B244" i="6"/>
  <c r="B230" i="6"/>
  <c r="B227" i="6"/>
  <c r="B222" i="6"/>
  <c r="B206" i="6"/>
  <c r="B192" i="6"/>
  <c r="B187" i="6"/>
  <c r="B176" i="6"/>
  <c r="B152" i="6"/>
  <c r="B440" i="6"/>
  <c r="B426" i="6"/>
  <c r="B423" i="6"/>
  <c r="B420" i="6"/>
  <c r="B406" i="6"/>
  <c r="B403" i="6"/>
  <c r="B398" i="6"/>
  <c r="B384" i="6"/>
  <c r="B379" i="6"/>
  <c r="B376" i="6"/>
  <c r="B362" i="6"/>
  <c r="B359" i="6"/>
  <c r="B356" i="6"/>
  <c r="B342" i="6"/>
  <c r="B339" i="6"/>
  <c r="B334" i="6"/>
  <c r="B320" i="6"/>
  <c r="B315" i="6"/>
  <c r="B312" i="6"/>
  <c r="B298" i="6"/>
  <c r="B295" i="6"/>
  <c r="B292" i="6"/>
  <c r="B278" i="6"/>
  <c r="B275" i="6"/>
  <c r="B270" i="6"/>
  <c r="B256" i="6"/>
  <c r="B251" i="6"/>
  <c r="B248" i="6"/>
  <c r="B234" i="6"/>
  <c r="B231" i="6"/>
  <c r="B228" i="6"/>
  <c r="B214" i="6"/>
  <c r="B211" i="6"/>
  <c r="B202" i="6"/>
  <c r="B195" i="6"/>
  <c r="B190" i="6"/>
  <c r="B164" i="6"/>
  <c r="B432" i="6"/>
  <c r="B427" i="6"/>
  <c r="B424" i="6"/>
  <c r="B410" i="6"/>
  <c r="B407" i="6"/>
  <c r="B404" i="6"/>
  <c r="B390" i="6"/>
  <c r="B387" i="6"/>
  <c r="B382" i="6"/>
  <c r="B368" i="6"/>
  <c r="B363" i="6"/>
  <c r="B360" i="6"/>
  <c r="B346" i="6"/>
  <c r="B343" i="6"/>
  <c r="B340" i="6"/>
  <c r="B326" i="6"/>
  <c r="B323" i="6"/>
  <c r="B318" i="6"/>
  <c r="B304" i="6"/>
  <c r="B299" i="6"/>
  <c r="B296" i="6"/>
  <c r="B282" i="6"/>
  <c r="B279" i="6"/>
  <c r="B276" i="6"/>
  <c r="B262" i="6"/>
  <c r="B259" i="6"/>
  <c r="B254" i="6"/>
  <c r="B240" i="6"/>
  <c r="B235" i="6"/>
  <c r="B232" i="6"/>
  <c r="B218" i="6"/>
  <c r="B215" i="6"/>
  <c r="B212" i="6"/>
  <c r="B198" i="6"/>
  <c r="B170" i="6"/>
  <c r="B167" i="6"/>
  <c r="B154" i="6"/>
  <c r="B113" i="7"/>
  <c r="B112" i="7"/>
  <c r="B111" i="7"/>
  <c r="B108" i="7"/>
  <c r="B107" i="7"/>
  <c r="B92" i="7"/>
  <c r="B91" i="7"/>
  <c r="B90" i="7"/>
  <c r="B88" i="7"/>
  <c r="E75" i="7"/>
  <c r="E76" i="7" s="1"/>
  <c r="B74" i="7"/>
  <c r="B70" i="7"/>
  <c r="B73" i="7" s="1"/>
  <c r="B76" i="7" s="1"/>
  <c r="A50" i="7"/>
  <c r="B47" i="7"/>
  <c r="A53" i="7" s="1"/>
  <c r="A55" i="7" s="1"/>
  <c r="B123" i="6" l="1"/>
  <c r="C123" i="6"/>
  <c r="D123" i="6"/>
  <c r="E123" i="6"/>
  <c r="F123" i="6"/>
  <c r="G123" i="6"/>
  <c r="H123" i="6"/>
  <c r="I123" i="6"/>
  <c r="J123" i="6"/>
  <c r="K123" i="6"/>
  <c r="D125" i="6"/>
  <c r="E125" i="6"/>
  <c r="F125" i="6"/>
  <c r="G125" i="6"/>
  <c r="H125" i="6"/>
  <c r="I125" i="6"/>
  <c r="J125" i="6"/>
  <c r="K125" i="6"/>
  <c r="C125" i="6"/>
  <c r="B125" i="6"/>
  <c r="C124" i="6"/>
  <c r="D124" i="6"/>
  <c r="E124" i="6"/>
  <c r="F124" i="6"/>
  <c r="G124" i="6"/>
  <c r="H124" i="6"/>
  <c r="I124" i="6"/>
  <c r="J124" i="6"/>
  <c r="K124" i="6"/>
  <c r="B124" i="6"/>
  <c r="C122" i="6"/>
  <c r="D122" i="6"/>
  <c r="E122" i="6"/>
  <c r="F122" i="6"/>
  <c r="G122" i="6"/>
  <c r="H122" i="6"/>
  <c r="I122" i="6"/>
  <c r="J122" i="6"/>
  <c r="K122" i="6"/>
  <c r="B122" i="6"/>
  <c r="B121" i="6"/>
  <c r="C121" i="6"/>
  <c r="D121" i="6"/>
  <c r="E121" i="6"/>
  <c r="F121" i="6"/>
  <c r="G121" i="6"/>
  <c r="H121" i="6"/>
  <c r="I121" i="6"/>
  <c r="J121" i="6"/>
  <c r="K121" i="6"/>
  <c r="A110" i="6"/>
  <c r="A106" i="6"/>
  <c r="A104" i="6"/>
  <c r="A100" i="6" l="1"/>
  <c r="A98" i="6"/>
  <c r="A22" i="6"/>
  <c r="A19" i="6"/>
  <c r="A17" i="6"/>
  <c r="A13" i="6"/>
  <c r="A11" i="6"/>
  <c r="D5" i="5" l="1" a="1"/>
  <c r="D5" i="5" s="1"/>
  <c r="D8" i="5"/>
  <c r="E5" i="5"/>
  <c r="E6" i="5"/>
  <c r="E7" i="5"/>
  <c r="E8" i="5"/>
  <c r="E9" i="5"/>
  <c r="C5" i="5"/>
  <c r="C6" i="5"/>
  <c r="C10" i="5" s="1"/>
  <c r="C7" i="5"/>
  <c r="C8" i="5"/>
  <c r="C9" i="5"/>
  <c r="B16" i="5" a="1"/>
  <c r="B16" i="5"/>
  <c r="B15" i="5" a="1"/>
  <c r="B15" i="5"/>
  <c r="D7" i="5" l="1"/>
  <c r="D6" i="5"/>
  <c r="D9" i="5"/>
  <c r="C7" i="3"/>
  <c r="B11" i="3"/>
  <c r="B10" i="3"/>
  <c r="B9" i="3"/>
  <c r="B8" i="3"/>
  <c r="B7" i="3"/>
  <c r="B9" i="1" l="1"/>
  <c r="B6" i="1"/>
  <c r="E5" i="1" s="1"/>
  <c r="B11" i="1" l="1"/>
  <c r="B12" i="1" s="1"/>
  <c r="B13" i="1" s="1"/>
  <c r="F5" i="1" l="1"/>
  <c r="D15" i="1"/>
  <c r="C8" i="3"/>
  <c r="C9" i="3"/>
  <c r="C10" i="3"/>
  <c r="C11" i="3"/>
</calcChain>
</file>

<file path=xl/comments1.xml><?xml version="1.0" encoding="utf-8"?>
<comments xmlns="http://schemas.openxmlformats.org/spreadsheetml/2006/main">
  <authors>
    <author>ThinkPad</author>
  </authors>
  <commentList>
    <comment ref="B12" authorId="0" shapeId="0">
      <text>
        <r>
          <rPr>
            <b/>
            <sz val="9"/>
            <color indexed="81"/>
            <rFont val="宋体"/>
            <family val="3"/>
            <charset val="134"/>
          </rPr>
          <t>ThinkPad:</t>
        </r>
        <r>
          <rPr>
            <sz val="9"/>
            <color indexed="81"/>
            <rFont val="宋体"/>
            <family val="3"/>
            <charset val="134"/>
          </rPr>
          <t xml:space="preserve">
</t>
        </r>
      </text>
    </comment>
  </commentList>
</comments>
</file>

<file path=xl/comments2.xml><?xml version="1.0" encoding="utf-8"?>
<comments xmlns="http://schemas.openxmlformats.org/spreadsheetml/2006/main">
  <authors>
    <author>ThinkPad</author>
  </authors>
  <commentList>
    <comment ref="C3" authorId="0" shapeId="0">
      <text>
        <r>
          <rPr>
            <b/>
            <sz val="9"/>
            <color indexed="81"/>
            <rFont val="宋体"/>
            <family val="3"/>
            <charset val="134"/>
          </rPr>
          <t>ThinkPad:</t>
        </r>
        <r>
          <rPr>
            <sz val="9"/>
            <color indexed="81"/>
            <rFont val="宋体"/>
            <family val="3"/>
            <charset val="134"/>
          </rPr>
          <t xml:space="preserve">
Now suppose the company decides that it wants to contribute 2% of its net income(rather than operating income) to charity.</t>
        </r>
      </text>
    </comment>
  </commentList>
</comments>
</file>

<file path=xl/sharedStrings.xml><?xml version="1.0" encoding="utf-8"?>
<sst xmlns="http://schemas.openxmlformats.org/spreadsheetml/2006/main" count="331" uniqueCount="313">
  <si>
    <t>Data Table Example</t>
    <phoneticPr fontId="1" type="noConversion"/>
  </si>
  <si>
    <t>Number of units sold</t>
    <phoneticPr fontId="1" type="noConversion"/>
  </si>
  <si>
    <t>sales price/unit</t>
    <phoneticPr fontId="1" type="noConversion"/>
  </si>
  <si>
    <t xml:space="preserve"> renenue</t>
    <phoneticPr fontId="1" type="noConversion"/>
  </si>
  <si>
    <t>purchase price/unit</t>
    <phoneticPr fontId="1" type="noConversion"/>
  </si>
  <si>
    <t xml:space="preserve"> cost of goods sold</t>
    <phoneticPr fontId="1" type="noConversion"/>
  </si>
  <si>
    <t>before-tax income</t>
    <phoneticPr fontId="1" type="noConversion"/>
  </si>
  <si>
    <t>income tax(40%)</t>
    <phoneticPr fontId="1" type="noConversion"/>
  </si>
  <si>
    <t xml:space="preserve"> after-tax income</t>
    <phoneticPr fontId="1" type="noConversion"/>
  </si>
  <si>
    <t>one-input data table</t>
    <phoneticPr fontId="1" type="noConversion"/>
  </si>
  <si>
    <t xml:space="preserve"> revenue</t>
    <phoneticPr fontId="1" type="noConversion"/>
  </si>
  <si>
    <t>AT income</t>
    <phoneticPr fontId="1" type="noConversion"/>
  </si>
  <si>
    <t>two-input data table</t>
    <phoneticPr fontId="1" type="noConversion"/>
  </si>
  <si>
    <t>Sales</t>
  </si>
  <si>
    <t>SPrice</t>
  </si>
  <si>
    <t>Revenue</t>
  </si>
  <si>
    <t>ATIncome</t>
  </si>
  <si>
    <t>Pessimistic</t>
  </si>
  <si>
    <t>创建者 ThinkPad 日期 2013/11/6</t>
  </si>
  <si>
    <t>Optimistic</t>
  </si>
  <si>
    <t>方案摘要</t>
  </si>
  <si>
    <t>可变单元格:</t>
  </si>
  <si>
    <t>当前值:</t>
  </si>
  <si>
    <t>结果单元格:</t>
  </si>
  <si>
    <t>注释: “当前值”这一列表示的是在</t>
  </si>
  <si>
    <t>建立方案汇总时，可变单元格的值。</t>
  </si>
  <si>
    <t>每组方案的可变单元格均以灰色底纹突出显示。</t>
  </si>
  <si>
    <t>using circular reference</t>
    <phoneticPr fontId="1" type="noConversion"/>
  </si>
  <si>
    <t>no circular reference</t>
    <phoneticPr fontId="1" type="noConversion"/>
  </si>
  <si>
    <t>with circular reference</t>
    <phoneticPr fontId="1" type="noConversion"/>
  </si>
  <si>
    <t>revenue</t>
    <phoneticPr fontId="1" type="noConversion"/>
  </si>
  <si>
    <t>costs</t>
    <phoneticPr fontId="1" type="noConversion"/>
  </si>
  <si>
    <t xml:space="preserve"> operating income</t>
    <phoneticPr fontId="1" type="noConversion"/>
  </si>
  <si>
    <t>charitable contribution</t>
    <phoneticPr fontId="1" type="noConversion"/>
  </si>
  <si>
    <t xml:space="preserve"> income before tax</t>
    <phoneticPr fontId="1" type="noConversion"/>
  </si>
  <si>
    <t>income tax</t>
    <phoneticPr fontId="1" type="noConversion"/>
  </si>
  <si>
    <t xml:space="preserve"> net income</t>
    <phoneticPr fontId="1" type="noConversion"/>
  </si>
  <si>
    <t>contribute rate</t>
    <phoneticPr fontId="1" type="noConversion"/>
  </si>
  <si>
    <t>tax rate</t>
    <phoneticPr fontId="1" type="noConversion"/>
  </si>
  <si>
    <t>examples of custom number formats</t>
    <phoneticPr fontId="1" type="noConversion"/>
  </si>
  <si>
    <t>to display</t>
    <phoneticPr fontId="1" type="noConversion"/>
  </si>
  <si>
    <t>use this code</t>
    <phoneticPr fontId="1" type="noConversion"/>
  </si>
  <si>
    <t>635 as 00635</t>
    <phoneticPr fontId="1" type="noConversion"/>
  </si>
  <si>
    <t>00000</t>
    <phoneticPr fontId="1" type="noConversion"/>
  </si>
  <si>
    <t>1350.639 as 1350.6</t>
    <phoneticPr fontId="1" type="noConversion"/>
  </si>
  <si>
    <t>#.# or #.0 or ######.#</t>
    <phoneticPr fontId="1" type="noConversion"/>
  </si>
  <si>
    <t>7.5 as 7.500</t>
    <phoneticPr fontId="1" type="noConversion"/>
  </si>
  <si>
    <t>#.000</t>
    <phoneticPr fontId="1" type="noConversion"/>
  </si>
  <si>
    <t>.7 as 0.7</t>
    <phoneticPr fontId="1" type="noConversion"/>
  </si>
  <si>
    <t>0.#</t>
    <phoneticPr fontId="1" type="noConversion"/>
  </si>
  <si>
    <t>14 as 14.0 and 153.758 as 153.76</t>
    <phoneticPr fontId="1" type="noConversion"/>
  </si>
  <si>
    <t>#.0#</t>
    <phoneticPr fontId="1" type="noConversion"/>
  </si>
  <si>
    <t>12000 as 12,000</t>
    <phoneticPr fontId="1" type="noConversion"/>
  </si>
  <si>
    <t>#,###</t>
    <phoneticPr fontId="1" type="noConversion"/>
  </si>
  <si>
    <t>12,000,000 as 12000</t>
    <phoneticPr fontId="1" type="noConversion"/>
  </si>
  <si>
    <t>#,</t>
    <phoneticPr fontId="1" type="noConversion"/>
  </si>
  <si>
    <t>12,000,000 as 12,000</t>
    <phoneticPr fontId="1" type="noConversion"/>
  </si>
  <si>
    <t>#,###,</t>
    <phoneticPr fontId="1" type="noConversion"/>
  </si>
  <si>
    <t>12,000,000 as 12 #,###,,</t>
    <phoneticPr fontId="1" type="noConversion"/>
  </si>
  <si>
    <t>Funding needed is $2.0 million</t>
    <phoneticPr fontId="1" type="noConversion"/>
  </si>
  <si>
    <t>"Funding needed is" $#,###.0,, "million"</t>
    <phoneticPr fontId="1" type="noConversion"/>
  </si>
  <si>
    <t>Example of using array formulas</t>
    <phoneticPr fontId="1" type="noConversion"/>
  </si>
  <si>
    <t>lots purchased</t>
    <phoneticPr fontId="1" type="noConversion"/>
  </si>
  <si>
    <t>price paid</t>
    <phoneticPr fontId="1" type="noConversion"/>
  </si>
  <si>
    <t>cost for lot</t>
    <phoneticPr fontId="1" type="noConversion"/>
  </si>
  <si>
    <t>(regular formulas)</t>
    <phoneticPr fontId="1" type="noConversion"/>
  </si>
  <si>
    <t>(array formula)</t>
    <phoneticPr fontId="1" type="noConversion"/>
  </si>
  <si>
    <t>(using names)</t>
    <phoneticPr fontId="1" type="noConversion"/>
  </si>
  <si>
    <t>total investment</t>
    <phoneticPr fontId="1" type="noConversion"/>
  </si>
  <si>
    <t>shares/lot</t>
    <phoneticPr fontId="1" type="noConversion"/>
  </si>
  <si>
    <t>average cost</t>
    <phoneticPr fontId="1" type="noConversion"/>
  </si>
  <si>
    <t>Ctrl+Shift+Enter</t>
    <phoneticPr fontId="1" type="noConversion"/>
  </si>
  <si>
    <t>Ctrl+Enter</t>
    <phoneticPr fontId="1" type="noConversion"/>
  </si>
  <si>
    <t>Rate is the interest rate per period(month,year,etc.)</t>
    <phoneticPr fontId="1" type="noConversion"/>
  </si>
  <si>
    <t>Nper is the total number of periods(same as total number of payments) for the annity.</t>
    <phoneticPr fontId="1" type="noConversion"/>
  </si>
  <si>
    <t>Pmt is the annuity amount per period</t>
    <phoneticPr fontId="1" type="noConversion"/>
  </si>
  <si>
    <t>Pv is an additional cash flow now(time 0)</t>
    <phoneticPr fontId="1" type="noConversion"/>
  </si>
  <si>
    <t>Fv is an additional cash flow nper periods from now</t>
    <phoneticPr fontId="1" type="noConversion"/>
  </si>
  <si>
    <t>Type is 0 for a regular annuity or annuity in arrears where the first payment occurs one period from now and 1 for an annuity due or annuity in advance where the first payment occurs now</t>
    <phoneticPr fontId="1" type="noConversion"/>
  </si>
  <si>
    <t xml:space="preserve">  ** When you choose type 0, present values anre calculated and the pv argument relates to one period before the first cash flow (that is,now). Futures values are calculated and the fv argument relates to the time of the last annuity cash flow. For type 1, it works the other way around.</t>
    <phoneticPr fontId="1" type="noConversion"/>
  </si>
  <si>
    <t>Example:</t>
    <phoneticPr fontId="1" type="noConversion"/>
  </si>
  <si>
    <t>You are told that to pay off a loan that carries an 8% annuial interest, you have to make 10 equal annual payments of $1,000 each at the end of each year. What is the loan amount?</t>
    <phoneticPr fontId="1" type="noConversion"/>
  </si>
  <si>
    <t>what if the loan involves an additional payment of $2,000 at the end of 10 years?</t>
    <phoneticPr fontId="1" type="noConversion"/>
  </si>
  <si>
    <t>you plan to invest $1,000 every year for 10 years starting a year from now. if you expect to earn a return of 8% per year, how much money will you aacumulate at the end of 10 years?</t>
    <phoneticPr fontId="1" type="noConversion"/>
  </si>
  <si>
    <t>what if you can make an additional investment of $2,000 now?</t>
    <phoneticPr fontId="1" type="noConversion"/>
  </si>
  <si>
    <t>PV</t>
    <phoneticPr fontId="1" type="noConversion"/>
  </si>
  <si>
    <t>FV</t>
    <phoneticPr fontId="1" type="noConversion"/>
  </si>
  <si>
    <t>you have a $10,000 loan at 8% annual interest rate. After you make 10 annual payment of $1,000 starting today, what will be the remaining balance on the loan at the end of 10 years?</t>
    <phoneticPr fontId="1" type="noConversion"/>
  </si>
  <si>
    <t>PMT</t>
    <phoneticPr fontId="1" type="noConversion"/>
  </si>
  <si>
    <t>You have a loan of $10,000 that carries an annual interest rate of 8%. If you want to pay if off in 10 equal annual installments starting a year from now, what will be the annual payment?</t>
    <phoneticPr fontId="1" type="noConversion"/>
  </si>
  <si>
    <t>what if the lender agrees to let you make a final payment of $2,000 at the end of 10 years to reduce your annual payment?</t>
    <phoneticPr fontId="1" type="noConversion"/>
  </si>
  <si>
    <t xml:space="preserve"> </t>
    <phoneticPr fontId="1" type="noConversion"/>
  </si>
  <si>
    <t>NPER</t>
    <phoneticPr fontId="1" type="noConversion"/>
  </si>
  <si>
    <t>You have a loan of $10,000 that carries an annual interest rate of 8%. You can afford to make annual payments of $1000 starting a year from now. Hom manypayments will you have to make to pay off the loan?</t>
    <phoneticPr fontId="1" type="noConversion"/>
  </si>
  <si>
    <t>You can save $500 per year starting  a year from now. if you can earn 8% per year interset on your investment and want to accumulate $10,000, how man years will it take?</t>
    <phoneticPr fontId="1" type="noConversion"/>
  </si>
  <si>
    <t>Example:</t>
    <phoneticPr fontId="1" type="noConversion"/>
  </si>
  <si>
    <t>RATE</t>
    <phoneticPr fontId="1" type="noConversion"/>
  </si>
  <si>
    <t>You have a $10,000 loan that can be paid off with 10 annual payments of $1,200 each if you make the first payment one year from now. what is the interest rate on the loan?</t>
    <phoneticPr fontId="1" type="noConversion"/>
  </si>
  <si>
    <t>IPMT</t>
    <phoneticPr fontId="1" type="noConversion"/>
  </si>
  <si>
    <t>The IPMT function calculates how much of the equal periodic payment you make on a loan in a perticular period will be applied towards interest.</t>
    <phoneticPr fontId="1" type="noConversion"/>
  </si>
  <si>
    <t>The PPMT function calculates how much of the equal periodic payment you make on a loan in a perticular period will be applied towards principal.</t>
    <phoneticPr fontId="1" type="noConversion"/>
  </si>
  <si>
    <t>The CUMIPMT functions calculates the cumulative interest payment you will make on a loan over a number of consecutive periods if you are repaying the loan with equal periodic payments.</t>
    <phoneticPr fontId="1" type="noConversion"/>
  </si>
  <si>
    <t>The CUMPRINC functions calculates the cumulative principal payment you will make on a loan over a number of consecutive periods if you are repaying the loan with equal periodic payments.</t>
    <phoneticPr fontId="1" type="noConversion"/>
  </si>
  <si>
    <t>PPMT</t>
    <phoneticPr fontId="1" type="noConversion"/>
  </si>
  <si>
    <t>CUMIPMT</t>
    <phoneticPr fontId="1" type="noConversion"/>
  </si>
  <si>
    <t>CUMPRINC</t>
    <phoneticPr fontId="1" type="noConversion"/>
  </si>
  <si>
    <t>You have a $10,000 loan at 8% interest that you will pay off in 10 equal installments starting a year from now.</t>
    <phoneticPr fontId="1" type="noConversion"/>
  </si>
  <si>
    <t>Year</t>
    <phoneticPr fontId="1" type="noConversion"/>
  </si>
  <si>
    <t>Interest Payment</t>
    <phoneticPr fontId="1" type="noConversion"/>
  </si>
  <si>
    <t>Principal Payment</t>
    <phoneticPr fontId="1" type="noConversion"/>
  </si>
  <si>
    <t>Loan</t>
    <phoneticPr fontId="1" type="noConversion"/>
  </si>
  <si>
    <t>Interest Rate</t>
    <phoneticPr fontId="1" type="noConversion"/>
  </si>
  <si>
    <t>Type of Payment</t>
    <phoneticPr fontId="1" type="noConversion"/>
  </si>
  <si>
    <t>annuity in arrears</t>
    <phoneticPr fontId="1" type="noConversion"/>
  </si>
  <si>
    <t>annuity due</t>
    <phoneticPr fontId="1" type="noConversion"/>
  </si>
  <si>
    <t xml:space="preserve">  Annual Payment</t>
    <phoneticPr fontId="1" type="noConversion"/>
  </si>
  <si>
    <t>Cummulative Interest</t>
    <phoneticPr fontId="1" type="noConversion"/>
  </si>
  <si>
    <t>Cumulative Principal</t>
    <phoneticPr fontId="1" type="noConversion"/>
  </si>
  <si>
    <t>Period</t>
    <phoneticPr fontId="1" type="noConversion"/>
  </si>
  <si>
    <t>1</t>
  </si>
  <si>
    <t>2</t>
  </si>
  <si>
    <t>3</t>
  </si>
  <si>
    <t>4</t>
  </si>
  <si>
    <t>5</t>
  </si>
  <si>
    <t>6</t>
  </si>
  <si>
    <t>7</t>
  </si>
  <si>
    <t>8</t>
  </si>
  <si>
    <t>9</t>
  </si>
  <si>
    <t>10</t>
  </si>
  <si>
    <t>PRICE(settlement,maturity,rate,yield,redemption,frequency,basis)</t>
    <phoneticPr fontId="1" type="noConversion"/>
  </si>
  <si>
    <t>YIELD(settlement,maturity,rate,pr,redemption,frequency,basis)</t>
    <phoneticPr fontId="1" type="noConversion"/>
  </si>
  <si>
    <t>DURATION(settlement,maturity,coupon,yield,frequency,basis)</t>
    <phoneticPr fontId="1" type="noConversion"/>
  </si>
  <si>
    <t>PRICE</t>
    <phoneticPr fontId="1" type="noConversion"/>
  </si>
  <si>
    <t>Yield to maturity</t>
    <phoneticPr fontId="1" type="noConversion"/>
  </si>
  <si>
    <t>Macauley Duration</t>
    <phoneticPr fontId="1" type="noConversion"/>
  </si>
  <si>
    <t>Modified Duration</t>
    <phoneticPr fontId="1" type="noConversion"/>
  </si>
  <si>
    <t>MDURATION(settlement,maturity,coupon,yield,frequency,basis)</t>
    <phoneticPr fontId="1" type="noConversion"/>
  </si>
  <si>
    <t>Accrued Interest</t>
    <phoneticPr fontId="1" type="noConversion"/>
  </si>
  <si>
    <t>ACCRINT(issue,first_interest,settlement,rate,par,frequency,basis)</t>
    <phoneticPr fontId="1" type="noConversion"/>
  </si>
  <si>
    <t>Accrued Interest on a security that pays interest at maturity</t>
    <phoneticPr fontId="1" type="noConversion"/>
  </si>
  <si>
    <t>ACCRINTM(issue,maturity,rate,par,basis)</t>
    <phoneticPr fontId="1" type="noConversion"/>
  </si>
  <si>
    <t>Time value of money function</t>
    <phoneticPr fontId="1" type="noConversion"/>
  </si>
  <si>
    <t>NPV</t>
    <phoneticPr fontId="1" type="noConversion"/>
  </si>
  <si>
    <t>IRR</t>
    <phoneticPr fontId="1" type="noConversion"/>
  </si>
  <si>
    <t>XNPV</t>
    <phoneticPr fontId="1" type="noConversion"/>
  </si>
  <si>
    <t>XIRR</t>
    <phoneticPr fontId="1" type="noConversion"/>
  </si>
  <si>
    <t>MIRR</t>
    <phoneticPr fontId="1" type="noConversion"/>
  </si>
  <si>
    <t>FVSCHEDULE</t>
    <phoneticPr fontId="1" type="noConversion"/>
  </si>
  <si>
    <t>Bond Function</t>
    <phoneticPr fontId="1" type="noConversion"/>
  </si>
  <si>
    <t>Functions for treasury bills</t>
    <phoneticPr fontId="1" type="noConversion"/>
  </si>
  <si>
    <t>TBILLEQ</t>
    <phoneticPr fontId="1" type="noConversion"/>
  </si>
  <si>
    <t>TBILLPRICE</t>
    <phoneticPr fontId="1" type="noConversion"/>
  </si>
  <si>
    <t>TBILLYIELD</t>
    <phoneticPr fontId="1" type="noConversion"/>
  </si>
  <si>
    <t>Functions for other price and yield calculations</t>
    <phoneticPr fontId="1" type="noConversion"/>
  </si>
  <si>
    <t>oddfprice</t>
    <phoneticPr fontId="1" type="noConversion"/>
  </si>
  <si>
    <t>returns the price per $100 face value of a bond with an odd(short or long) first period.</t>
    <phoneticPr fontId="1" type="noConversion"/>
  </si>
  <si>
    <t>oddfyield</t>
    <phoneticPr fontId="1" type="noConversion"/>
  </si>
  <si>
    <t>returns the yield per $100 face value of a bond with an odd(short or long) first period.</t>
    <phoneticPr fontId="1" type="noConversion"/>
  </si>
  <si>
    <t>oddlprice</t>
    <phoneticPr fontId="1" type="noConversion"/>
  </si>
  <si>
    <t>returns the price per $100 face value of a bond with an odd(short or long) last coupon period.</t>
    <phoneticPr fontId="1" type="noConversion"/>
  </si>
  <si>
    <t>oddlyield</t>
    <phoneticPr fontId="1" type="noConversion"/>
  </si>
  <si>
    <t>returns the yield per $100 face value of a bond with an odd(short or long) last coupon period.</t>
    <phoneticPr fontId="1" type="noConversion"/>
  </si>
  <si>
    <t>pricedisc</t>
    <phoneticPr fontId="1" type="noConversion"/>
  </si>
  <si>
    <t>returns the price per $100 face value of a discounted security.</t>
    <phoneticPr fontId="1" type="noConversion"/>
  </si>
  <si>
    <t>pricemat</t>
    <phoneticPr fontId="1" type="noConversion"/>
  </si>
  <si>
    <t>returns the price per $100 face value of a security that pays interest at maturity.</t>
    <phoneticPr fontId="1" type="noConversion"/>
  </si>
  <si>
    <t>yielddisc</t>
    <phoneticPr fontId="1" type="noConversion"/>
  </si>
  <si>
    <t>yieldmat</t>
    <phoneticPr fontId="1" type="noConversion"/>
  </si>
  <si>
    <t>Functions for coupon dates calculations</t>
    <phoneticPr fontId="1" type="noConversion"/>
  </si>
  <si>
    <t>coupdaybs</t>
    <phoneticPr fontId="1" type="noConversion"/>
  </si>
  <si>
    <t>coupdays</t>
    <phoneticPr fontId="1" type="noConversion"/>
  </si>
  <si>
    <t>returns the number of days between the last coupon payment date before the settlement data and the next coupon payment date.</t>
    <phoneticPr fontId="1" type="noConversion"/>
  </si>
  <si>
    <t>coupdaysnc</t>
    <phoneticPr fontId="1" type="noConversion"/>
  </si>
  <si>
    <t>coupncd</t>
    <phoneticPr fontId="1" type="noConversion"/>
  </si>
  <si>
    <t>returns the number of days from the last coupon payment date to the settlement date [Before Settlement]</t>
    <phoneticPr fontId="1" type="noConversion"/>
  </si>
  <si>
    <t>returns the number of days from  the settlement date to the next coupon date [Next Coupon]</t>
    <phoneticPr fontId="1" type="noConversion"/>
  </si>
  <si>
    <t>returns a number(excel's date seriel number) that represents the next coupon date after the settlement date. [Next Coupon Date]</t>
    <phoneticPr fontId="1" type="noConversion"/>
  </si>
  <si>
    <t>couppcd</t>
    <phoneticPr fontId="1" type="noConversion"/>
  </si>
  <si>
    <t>returns a number(excel's date seriel number) that represents the previous coupon date before the settlement date. [Previous Coupon Date]</t>
    <phoneticPr fontId="1" type="noConversion"/>
  </si>
  <si>
    <t>coupnum</t>
    <phoneticPr fontId="1" type="noConversion"/>
  </si>
  <si>
    <t>returns the number of coupons payable between the settlement date and maturity date, rounded up to the nearest whole coupon.</t>
    <phoneticPr fontId="1" type="noConversion"/>
  </si>
  <si>
    <t>Ex: Bond Valuation on a Coupon Date</t>
    <phoneticPr fontId="1" type="noConversion"/>
  </si>
  <si>
    <t>face value</t>
    <phoneticPr fontId="1" type="noConversion"/>
  </si>
  <si>
    <t>annual coupon rate</t>
    <phoneticPr fontId="1" type="noConversion"/>
  </si>
  <si>
    <t>annual required return</t>
    <phoneticPr fontId="1" type="noConversion"/>
  </si>
  <si>
    <t>years to maturity</t>
    <phoneticPr fontId="1" type="noConversion"/>
  </si>
  <si>
    <t>payment frequency</t>
    <phoneticPr fontId="1" type="noConversion"/>
  </si>
  <si>
    <t>value of bond</t>
    <phoneticPr fontId="1" type="noConversion"/>
  </si>
  <si>
    <t>Ex: Bond valuation between coupon dates</t>
    <phoneticPr fontId="1" type="noConversion"/>
  </si>
  <si>
    <t>It is very easy to find the value of a bond on a coupon payment date. However, calculatiing the value of bond between coupon payment dates is more complex. As we'll see, the reason is that interest does not compound between payment dates. That means that you cannot get the correct answer by entering fractional period(e.g., 5.5) into the PV() function for the NPer argument.</t>
    <phoneticPr fontId="1" type="noConversion"/>
  </si>
  <si>
    <t>Assume that 6 months have passed. That is, today is now the end of period 1. what is the value of the bond at this point?</t>
    <phoneticPr fontId="1" type="noConversion"/>
  </si>
  <si>
    <t xml:space="preserve">There is another way that we might arrive at that period 1 value: </t>
    <phoneticPr fontId="1" type="noConversion"/>
  </si>
  <si>
    <t>1. Interest Accrued: the value of the bond must increasee after each period</t>
    <phoneticPr fontId="1" type="noConversion"/>
  </si>
  <si>
    <t>2. Coupon Received: the total value of your holdings at the end of period 1 minus the coupon received.</t>
    <phoneticPr fontId="1" type="noConversion"/>
  </si>
  <si>
    <t>Process: We wanted to know the value of the bond at some time between coupon dates: we calculate the value as of the previous coupon payment date, and then calculate the future value of that price. Then, we subtracte the amount of accrued interest to get to the quoted price of the bond.</t>
    <phoneticPr fontId="1" type="noConversion"/>
  </si>
  <si>
    <t>What will the value be after 3 months have passed in the current period? Assume that interest rates have not changed.</t>
    <phoneticPr fontId="1" type="noConversion"/>
  </si>
  <si>
    <t>value of bond at time 0</t>
    <phoneticPr fontId="1" type="noConversion"/>
  </si>
  <si>
    <t>fraction of period elapsed</t>
    <phoneticPr fontId="1" type="noConversion"/>
  </si>
  <si>
    <t>bond value between payments dates</t>
    <phoneticPr fontId="1" type="noConversion"/>
  </si>
  <si>
    <t>accrued interest</t>
    <phoneticPr fontId="1" type="noConversion"/>
  </si>
  <si>
    <t>clean(quoted) price</t>
    <phoneticPr fontId="1" type="noConversion"/>
  </si>
  <si>
    <t>redemption value as % of par</t>
    <phoneticPr fontId="1" type="noConversion"/>
  </si>
  <si>
    <t>settlement date</t>
    <phoneticPr fontId="1" type="noConversion"/>
  </si>
  <si>
    <t>maturity date</t>
    <phoneticPr fontId="1" type="noConversion"/>
  </si>
  <si>
    <t>day count basis</t>
    <phoneticPr fontId="1" type="noConversion"/>
  </si>
  <si>
    <t>value of bond as % of par</t>
    <phoneticPr fontId="1" type="noConversion"/>
  </si>
  <si>
    <t>value of bond in dollars</t>
    <phoneticPr fontId="1" type="noConversion"/>
  </si>
  <si>
    <t>Ex: Bond Yield</t>
    <phoneticPr fontId="1" type="noConversion"/>
  </si>
  <si>
    <t>face value</t>
    <phoneticPr fontId="1" type="noConversion"/>
  </si>
  <si>
    <t>annual coupon rate</t>
    <phoneticPr fontId="1" type="noConversion"/>
  </si>
  <si>
    <t>annual required return</t>
    <phoneticPr fontId="1" type="noConversion"/>
  </si>
  <si>
    <t>years to maturity</t>
    <phoneticPr fontId="1" type="noConversion"/>
  </si>
  <si>
    <t>years to call</t>
    <phoneticPr fontId="1" type="noConversion"/>
  </si>
  <si>
    <t>call premium</t>
    <phoneticPr fontId="1" type="noConversion"/>
  </si>
  <si>
    <t>value of bond</t>
    <phoneticPr fontId="1" type="noConversion"/>
  </si>
  <si>
    <t xml:space="preserve">payment frequency </t>
    <phoneticPr fontId="1" type="noConversion"/>
  </si>
  <si>
    <t>current yield</t>
    <phoneticPr fontId="1" type="noConversion"/>
  </si>
  <si>
    <t>current yield is a measure of the income provided by the bond as a percentage of  the current price</t>
    <phoneticPr fontId="1" type="noConversion"/>
  </si>
  <si>
    <t>yield to maturity</t>
    <phoneticPr fontId="1" type="noConversion"/>
  </si>
  <si>
    <t>yield to call</t>
    <phoneticPr fontId="1" type="noConversion"/>
  </si>
  <si>
    <t>Ex: YTM and YTC between coupon payments dates</t>
    <phoneticPr fontId="1" type="noConversion"/>
  </si>
  <si>
    <t>face value</t>
    <phoneticPr fontId="1" type="noConversion"/>
  </si>
  <si>
    <t>redemption value at % of par</t>
    <phoneticPr fontId="1" type="noConversion"/>
  </si>
  <si>
    <t>annual coupon rate</t>
    <phoneticPr fontId="1" type="noConversion"/>
  </si>
  <si>
    <t>annual required return</t>
    <phoneticPr fontId="1" type="noConversion"/>
  </si>
  <si>
    <t>settlement date</t>
    <phoneticPr fontId="1" type="noConversion"/>
  </si>
  <si>
    <t>maturity date</t>
    <phoneticPr fontId="1" type="noConversion"/>
  </si>
  <si>
    <t>call date</t>
    <phoneticPr fontId="1" type="noConversion"/>
  </si>
  <si>
    <t>call premium</t>
    <phoneticPr fontId="1" type="noConversion"/>
  </si>
  <si>
    <t>payment frequency</t>
    <phoneticPr fontId="1" type="noConversion"/>
  </si>
  <si>
    <t>day count basis</t>
    <phoneticPr fontId="1" type="noConversion"/>
  </si>
  <si>
    <t>value of bond as % of par</t>
    <phoneticPr fontId="1" type="noConversion"/>
  </si>
  <si>
    <t>value of bond in dollars</t>
    <phoneticPr fontId="1" type="noConversion"/>
  </si>
  <si>
    <t>bond yield calulations</t>
    <phoneticPr fontId="1" type="noConversion"/>
  </si>
  <si>
    <t>current yield</t>
    <phoneticPr fontId="1" type="noConversion"/>
  </si>
  <si>
    <t>yield to maturity</t>
    <phoneticPr fontId="1" type="noConversion"/>
  </si>
  <si>
    <t xml:space="preserve"> ** yield() function takes annual arguments, and uses the Frequency argument to adjust them automatically. It also returns an anualized answer.</t>
    <phoneticPr fontId="1" type="noConversion"/>
  </si>
  <si>
    <t>Amortization Schedule</t>
    <phoneticPr fontId="1" type="noConversion"/>
  </si>
  <si>
    <t>loan data</t>
    <phoneticPr fontId="1" type="noConversion"/>
  </si>
  <si>
    <t>original principal</t>
    <phoneticPr fontId="1" type="noConversion"/>
  </si>
  <si>
    <t>loan term(years)</t>
    <phoneticPr fontId="1" type="noConversion"/>
  </si>
  <si>
    <t>annual interest rate</t>
    <phoneticPr fontId="1" type="noConversion"/>
  </si>
  <si>
    <t>payments per year</t>
    <phoneticPr fontId="1" type="noConversion"/>
  </si>
  <si>
    <t xml:space="preserve">payments </t>
    <phoneticPr fontId="1" type="noConversion"/>
  </si>
  <si>
    <t>month</t>
    <phoneticPr fontId="1" type="noConversion"/>
  </si>
  <si>
    <t>payment</t>
    <phoneticPr fontId="1" type="noConversion"/>
  </si>
  <si>
    <t>interest</t>
    <phoneticPr fontId="1" type="noConversion"/>
  </si>
  <si>
    <t>principal</t>
    <phoneticPr fontId="1" type="noConversion"/>
  </si>
  <si>
    <t>balance</t>
    <phoneticPr fontId="1" type="noConversion"/>
  </si>
  <si>
    <t>PVIF(Present Value Interest Factor) Table</t>
    <phoneticPr fontId="1" type="noConversion"/>
  </si>
  <si>
    <t>start rate</t>
    <phoneticPr fontId="1" type="noConversion"/>
  </si>
  <si>
    <t>step rate by</t>
    <phoneticPr fontId="1" type="noConversion"/>
  </si>
  <si>
    <t>start period</t>
    <phoneticPr fontId="1" type="noConversion"/>
  </si>
  <si>
    <t>step period by</t>
    <phoneticPr fontId="1" type="noConversion"/>
  </si>
  <si>
    <t>rows</t>
    <phoneticPr fontId="1" type="noConversion"/>
  </si>
  <si>
    <t>columns</t>
    <phoneticPr fontId="1" type="noConversion"/>
  </si>
  <si>
    <t>rate</t>
    <phoneticPr fontId="1" type="noConversion"/>
  </si>
  <si>
    <t>period</t>
    <phoneticPr fontId="1" type="noConversion"/>
  </si>
  <si>
    <t>Present Value of $1 to be Received at the End of N Periods(PVIF)</t>
    <phoneticPr fontId="1" type="noConversion"/>
  </si>
  <si>
    <t>Truncating and rounding numbers</t>
    <phoneticPr fontId="1" type="noConversion"/>
  </si>
  <si>
    <t>round(1,36,1)</t>
    <phoneticPr fontId="1" type="noConversion"/>
  </si>
  <si>
    <t>round(-1.36,1)</t>
    <phoneticPr fontId="1" type="noConversion"/>
  </si>
  <si>
    <t>roundup(1.34,1)</t>
    <phoneticPr fontId="1" type="noConversion"/>
  </si>
  <si>
    <t>roundup(-1.34,1)</t>
    <phoneticPr fontId="1" type="noConversion"/>
  </si>
  <si>
    <t>rounddown(1.38,1)</t>
    <phoneticPr fontId="1" type="noConversion"/>
  </si>
  <si>
    <t>rounddown(-1.38,1)</t>
    <phoneticPr fontId="1" type="noConversion"/>
  </si>
  <si>
    <t>odd(1.4)</t>
    <phoneticPr fontId="1" type="noConversion"/>
  </si>
  <si>
    <t>round a number to the nearest odd integer away from zero</t>
    <phoneticPr fontId="1" type="noConversion"/>
  </si>
  <si>
    <t>odd(-1.4)</t>
    <phoneticPr fontId="1" type="noConversion"/>
  </si>
  <si>
    <t>round a number toward zero to the specified number of digits</t>
    <phoneticPr fontId="1" type="noConversion"/>
  </si>
  <si>
    <t>round a number away from zero to the specified number of digits</t>
    <phoneticPr fontId="1" type="noConversion"/>
  </si>
  <si>
    <t>round a number to the specified number of digits</t>
    <phoneticPr fontId="1" type="noConversion"/>
  </si>
  <si>
    <t>even(2.1)</t>
    <phoneticPr fontId="1" type="noConversion"/>
  </si>
  <si>
    <t>round a number to the nearest even integer away from zero</t>
    <phoneticPr fontId="1" type="noConversion"/>
  </si>
  <si>
    <t>even(-2.1)</t>
    <phoneticPr fontId="1" type="noConversion"/>
  </si>
  <si>
    <t>round a number away from zero to the nearest multiple of significance</t>
    <phoneticPr fontId="1" type="noConversion"/>
  </si>
  <si>
    <t>ceiling(3.41, 0.05)</t>
    <phoneticPr fontId="1" type="noConversion"/>
  </si>
  <si>
    <t>ceiling(2.4, 2)</t>
    <phoneticPr fontId="1" type="noConversion"/>
  </si>
  <si>
    <t>ceiling(-2.4, -2)</t>
    <phoneticPr fontId="1" type="noConversion"/>
  </si>
  <si>
    <t>ceiling(-2.4, 2)</t>
    <phoneticPr fontId="1" type="noConversion"/>
  </si>
  <si>
    <t>round a number toward zero to the nearest multiple of significance</t>
    <phoneticPr fontId="1" type="noConversion"/>
  </si>
  <si>
    <t>floor(2.6,2)</t>
    <phoneticPr fontId="1" type="noConversion"/>
  </si>
  <si>
    <t>floor(-2.6,-2)</t>
    <phoneticPr fontId="1" type="noConversion"/>
  </si>
  <si>
    <t>floor(-2.6,2)</t>
    <phoneticPr fontId="1" type="noConversion"/>
  </si>
  <si>
    <t>int(7.6)</t>
    <phoneticPr fontId="1" type="noConversion"/>
  </si>
  <si>
    <t>round a number down to the nearest integer. Positive numbers are rounded toward zero and negative numbers are rounded away from zero</t>
    <phoneticPr fontId="1" type="noConversion"/>
  </si>
  <si>
    <t>int(-7.4)</t>
    <phoneticPr fontId="1" type="noConversion"/>
  </si>
  <si>
    <t>trunc(7.7)</t>
    <phoneticPr fontId="1" type="noConversion"/>
  </si>
  <si>
    <t>trunc(-7.7)</t>
    <phoneticPr fontId="1" type="noConversion"/>
  </si>
  <si>
    <t>trunc(7.77,1)</t>
    <phoneticPr fontId="1" type="noConversion"/>
  </si>
  <si>
    <t>trunc(-7.77,1)</t>
    <phoneticPr fontId="1" type="noConversion"/>
  </si>
  <si>
    <t>MOD</t>
    <phoneticPr fontId="1" type="noConversion"/>
  </si>
  <si>
    <t>return the remaider after a number is divided by a specified divisor. The result has the same sign as the divisor.</t>
    <phoneticPr fontId="1" type="noConversion"/>
  </si>
  <si>
    <t>mod(7,4)</t>
    <phoneticPr fontId="1" type="noConversion"/>
  </si>
  <si>
    <t>mod(7,-4)</t>
    <phoneticPr fontId="1" type="noConversion"/>
  </si>
  <si>
    <t>mod(-7,4)</t>
    <phoneticPr fontId="1" type="noConversion"/>
  </si>
  <si>
    <t>mod(-7,-4)</t>
    <phoneticPr fontId="1" type="noConversion"/>
  </si>
  <si>
    <t>7=1*4 + 3</t>
    <phoneticPr fontId="1" type="noConversion"/>
  </si>
  <si>
    <t>7=(-2)*(-4) + (-1)</t>
    <phoneticPr fontId="1" type="noConversion"/>
  </si>
  <si>
    <t>7=(-2)*4 + 1</t>
    <phoneticPr fontId="1" type="noConversion"/>
  </si>
  <si>
    <t>-7=1*(-4) + (-3)</t>
    <phoneticPr fontId="1" type="noConversion"/>
  </si>
  <si>
    <t>Tax Table</t>
    <phoneticPr fontId="1" type="noConversion"/>
  </si>
  <si>
    <t>taxable income</t>
    <phoneticPr fontId="1" type="noConversion"/>
  </si>
  <si>
    <t>maginal tax rate</t>
    <phoneticPr fontId="1" type="noConversion"/>
  </si>
  <si>
    <t>base tax amount</t>
    <phoneticPr fontId="1" type="noConversion"/>
  </si>
  <si>
    <t>lookup(29000,a4:a8,b4:b8)</t>
    <phoneticPr fontId="1" type="noConversion"/>
  </si>
  <si>
    <t>lookup(26000,a4:a8,b4:b8)</t>
    <phoneticPr fontId="1" type="noConversion"/>
  </si>
  <si>
    <t>lookup(300000,a4:a8,b4:b8)</t>
    <phoneticPr fontId="1" type="noConversion"/>
  </si>
  <si>
    <t>vlookup(14000,a4:c8,3)</t>
    <phoneticPr fontId="1" type="noConversion"/>
  </si>
  <si>
    <t>vlookup(14000,a4:c8,3,false)</t>
    <phoneticPr fontId="1" type="noConversion"/>
  </si>
  <si>
    <t>match(64000,a4:a8,1)</t>
    <phoneticPr fontId="1" type="noConversion"/>
  </si>
  <si>
    <t>match(63000,a4:a8,1)</t>
    <phoneticPr fontId="1" type="noConversion"/>
  </si>
  <si>
    <t>match(64000,a4:a8,-1)</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</si>
</sst>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8" formatCode="&quot;¥&quot;#,##0.00;[Red]&quot;¥&quot;\-#,##0.00"/>
    <numFmt numFmtId="24" formatCode="\$#,##0_);[Red]\(\$#,##0\)"/>
    <numFmt numFmtId="26" formatCode="\$#,##0.00_);[Red]\(\$#,##0.00\)"/>
    <numFmt numFmtId="176" formatCode=";;"/>
    <numFmt numFmtId="177" formatCode="0.00_);[Red]\(0.00\)"/>
    <numFmt numFmtId="178" formatCode="[$-F800]dddd\,\ mmmm\ dd\,\ yyyy"/>
    <numFmt numFmtId="179" formatCode="0.0000_);[Red]\(0.0000\)"/>
    <numFmt numFmtId="180" formatCode="&quot;¥&quot;#,##0.00_);[Red]\(&quot;¥&quot;#,##0.00\)"/>
    <numFmt numFmtId="181" formatCode="&quot;Period&quot;"/>
    <numFmt numFmtId="182" formatCode="0.00_________)"/>
  </numFmts>
  <fonts count="17" x14ac:knownFonts="1">
    <font>
      <sz val="11"/>
      <color theme="1"/>
      <name val="宋体"/>
      <family val="2"/>
      <charset val="134"/>
      <scheme val="minor"/>
    </font>
    <font>
      <sz val="9"/>
      <name val="宋体"/>
      <family val="2"/>
      <charset val="134"/>
      <scheme val="minor"/>
    </font>
    <font>
      <i/>
      <u/>
      <sz val="11"/>
      <color theme="1"/>
      <name val="宋体"/>
      <family val="3"/>
      <charset val="134"/>
      <scheme val="minor"/>
    </font>
    <font>
      <sz val="9"/>
      <color indexed="81"/>
      <name val="宋体"/>
      <family val="3"/>
      <charset val="134"/>
    </font>
    <font>
      <b/>
      <sz val="9"/>
      <color indexed="81"/>
      <name val="宋体"/>
      <family val="3"/>
      <charset val="134"/>
    </font>
    <font>
      <b/>
      <sz val="11"/>
      <color indexed="9"/>
      <name val="宋体"/>
      <family val="2"/>
      <charset val="134"/>
      <scheme val="minor"/>
    </font>
    <font>
      <b/>
      <sz val="11"/>
      <color indexed="9"/>
      <name val="宋体"/>
      <family val="3"/>
      <charset val="134"/>
      <scheme val="minor"/>
    </font>
    <font>
      <b/>
      <sz val="11"/>
      <color indexed="8"/>
      <name val="宋体"/>
      <family val="2"/>
      <charset val="134"/>
      <scheme val="minor"/>
    </font>
    <font>
      <b/>
      <sz val="11"/>
      <color indexed="18"/>
      <name val="宋体"/>
      <family val="2"/>
      <charset val="134"/>
      <scheme val="minor"/>
    </font>
    <font>
      <b/>
      <sz val="11"/>
      <color indexed="18"/>
      <name val="宋体"/>
      <family val="3"/>
      <charset val="134"/>
      <scheme val="minor"/>
    </font>
    <font>
      <sz val="11"/>
      <color indexed="9"/>
      <name val="宋体"/>
      <family val="2"/>
      <charset val="134"/>
      <scheme val="minor"/>
    </font>
    <font>
      <sz val="10"/>
      <color theme="1"/>
      <name val="宋体"/>
      <family val="3"/>
      <charset val="134"/>
      <scheme val="minor"/>
    </font>
    <font>
      <b/>
      <sz val="11"/>
      <color theme="1"/>
      <name val="宋体"/>
      <family val="3"/>
      <charset val="134"/>
      <scheme val="minor"/>
    </font>
    <font>
      <i/>
      <sz val="11"/>
      <color theme="1"/>
      <name val="宋体"/>
      <family val="3"/>
      <charset val="134"/>
      <scheme val="minor"/>
    </font>
    <font>
      <sz val="11"/>
      <color theme="1"/>
      <name val="宋体"/>
      <family val="3"/>
      <charset val="134"/>
      <scheme val="minor"/>
    </font>
    <font>
      <b/>
      <sz val="18"/>
      <color theme="1"/>
      <name val="宋体"/>
      <family val="3"/>
      <charset val="134"/>
      <scheme val="minor"/>
    </font>
    <font>
      <b/>
      <sz val="11"/>
      <color rgb="FF00B050"/>
      <name val="宋体"/>
      <family val="3"/>
      <charset val="134"/>
      <scheme val="minor"/>
    </font>
  </fonts>
  <fills count="7">
    <fill>
      <patternFill patternType="none"/>
    </fill>
    <fill>
      <patternFill patternType="gray125"/>
    </fill>
    <fill>
      <patternFill patternType="solid">
        <fgColor theme="2"/>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
      <patternFill patternType="solid">
        <fgColor rgb="FFFFFF00"/>
        <bgColor indexed="64"/>
      </patternFill>
    </fill>
  </fills>
  <borders count="7">
    <border>
      <left/>
      <right/>
      <top/>
      <bottom/>
      <diagonal/>
    </border>
    <border>
      <left/>
      <right/>
      <top/>
      <bottom style="thin">
        <color indexed="64"/>
      </bottom>
      <diagonal/>
    </border>
    <border>
      <left/>
      <right/>
      <top/>
      <bottom style="medium">
        <color indexed="64"/>
      </bottom>
      <diagonal/>
    </border>
    <border>
      <left/>
      <right style="thin">
        <color indexed="64"/>
      </right>
      <top/>
      <bottom/>
      <diagonal/>
    </border>
    <border>
      <left/>
      <right style="thin">
        <color indexed="64"/>
      </right>
      <top/>
      <bottom style="medium">
        <color indexed="64"/>
      </bottom>
      <diagonal/>
    </border>
    <border>
      <left/>
      <right/>
      <top style="medium">
        <color indexed="64"/>
      </top>
      <bottom/>
      <diagonal/>
    </border>
    <border>
      <left/>
      <right/>
      <top style="thin">
        <color indexed="64"/>
      </top>
      <bottom style="thin">
        <color indexed="64"/>
      </bottom>
      <diagonal/>
    </border>
  </borders>
  <cellStyleXfs count="1">
    <xf numFmtId="0" fontId="0" fillId="0" borderId="0">
      <alignment vertical="center"/>
    </xf>
  </cellStyleXfs>
  <cellXfs count="69">
    <xf numFmtId="0" fontId="0" fillId="0" borderId="0" xfId="0">
      <alignment vertical="center"/>
    </xf>
    <xf numFmtId="0" fontId="2" fillId="0" borderId="0" xfId="0" applyFont="1">
      <alignment vertical="center"/>
    </xf>
    <xf numFmtId="24" fontId="0" fillId="0" borderId="0" xfId="0" applyNumberFormat="1">
      <alignment vertical="center"/>
    </xf>
    <xf numFmtId="0" fontId="0" fillId="2" borderId="0" xfId="0" applyFill="1">
      <alignment vertical="center"/>
    </xf>
    <xf numFmtId="24" fontId="0" fillId="2" borderId="0" xfId="0" applyNumberFormat="1" applyFill="1">
      <alignment vertical="center"/>
    </xf>
    <xf numFmtId="0" fontId="0" fillId="0" borderId="2" xfId="0" applyBorder="1" applyAlignment="1">
      <alignment horizontal="left" vertical="center" indent="1"/>
    </xf>
    <xf numFmtId="0" fontId="0" fillId="0" borderId="3" xfId="0" applyBorder="1">
      <alignment vertical="center"/>
    </xf>
    <xf numFmtId="176" fontId="0" fillId="0" borderId="2" xfId="0" applyNumberFormat="1" applyBorder="1">
      <alignment vertical="center"/>
    </xf>
    <xf numFmtId="0" fontId="0" fillId="0" borderId="4" xfId="0" applyBorder="1">
      <alignment vertical="center"/>
    </xf>
    <xf numFmtId="176" fontId="0" fillId="0" borderId="4" xfId="0" applyNumberFormat="1" applyBorder="1" applyAlignment="1">
      <alignment horizontal="left" vertical="center" indent="1"/>
    </xf>
    <xf numFmtId="0" fontId="0" fillId="0" borderId="0" xfId="0" applyFill="1" applyBorder="1" applyAlignment="1">
      <alignment vertical="center"/>
    </xf>
    <xf numFmtId="24" fontId="0" fillId="0" borderId="0" xfId="0" applyNumberFormat="1" applyFill="1" applyBorder="1" applyAlignment="1">
      <alignment vertical="center"/>
    </xf>
    <xf numFmtId="24" fontId="0" fillId="0" borderId="2" xfId="0" applyNumberFormat="1" applyFill="1" applyBorder="1" applyAlignment="1">
      <alignment vertical="center"/>
    </xf>
    <xf numFmtId="0" fontId="6" fillId="3" borderId="1" xfId="0" applyFont="1" applyFill="1" applyBorder="1" applyAlignment="1">
      <alignment horizontal="left" vertical="center"/>
    </xf>
    <xf numFmtId="0" fontId="5" fillId="3" borderId="5" xfId="0" applyFont="1" applyFill="1" applyBorder="1" applyAlignment="1">
      <alignment horizontal="left" vertical="center"/>
    </xf>
    <xf numFmtId="0" fontId="6" fillId="3" borderId="5" xfId="0" applyFont="1" applyFill="1" applyBorder="1" applyAlignment="1">
      <alignment horizontal="left" vertical="center"/>
    </xf>
    <xf numFmtId="0" fontId="0" fillId="0" borderId="6" xfId="0" applyFill="1" applyBorder="1" applyAlignment="1">
      <alignment vertical="center"/>
    </xf>
    <xf numFmtId="0" fontId="7" fillId="4" borderId="0" xfId="0" applyFont="1" applyFill="1" applyBorder="1" applyAlignment="1">
      <alignment horizontal="left" vertical="center"/>
    </xf>
    <xf numFmtId="0" fontId="8" fillId="4" borderId="6" xfId="0" applyFont="1" applyFill="1" applyBorder="1" applyAlignment="1">
      <alignment horizontal="left" vertical="center"/>
    </xf>
    <xf numFmtId="0" fontId="9" fillId="4" borderId="6" xfId="0" applyFont="1" applyFill="1" applyBorder="1" applyAlignment="1">
      <alignment horizontal="left" vertical="center"/>
    </xf>
    <xf numFmtId="0" fontId="7" fillId="4" borderId="2" xfId="0" applyFont="1" applyFill="1" applyBorder="1" applyAlignment="1">
      <alignment horizontal="left" vertical="center"/>
    </xf>
    <xf numFmtId="0" fontId="10" fillId="3" borderId="5" xfId="0" applyFont="1" applyFill="1" applyBorder="1" applyAlignment="1">
      <alignment horizontal="right" vertical="center"/>
    </xf>
    <xf numFmtId="0" fontId="10" fillId="3" borderId="1" xfId="0" applyFont="1" applyFill="1" applyBorder="1" applyAlignment="1">
      <alignment horizontal="right" vertical="center"/>
    </xf>
    <xf numFmtId="0" fontId="0" fillId="5" borderId="0" xfId="0" applyFill="1" applyBorder="1" applyAlignment="1">
      <alignment vertical="center"/>
    </xf>
    <xf numFmtId="24" fontId="0" fillId="5" borderId="0" xfId="0" applyNumberFormat="1" applyFill="1" applyBorder="1" applyAlignment="1">
      <alignment vertical="center"/>
    </xf>
    <xf numFmtId="0" fontId="11" fillId="0" borderId="0" xfId="0" applyFont="1" applyFill="1" applyBorder="1" applyAlignment="1">
      <alignment vertical="top" wrapText="1"/>
    </xf>
    <xf numFmtId="3" fontId="0" fillId="0" borderId="0" xfId="0" applyNumberFormat="1">
      <alignment vertical="center"/>
    </xf>
    <xf numFmtId="9" fontId="0" fillId="0" borderId="0" xfId="0" applyNumberFormat="1">
      <alignment vertical="center"/>
    </xf>
    <xf numFmtId="26" fontId="0" fillId="0" borderId="0" xfId="0" applyNumberFormat="1">
      <alignment vertical="center"/>
    </xf>
    <xf numFmtId="0" fontId="0" fillId="0" borderId="0" xfId="0" applyNumberFormat="1">
      <alignment vertical="center"/>
    </xf>
    <xf numFmtId="0" fontId="0" fillId="0" borderId="0" xfId="0" quotePrefix="1" applyNumberFormat="1">
      <alignment vertical="center"/>
    </xf>
    <xf numFmtId="0" fontId="0" fillId="0" borderId="0" xfId="0" applyBorder="1">
      <alignment vertical="center"/>
    </xf>
    <xf numFmtId="24" fontId="0" fillId="0" borderId="0" xfId="0" applyNumberFormat="1" applyBorder="1">
      <alignment vertical="center"/>
    </xf>
    <xf numFmtId="0" fontId="0" fillId="0" borderId="0" xfId="0" applyNumberFormat="1" applyBorder="1">
      <alignment vertical="center"/>
    </xf>
    <xf numFmtId="0" fontId="12" fillId="0" borderId="0" xfId="0" applyFont="1" applyBorder="1">
      <alignment vertical="center"/>
    </xf>
    <xf numFmtId="0" fontId="12" fillId="0" borderId="0" xfId="0" applyFont="1">
      <alignment vertical="center"/>
    </xf>
    <xf numFmtId="0" fontId="0" fillId="0" borderId="0" xfId="0" applyFill="1" applyBorder="1">
      <alignment vertical="center"/>
    </xf>
    <xf numFmtId="0" fontId="12" fillId="0" borderId="0" xfId="0" applyFont="1" applyFill="1" applyBorder="1">
      <alignment vertical="center"/>
    </xf>
    <xf numFmtId="8" fontId="0" fillId="0" borderId="0" xfId="0" applyNumberFormat="1" applyFill="1" applyBorder="1">
      <alignment vertical="center"/>
    </xf>
    <xf numFmtId="8" fontId="12" fillId="0" borderId="0" xfId="0" applyNumberFormat="1" applyFont="1" applyFill="1" applyBorder="1">
      <alignment vertical="center"/>
    </xf>
    <xf numFmtId="9" fontId="0" fillId="0" borderId="0" xfId="0" applyNumberFormat="1" applyFill="1" applyBorder="1">
      <alignment vertical="center"/>
    </xf>
    <xf numFmtId="24" fontId="0" fillId="0" borderId="0" xfId="0" applyNumberFormat="1" applyFill="1" applyBorder="1">
      <alignment vertical="center"/>
    </xf>
    <xf numFmtId="177" fontId="0" fillId="0" borderId="0" xfId="0" applyNumberFormat="1" applyFill="1" applyBorder="1">
      <alignment vertical="center"/>
    </xf>
    <xf numFmtId="10" fontId="0" fillId="0" borderId="0" xfId="0" applyNumberFormat="1" applyFill="1" applyBorder="1">
      <alignment vertical="center"/>
    </xf>
    <xf numFmtId="0" fontId="13" fillId="0" borderId="0" xfId="0" applyFont="1" applyFill="1" applyBorder="1">
      <alignment vertical="center"/>
    </xf>
    <xf numFmtId="26" fontId="0" fillId="0" borderId="0" xfId="0" applyNumberFormat="1" applyFill="1" applyBorder="1">
      <alignment vertical="center"/>
    </xf>
    <xf numFmtId="178" fontId="0" fillId="0" borderId="0" xfId="0" applyNumberFormat="1" applyFill="1" applyBorder="1">
      <alignment vertical="center"/>
    </xf>
    <xf numFmtId="0" fontId="14" fillId="0" borderId="0" xfId="0" applyFont="1">
      <alignment vertical="center"/>
    </xf>
    <xf numFmtId="9" fontId="14" fillId="0" borderId="0" xfId="0" applyNumberFormat="1" applyFont="1">
      <alignment vertical="center"/>
    </xf>
    <xf numFmtId="10" fontId="14" fillId="0" borderId="0" xfId="0" applyNumberFormat="1" applyFont="1">
      <alignment vertical="center"/>
    </xf>
    <xf numFmtId="14" fontId="14" fillId="0" borderId="0" xfId="0" applyNumberFormat="1" applyFont="1">
      <alignment vertical="center"/>
    </xf>
    <xf numFmtId="0" fontId="14" fillId="0" borderId="0" xfId="0" applyNumberFormat="1" applyFont="1">
      <alignment vertical="center"/>
    </xf>
    <xf numFmtId="179" fontId="14" fillId="0" borderId="0" xfId="0" applyNumberFormat="1" applyFont="1">
      <alignment vertical="center"/>
    </xf>
    <xf numFmtId="0" fontId="12" fillId="2" borderId="6" xfId="0" applyFont="1" applyFill="1" applyBorder="1" applyAlignment="1">
      <alignment horizontal="center" vertical="center"/>
    </xf>
    <xf numFmtId="180" fontId="0" fillId="0" borderId="0" xfId="0" applyNumberFormat="1" applyFill="1" applyBorder="1">
      <alignment vertical="center"/>
    </xf>
    <xf numFmtId="181" fontId="0" fillId="0" borderId="0" xfId="0" applyNumberFormat="1" applyFill="1" applyBorder="1">
      <alignment vertical="center"/>
    </xf>
    <xf numFmtId="182" fontId="0" fillId="0" borderId="0" xfId="0" applyNumberFormat="1" applyFill="1" applyBorder="1">
      <alignment vertical="center"/>
    </xf>
    <xf numFmtId="0" fontId="0" fillId="0" borderId="0" xfId="0" quotePrefix="1">
      <alignment vertical="center"/>
    </xf>
    <xf numFmtId="0" fontId="16" fillId="2" borderId="1" xfId="0" applyFont="1" applyFill="1" applyBorder="1">
      <alignment vertical="center"/>
    </xf>
    <xf numFmtId="9" fontId="14" fillId="0" borderId="1" xfId="0" applyNumberFormat="1" applyFont="1" applyBorder="1">
      <alignment vertical="center"/>
    </xf>
    <xf numFmtId="180" fontId="0" fillId="0" borderId="0" xfId="0" applyNumberFormat="1">
      <alignment vertical="center"/>
    </xf>
    <xf numFmtId="180" fontId="14" fillId="0" borderId="1" xfId="0" applyNumberFormat="1" applyFont="1" applyBorder="1">
      <alignment vertical="center"/>
    </xf>
    <xf numFmtId="0" fontId="15" fillId="6" borderId="1" xfId="0" applyFont="1" applyFill="1" applyBorder="1" applyAlignment="1">
      <alignment horizontal="center" vertical="center"/>
    </xf>
    <xf numFmtId="0" fontId="12" fillId="0" borderId="0" xfId="0" applyFont="1" applyFill="1" applyBorder="1" applyAlignment="1">
      <alignment horizontal="center" vertical="center"/>
    </xf>
    <xf numFmtId="8" fontId="12" fillId="6" borderId="0" xfId="0" applyNumberFormat="1" applyFont="1" applyFill="1" applyBorder="1" applyAlignment="1">
      <alignment horizontal="center" vertical="center"/>
    </xf>
    <xf numFmtId="0" fontId="14" fillId="0" borderId="2" xfId="0" applyFont="1" applyBorder="1" applyAlignment="1">
      <alignment horizontal="center" vertical="center"/>
    </xf>
    <xf numFmtId="0" fontId="12" fillId="6" borderId="0" xfId="0" applyFont="1" applyFill="1" applyAlignment="1">
      <alignment horizontal="center" vertical="center"/>
    </xf>
    <xf numFmtId="18" fontId="0" fillId="0" borderId="0" xfId="0" applyNumberFormat="1">
      <alignment vertical="center"/>
    </xf>
    <xf numFmtId="22" fontId="0" fillId="0" borderId="0" xfId="0" applyNumberFormat="1">
      <alignment vertical="center"/>
    </xf>
  </cellXfs>
  <cellStyles count="1">
    <cellStyle name="常规" xfId="0" builtinId="0"/>
  </cellStyles>
  <dxfs count="22">
    <dxf>
      <numFmt numFmtId="12" formatCode="&quot;¥&quot;#,##0.00;[Red]&quot;¥&quot;\-#,##0.00"/>
      <fill>
        <patternFill patternType="none">
          <fgColor indexed="64"/>
          <bgColor auto="1"/>
        </patternFill>
      </fill>
    </dxf>
    <dxf>
      <numFmt numFmtId="12" formatCode="&quot;¥&quot;#,##0.00;[Red]&quot;¥&quot;\-#,##0.00"/>
      <fill>
        <patternFill patternType="none">
          <fgColor indexed="64"/>
          <bgColor auto="1"/>
        </patternFill>
      </fill>
    </dxf>
    <dxf>
      <numFmt numFmtId="12" formatCode="&quot;¥&quot;#,##0.00;[Red]&quot;¥&quot;\-#,##0.00"/>
      <fill>
        <patternFill patternType="none">
          <fgColor indexed="64"/>
          <bgColor auto="1"/>
        </patternFill>
      </fill>
    </dxf>
    <dxf>
      <numFmt numFmtId="12" formatCode="&quot;¥&quot;#,##0.00;[Red]&quot;¥&quot;\-#,##0.00"/>
      <fill>
        <patternFill patternType="none">
          <fgColor indexed="64"/>
          <bgColor auto="1"/>
        </patternFill>
      </fill>
    </dxf>
    <dxf>
      <numFmt numFmtId="12" formatCode="&quot;¥&quot;#,##0.00;[Red]&quot;¥&quot;\-#,##0.00"/>
      <fill>
        <patternFill patternType="none">
          <fgColor indexed="64"/>
          <bgColor auto="1"/>
        </patternFill>
      </fill>
    </dxf>
    <dxf>
      <numFmt numFmtId="12" formatCode="&quot;¥&quot;#,##0.00;[Red]&quot;¥&quot;\-#,##0.00"/>
      <fill>
        <patternFill patternType="none">
          <fgColor indexed="64"/>
          <bgColor auto="1"/>
        </patternFill>
      </fill>
    </dxf>
    <dxf>
      <numFmt numFmtId="12" formatCode="&quot;¥&quot;#,##0.00;[Red]&quot;¥&quot;\-#,##0.00"/>
      <fill>
        <patternFill patternType="none">
          <fgColor indexed="64"/>
          <bgColor auto="1"/>
        </patternFill>
      </fill>
    </dxf>
    <dxf>
      <numFmt numFmtId="12" formatCode="&quot;¥&quot;#,##0.00;[Red]&quot;¥&quot;\-#,##0.00"/>
      <fill>
        <patternFill patternType="none">
          <fgColor indexed="64"/>
          <bgColor auto="1"/>
        </patternFill>
      </fill>
    </dxf>
    <dxf>
      <numFmt numFmtId="12" formatCode="&quot;¥&quot;#,##0.00;[Red]&quot;¥&quot;\-#,##0.00"/>
      <fill>
        <patternFill patternType="none">
          <fgColor indexed="64"/>
          <bgColor auto="1"/>
        </patternFill>
      </fill>
    </dxf>
    <dxf>
      <numFmt numFmtId="12" formatCode="&quot;¥&quot;#,##0.00;[Red]&quot;¥&quot;\-#,##0.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bottom style="thin">
          <color auto="1"/>
        </bottom>
        <vertical/>
        <horizontal/>
      </border>
    </dxf>
    <dxf>
      <font>
        <color theme="0"/>
      </font>
    </dxf>
    <dxf>
      <font>
        <color theme="0"/>
      </font>
    </dxf>
    <dxf>
      <font>
        <b/>
        <i val="0"/>
        <color rgb="FF00B050"/>
      </font>
      <fill>
        <patternFill>
          <bgColor theme="2"/>
        </patternFill>
      </fill>
      <border>
        <right style="thin">
          <color auto="1"/>
        </right>
        <vertical/>
        <horizontal/>
      </border>
    </dxf>
    <dxf>
      <font>
        <b/>
        <i val="0"/>
        <color rgb="FF00B050"/>
      </font>
      <border>
        <right style="thin">
          <color auto="1"/>
        </right>
        <vertical/>
        <horizontal/>
      </border>
    </dxf>
    <dxf>
      <font>
        <b/>
        <i val="0"/>
        <color rgb="FF00B0F0"/>
      </font>
      <fill>
        <patternFill>
          <bgColor theme="0" tint="-4.9989318521683403E-2"/>
        </patternFill>
      </fill>
      <border>
        <bottom style="thin">
          <color auto="1"/>
        </bottom>
        <vertical/>
        <horizontal/>
      </border>
    </dxf>
    <dxf>
      <fill>
        <patternFill>
          <bgColor theme="2"/>
        </patternFill>
      </fill>
    </dxf>
    <dxf>
      <font>
        <color theme="0"/>
      </font>
    </dxf>
    <dxf>
      <border>
        <bottom style="thin">
          <color auto="1"/>
        </bottom>
        <vertical/>
        <horizontal/>
      </border>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ables/table1.xml><?xml version="1.0" encoding="utf-8"?>
<table xmlns="http://schemas.openxmlformats.org/spreadsheetml/2006/main" id="4" name="表4" displayName="表4" ref="A120:K125" totalsRowShown="0" headerRowDxfId="12" dataDxfId="11">
  <autoFilter ref="A120:K1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name="Year" dataDxfId="10"/>
    <tableColumn id="3" name="1" dataDxfId="9"/>
    <tableColumn id="4" name="2" dataDxfId="8"/>
    <tableColumn id="5" name="3" dataDxfId="7"/>
    <tableColumn id="6" name="4" dataDxfId="6"/>
    <tableColumn id="7" name="5" dataDxfId="5"/>
    <tableColumn id="8" name="6" dataDxfId="4"/>
    <tableColumn id="9" name="7" dataDxfId="3"/>
    <tableColumn id="10" name="8" dataDxfId="2"/>
    <tableColumn id="11" name="9" dataDxfId="1"/>
    <tableColumn id="12" name="10" dataDxfId="0"/>
  </tableColumns>
  <tableStyleInfo name="TableStyleLight8" showFirstColumn="0" showLastColumn="0" showRowStripes="1" showColumnStripes="1"/>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summaryBelow="0"/>
  </sheetPr>
  <dimension ref="B1:F13"/>
  <sheetViews>
    <sheetView showGridLines="0" topLeftCell="A2" workbookViewId="0">
      <selection activeCell="F10" sqref="F10"/>
    </sheetView>
  </sheetViews>
  <sheetFormatPr defaultRowHeight="13.5" outlineLevelRow="1" outlineLevelCol="1" x14ac:dyDescent="0.15"/>
  <cols>
    <col min="3" max="3" width="10.75" bestFit="1" customWidth="1"/>
    <col min="4" max="6" width="12.75" customWidth="1" outlineLevel="1"/>
  </cols>
  <sheetData>
    <row r="1" spans="2:6" ht="14.25" thickBot="1" x14ac:dyDescent="0.2"/>
    <row r="2" spans="2:6" x14ac:dyDescent="0.15">
      <c r="B2" s="14" t="s">
        <v>20</v>
      </c>
      <c r="C2" s="15"/>
      <c r="D2" s="21"/>
      <c r="E2" s="21"/>
      <c r="F2" s="21"/>
    </row>
    <row r="3" spans="2:6" collapsed="1" x14ac:dyDescent="0.15">
      <c r="B3" s="13"/>
      <c r="C3" s="13"/>
      <c r="D3" s="22" t="s">
        <v>22</v>
      </c>
      <c r="E3" s="22" t="s">
        <v>17</v>
      </c>
      <c r="F3" s="22" t="s">
        <v>19</v>
      </c>
    </row>
    <row r="4" spans="2:6" ht="36" hidden="1" outlineLevel="1" x14ac:dyDescent="0.15">
      <c r="B4" s="17"/>
      <c r="C4" s="17"/>
      <c r="D4" s="10"/>
      <c r="E4" s="25" t="s">
        <v>18</v>
      </c>
      <c r="F4" s="25" t="s">
        <v>18</v>
      </c>
    </row>
    <row r="5" spans="2:6" x14ac:dyDescent="0.15">
      <c r="B5" s="18" t="s">
        <v>21</v>
      </c>
      <c r="C5" s="19"/>
      <c r="D5" s="16"/>
      <c r="E5" s="16"/>
      <c r="F5" s="16"/>
    </row>
    <row r="6" spans="2:6" outlineLevel="1" x14ac:dyDescent="0.15">
      <c r="B6" s="17"/>
      <c r="C6" s="17" t="s">
        <v>13</v>
      </c>
      <c r="D6" s="10">
        <v>100</v>
      </c>
      <c r="E6" s="23">
        <v>50</v>
      </c>
      <c r="F6" s="23">
        <v>125</v>
      </c>
    </row>
    <row r="7" spans="2:6" outlineLevel="1" x14ac:dyDescent="0.15">
      <c r="B7" s="17"/>
      <c r="C7" s="17" t="s">
        <v>14</v>
      </c>
      <c r="D7" s="11">
        <v>12</v>
      </c>
      <c r="E7" s="24">
        <v>11</v>
      </c>
      <c r="F7" s="24">
        <v>13</v>
      </c>
    </row>
    <row r="8" spans="2:6" x14ac:dyDescent="0.15">
      <c r="B8" s="18" t="s">
        <v>23</v>
      </c>
      <c r="C8" s="19"/>
      <c r="D8" s="16"/>
      <c r="E8" s="16"/>
      <c r="F8" s="16"/>
    </row>
    <row r="9" spans="2:6" outlineLevel="1" x14ac:dyDescent="0.15">
      <c r="B9" s="17"/>
      <c r="C9" s="17" t="s">
        <v>15</v>
      </c>
      <c r="D9" s="11">
        <v>1200</v>
      </c>
      <c r="E9" s="11">
        <v>550</v>
      </c>
      <c r="F9" s="11">
        <v>1625</v>
      </c>
    </row>
    <row r="10" spans="2:6" ht="14.25" outlineLevel="1" thickBot="1" x14ac:dyDescent="0.2">
      <c r="B10" s="20"/>
      <c r="C10" s="20" t="s">
        <v>16</v>
      </c>
      <c r="D10" s="12">
        <v>120</v>
      </c>
      <c r="E10" s="12">
        <v>30</v>
      </c>
      <c r="F10" s="12">
        <v>225</v>
      </c>
    </row>
    <row r="11" spans="2:6" x14ac:dyDescent="0.15">
      <c r="B11" t="s">
        <v>24</v>
      </c>
    </row>
    <row r="12" spans="2:6" x14ac:dyDescent="0.15">
      <c r="B12" t="s">
        <v>25</v>
      </c>
    </row>
    <row r="13" spans="2:6" x14ac:dyDescent="0.15">
      <c r="B13" t="s">
        <v>26</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25"/>
  <sheetViews>
    <sheetView workbookViewId="0">
      <selection activeCell="H4" sqref="H4"/>
    </sheetView>
  </sheetViews>
  <sheetFormatPr defaultRowHeight="13.5" x14ac:dyDescent="0.15"/>
  <cols>
    <col min="1" max="1" width="23" customWidth="1"/>
    <col min="4" max="4" width="9.875" bestFit="1" customWidth="1"/>
    <col min="5" max="10" width="9.125" bestFit="1" customWidth="1"/>
  </cols>
  <sheetData>
    <row r="1" spans="1:10" x14ac:dyDescent="0.15">
      <c r="A1" t="s">
        <v>0</v>
      </c>
    </row>
    <row r="3" spans="1:10" x14ac:dyDescent="0.15">
      <c r="A3" t="s">
        <v>1</v>
      </c>
      <c r="B3" s="3">
        <v>100</v>
      </c>
      <c r="E3" t="s">
        <v>9</v>
      </c>
    </row>
    <row r="4" spans="1:10" x14ac:dyDescent="0.15">
      <c r="E4" t="s">
        <v>10</v>
      </c>
      <c r="F4" t="s">
        <v>11</v>
      </c>
    </row>
    <row r="5" spans="1:10" ht="14.25" thickBot="1" x14ac:dyDescent="0.2">
      <c r="A5" t="s">
        <v>2</v>
      </c>
      <c r="B5" s="4">
        <v>12</v>
      </c>
      <c r="D5" s="8"/>
      <c r="E5" s="7">
        <f>B6</f>
        <v>1200</v>
      </c>
      <c r="F5" s="7">
        <f>B13</f>
        <v>120</v>
      </c>
      <c r="H5" s="1"/>
    </row>
    <row r="6" spans="1:10" x14ac:dyDescent="0.15">
      <c r="A6" t="s">
        <v>3</v>
      </c>
      <c r="B6" s="2">
        <f>B3*B5</f>
        <v>1200</v>
      </c>
      <c r="D6" s="6">
        <v>50</v>
      </c>
      <c r="E6">
        <f t="dataTable" ref="E6:F11" dt2D="0" dtr="0" r1="B3" ca="1"/>
        <v>600</v>
      </c>
      <c r="F6">
        <v>60</v>
      </c>
    </row>
    <row r="7" spans="1:10" x14ac:dyDescent="0.15">
      <c r="D7" s="6">
        <v>100</v>
      </c>
      <c r="E7">
        <v>1200</v>
      </c>
      <c r="F7">
        <v>120</v>
      </c>
    </row>
    <row r="8" spans="1:10" x14ac:dyDescent="0.15">
      <c r="A8" t="s">
        <v>4</v>
      </c>
      <c r="B8" s="4">
        <v>10</v>
      </c>
      <c r="D8" s="6">
        <v>150</v>
      </c>
      <c r="E8">
        <v>1800</v>
      </c>
      <c r="F8">
        <v>180</v>
      </c>
    </row>
    <row r="9" spans="1:10" x14ac:dyDescent="0.15">
      <c r="A9" t="s">
        <v>5</v>
      </c>
      <c r="B9" s="2">
        <f>B3*B8</f>
        <v>1000</v>
      </c>
      <c r="D9" s="6">
        <v>200</v>
      </c>
      <c r="E9">
        <v>2400</v>
      </c>
      <c r="F9">
        <v>240</v>
      </c>
    </row>
    <row r="10" spans="1:10" x14ac:dyDescent="0.15">
      <c r="D10" s="6">
        <v>250</v>
      </c>
      <c r="E10">
        <v>3000</v>
      </c>
      <c r="F10">
        <v>300</v>
      </c>
    </row>
    <row r="11" spans="1:10" x14ac:dyDescent="0.15">
      <c r="A11" t="s">
        <v>6</v>
      </c>
      <c r="B11" s="2">
        <f>B6-B9</f>
        <v>200</v>
      </c>
      <c r="D11" s="6">
        <v>300</v>
      </c>
      <c r="E11">
        <v>3600</v>
      </c>
      <c r="F11">
        <v>360</v>
      </c>
    </row>
    <row r="12" spans="1:10" x14ac:dyDescent="0.15">
      <c r="A12" t="s">
        <v>7</v>
      </c>
      <c r="B12" s="2">
        <f>B11*40%</f>
        <v>80</v>
      </c>
    </row>
    <row r="13" spans="1:10" x14ac:dyDescent="0.15">
      <c r="A13" t="s">
        <v>8</v>
      </c>
      <c r="B13" s="2">
        <f>B11-B12</f>
        <v>120</v>
      </c>
    </row>
    <row r="14" spans="1:10" x14ac:dyDescent="0.15">
      <c r="E14" t="s">
        <v>12</v>
      </c>
    </row>
    <row r="15" spans="1:10" ht="14.25" thickBot="1" x14ac:dyDescent="0.2">
      <c r="D15" s="9">
        <f>B13</f>
        <v>120</v>
      </c>
      <c r="E15" s="5">
        <v>10</v>
      </c>
      <c r="F15" s="5">
        <v>11</v>
      </c>
      <c r="G15" s="5">
        <v>12</v>
      </c>
      <c r="H15" s="5">
        <v>13</v>
      </c>
      <c r="I15" s="5">
        <v>14</v>
      </c>
      <c r="J15" s="5">
        <v>15</v>
      </c>
    </row>
    <row r="16" spans="1:10" x14ac:dyDescent="0.15">
      <c r="D16" s="6">
        <v>50</v>
      </c>
      <c r="E16">
        <f t="dataTable" ref="E16:J25" dt2D="1" dtr="1" r1="B5" r2="B3"/>
        <v>0</v>
      </c>
      <c r="F16">
        <v>30</v>
      </c>
      <c r="G16">
        <v>60</v>
      </c>
      <c r="H16">
        <v>90</v>
      </c>
      <c r="I16">
        <v>120</v>
      </c>
      <c r="J16">
        <v>150</v>
      </c>
    </row>
    <row r="17" spans="4:10" x14ac:dyDescent="0.15">
      <c r="D17" s="6">
        <v>100</v>
      </c>
      <c r="E17">
        <v>0</v>
      </c>
      <c r="F17">
        <v>60</v>
      </c>
      <c r="G17">
        <v>120</v>
      </c>
      <c r="H17">
        <v>180</v>
      </c>
      <c r="I17">
        <v>240</v>
      </c>
      <c r="J17">
        <v>300</v>
      </c>
    </row>
    <row r="18" spans="4:10" x14ac:dyDescent="0.15">
      <c r="D18" s="6">
        <v>150</v>
      </c>
      <c r="E18">
        <v>0</v>
      </c>
      <c r="F18">
        <v>90</v>
      </c>
      <c r="G18">
        <v>180</v>
      </c>
      <c r="H18">
        <v>270</v>
      </c>
      <c r="I18">
        <v>360</v>
      </c>
      <c r="J18">
        <v>450</v>
      </c>
    </row>
    <row r="19" spans="4:10" x14ac:dyDescent="0.15">
      <c r="D19" s="6">
        <v>200</v>
      </c>
      <c r="E19">
        <v>0</v>
      </c>
      <c r="F19">
        <v>120</v>
      </c>
      <c r="G19">
        <v>240</v>
      </c>
      <c r="H19">
        <v>360</v>
      </c>
      <c r="I19">
        <v>480</v>
      </c>
      <c r="J19">
        <v>600</v>
      </c>
    </row>
    <row r="20" spans="4:10" x14ac:dyDescent="0.15">
      <c r="D20" s="6">
        <v>250</v>
      </c>
      <c r="E20">
        <v>0</v>
      </c>
      <c r="F20">
        <v>150</v>
      </c>
      <c r="G20">
        <v>300</v>
      </c>
      <c r="H20">
        <v>450</v>
      </c>
      <c r="I20">
        <v>600</v>
      </c>
      <c r="J20">
        <v>750</v>
      </c>
    </row>
    <row r="21" spans="4:10" x14ac:dyDescent="0.15">
      <c r="D21" s="6">
        <v>300</v>
      </c>
      <c r="E21">
        <v>0</v>
      </c>
      <c r="F21">
        <v>180</v>
      </c>
      <c r="G21">
        <v>360</v>
      </c>
      <c r="H21">
        <v>540</v>
      </c>
      <c r="I21">
        <v>720</v>
      </c>
      <c r="J21">
        <v>900</v>
      </c>
    </row>
    <row r="22" spans="4:10" x14ac:dyDescent="0.15">
      <c r="D22" s="6">
        <v>350</v>
      </c>
      <c r="E22">
        <v>0</v>
      </c>
      <c r="F22">
        <v>210</v>
      </c>
      <c r="G22">
        <v>420</v>
      </c>
      <c r="H22">
        <v>630</v>
      </c>
      <c r="I22">
        <v>840</v>
      </c>
      <c r="J22">
        <v>1050</v>
      </c>
    </row>
    <row r="23" spans="4:10" x14ac:dyDescent="0.15">
      <c r="D23" s="6">
        <v>400</v>
      </c>
      <c r="E23">
        <v>0</v>
      </c>
      <c r="F23">
        <v>240</v>
      </c>
      <c r="G23">
        <v>480</v>
      </c>
      <c r="H23">
        <v>720</v>
      </c>
      <c r="I23">
        <v>960</v>
      </c>
      <c r="J23">
        <v>1200</v>
      </c>
    </row>
    <row r="24" spans="4:10" x14ac:dyDescent="0.15">
      <c r="D24" s="6">
        <v>450</v>
      </c>
      <c r="E24">
        <v>0</v>
      </c>
      <c r="F24">
        <v>270</v>
      </c>
      <c r="G24">
        <v>540</v>
      </c>
      <c r="H24">
        <v>810</v>
      </c>
      <c r="I24">
        <v>1080</v>
      </c>
      <c r="J24">
        <v>1350</v>
      </c>
    </row>
    <row r="25" spans="4:10" x14ac:dyDescent="0.15">
      <c r="D25" s="6">
        <v>500</v>
      </c>
      <c r="E25">
        <v>0</v>
      </c>
      <c r="F25">
        <v>300</v>
      </c>
      <c r="G25">
        <v>600</v>
      </c>
      <c r="H25">
        <v>900</v>
      </c>
      <c r="I25">
        <v>1200</v>
      </c>
      <c r="J25">
        <v>1500</v>
      </c>
    </row>
  </sheetData>
  <scenarios current="1" sqref="B6 B13">
    <scenario name="Pessimistic" locked="1" count="2" user="ThinkPad" comment="创建者 ThinkPad 日期 2013/11/6">
      <inputCells r="B3" val="50"/>
      <inputCells r="B5" val="11" numFmtId="24"/>
    </scenario>
    <scenario name="Optimistic" locked="1" count="2" user="ThinkPad" comment="创建者 ThinkPad 日期 2013/11/6">
      <inputCells r="B3" val="125"/>
      <inputCells r="B5" val="13" numFmtId="24"/>
    </scenario>
  </scenarios>
  <phoneticPr fontId="1"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14"/>
  <sheetViews>
    <sheetView workbookViewId="0">
      <selection activeCell="C5" sqref="C5"/>
    </sheetView>
  </sheetViews>
  <sheetFormatPr defaultRowHeight="13.5" x14ac:dyDescent="0.15"/>
  <cols>
    <col min="1" max="3" width="23.75" customWidth="1"/>
  </cols>
  <sheetData>
    <row r="1" spans="1:3" x14ac:dyDescent="0.15">
      <c r="A1" t="s">
        <v>27</v>
      </c>
    </row>
    <row r="3" spans="1:3" x14ac:dyDescent="0.15">
      <c r="B3" t="s">
        <v>28</v>
      </c>
      <c r="C3" t="s">
        <v>29</v>
      </c>
    </row>
    <row r="5" spans="1:3" x14ac:dyDescent="0.15">
      <c r="A5" t="s">
        <v>30</v>
      </c>
      <c r="B5" s="2">
        <v>100000</v>
      </c>
      <c r="C5" s="2">
        <v>100001</v>
      </c>
    </row>
    <row r="6" spans="1:3" x14ac:dyDescent="0.15">
      <c r="A6" t="s">
        <v>31</v>
      </c>
      <c r="B6" s="26">
        <v>70000</v>
      </c>
      <c r="C6" s="26">
        <v>70001</v>
      </c>
    </row>
    <row r="7" spans="1:3" x14ac:dyDescent="0.15">
      <c r="A7" t="s">
        <v>32</v>
      </c>
      <c r="B7" s="2">
        <f>B5-B6</f>
        <v>30000</v>
      </c>
      <c r="C7" s="2">
        <f>C5-C6</f>
        <v>30000</v>
      </c>
    </row>
    <row r="8" spans="1:3" x14ac:dyDescent="0.15">
      <c r="A8" t="s">
        <v>33</v>
      </c>
      <c r="B8" s="2">
        <f>B7*B13</f>
        <v>600</v>
      </c>
      <c r="C8" s="2">
        <f ca="1">C11*C13</f>
        <v>355.73122529644263</v>
      </c>
    </row>
    <row r="9" spans="1:3" x14ac:dyDescent="0.15">
      <c r="A9" t="s">
        <v>34</v>
      </c>
      <c r="B9" s="2">
        <f>B7-B8</f>
        <v>29400</v>
      </c>
      <c r="C9" s="2">
        <f ca="1">C7-C8</f>
        <v>29644.268774703556</v>
      </c>
    </row>
    <row r="10" spans="1:3" x14ac:dyDescent="0.15">
      <c r="A10" t="s">
        <v>35</v>
      </c>
      <c r="B10" s="2">
        <f>B9*B14</f>
        <v>11760</v>
      </c>
      <c r="C10" s="28">
        <f ca="1">C9*C14</f>
        <v>11857.707509881424</v>
      </c>
    </row>
    <row r="11" spans="1:3" x14ac:dyDescent="0.15">
      <c r="A11" t="s">
        <v>36</v>
      </c>
      <c r="B11" s="2">
        <f>B9-B10</f>
        <v>17640</v>
      </c>
      <c r="C11" s="2">
        <f ca="1">C9-C10</f>
        <v>17786.561264822132</v>
      </c>
    </row>
    <row r="13" spans="1:3" x14ac:dyDescent="0.15">
      <c r="A13" t="s">
        <v>37</v>
      </c>
      <c r="B13" s="27">
        <v>0.02</v>
      </c>
      <c r="C13" s="27">
        <v>0.02</v>
      </c>
    </row>
    <row r="14" spans="1:3" x14ac:dyDescent="0.15">
      <c r="A14" t="s">
        <v>38</v>
      </c>
      <c r="B14" s="27">
        <v>0.4</v>
      </c>
      <c r="C14" s="27">
        <v>0.4</v>
      </c>
    </row>
  </sheetData>
  <phoneticPr fontId="1" type="noConversion"/>
  <pageMargins left="0.7" right="0.7" top="0.75" bottom="0.75" header="0.3" footer="0.3"/>
  <pageSetup paperSize="9" orientation="portrait" r:id="rId1"/>
  <ignoredErrors>
    <ignoredError sqref="C8"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4"/>
  <sheetViews>
    <sheetView workbookViewId="0">
      <selection activeCell="A6" sqref="A6"/>
    </sheetView>
  </sheetViews>
  <sheetFormatPr defaultRowHeight="13.5" x14ac:dyDescent="0.15"/>
  <cols>
    <col min="1" max="1" width="35" style="29" customWidth="1"/>
    <col min="2" max="2" width="43.125" style="29" customWidth="1"/>
  </cols>
  <sheetData>
    <row r="1" spans="1:2" x14ac:dyDescent="0.15">
      <c r="A1" s="29" t="s">
        <v>39</v>
      </c>
    </row>
    <row r="3" spans="1:2" x14ac:dyDescent="0.15">
      <c r="A3" s="29" t="s">
        <v>40</v>
      </c>
      <c r="B3" s="29" t="s">
        <v>41</v>
      </c>
    </row>
    <row r="5" spans="1:2" x14ac:dyDescent="0.15">
      <c r="A5" s="29" t="s">
        <v>42</v>
      </c>
      <c r="B5" s="30" t="s">
        <v>43</v>
      </c>
    </row>
    <row r="6" spans="1:2" x14ac:dyDescent="0.15">
      <c r="A6" s="29" t="s">
        <v>44</v>
      </c>
      <c r="B6" s="29" t="s">
        <v>45</v>
      </c>
    </row>
    <row r="7" spans="1:2" x14ac:dyDescent="0.15">
      <c r="A7" s="29" t="s">
        <v>46</v>
      </c>
      <c r="B7" s="29" t="s">
        <v>47</v>
      </c>
    </row>
    <row r="8" spans="1:2" x14ac:dyDescent="0.15">
      <c r="A8" s="29" t="s">
        <v>48</v>
      </c>
      <c r="B8" s="29" t="s">
        <v>49</v>
      </c>
    </row>
    <row r="9" spans="1:2" x14ac:dyDescent="0.15">
      <c r="A9" s="29" t="s">
        <v>50</v>
      </c>
      <c r="B9" s="29" t="s">
        <v>51</v>
      </c>
    </row>
    <row r="10" spans="1:2" x14ac:dyDescent="0.15">
      <c r="A10" s="29" t="s">
        <v>52</v>
      </c>
      <c r="B10" s="29" t="s">
        <v>53</v>
      </c>
    </row>
    <row r="11" spans="1:2" x14ac:dyDescent="0.15">
      <c r="A11" s="29" t="s">
        <v>54</v>
      </c>
      <c r="B11" s="29" t="s">
        <v>55</v>
      </c>
    </row>
    <row r="12" spans="1:2" x14ac:dyDescent="0.15">
      <c r="A12" s="29" t="s">
        <v>56</v>
      </c>
      <c r="B12" s="29" t="s">
        <v>57</v>
      </c>
    </row>
    <row r="13" spans="1:2" x14ac:dyDescent="0.15">
      <c r="A13" s="29" t="s">
        <v>58</v>
      </c>
    </row>
    <row r="14" spans="1:2" x14ac:dyDescent="0.15">
      <c r="A14" s="29" t="s">
        <v>59</v>
      </c>
      <c r="B14" s="29" t="s">
        <v>60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6"/>
  <sheetViews>
    <sheetView workbookViewId="0">
      <selection activeCell="D15" sqref="D15"/>
    </sheetView>
  </sheetViews>
  <sheetFormatPr defaultRowHeight="13.5" x14ac:dyDescent="0.15"/>
  <cols>
    <col min="1" max="2" width="25.625" customWidth="1"/>
    <col min="3" max="3" width="18.5" customWidth="1"/>
    <col min="4" max="4" width="16.625" customWidth="1"/>
    <col min="5" max="5" width="19" customWidth="1"/>
  </cols>
  <sheetData>
    <row r="1" spans="1:5" x14ac:dyDescent="0.15">
      <c r="A1" s="31" t="s">
        <v>61</v>
      </c>
      <c r="B1" s="31"/>
      <c r="C1" s="31"/>
      <c r="D1" s="31"/>
      <c r="E1" s="31"/>
    </row>
    <row r="2" spans="1:5" x14ac:dyDescent="0.15">
      <c r="A2" s="31"/>
      <c r="B2" s="31"/>
      <c r="C2" s="31"/>
      <c r="D2" s="31"/>
      <c r="E2" s="31"/>
    </row>
    <row r="3" spans="1:5" x14ac:dyDescent="0.15">
      <c r="A3" s="31" t="s">
        <v>62</v>
      </c>
      <c r="B3" s="31" t="s">
        <v>63</v>
      </c>
      <c r="C3" s="31" t="s">
        <v>64</v>
      </c>
      <c r="D3" s="31" t="s">
        <v>64</v>
      </c>
      <c r="E3" s="31" t="s">
        <v>64</v>
      </c>
    </row>
    <row r="4" spans="1:5" x14ac:dyDescent="0.15">
      <c r="A4" s="31"/>
      <c r="B4" s="31"/>
      <c r="C4" s="31" t="s">
        <v>65</v>
      </c>
      <c r="D4" s="31" t="s">
        <v>66</v>
      </c>
      <c r="E4" s="31" t="s">
        <v>67</v>
      </c>
    </row>
    <row r="5" spans="1:5" x14ac:dyDescent="0.15">
      <c r="A5" s="31">
        <v>5</v>
      </c>
      <c r="B5" s="32">
        <v>40</v>
      </c>
      <c r="C5" s="32">
        <f t="shared" ref="C5:C9" si="0">A5*B5*$B$13</f>
        <v>20000</v>
      </c>
      <c r="D5" s="33">
        <f t="array" ref="D5:D9">A5:B9*B5:B9*$B$13</f>
        <v>20000</v>
      </c>
      <c r="E5" s="31">
        <f>qty*stkPrice*$B$13</f>
        <v>20000</v>
      </c>
    </row>
    <row r="6" spans="1:5" x14ac:dyDescent="0.15">
      <c r="A6" s="31">
        <v>10</v>
      </c>
      <c r="B6" s="32">
        <v>35</v>
      </c>
      <c r="C6" s="32">
        <f t="shared" si="0"/>
        <v>35000</v>
      </c>
      <c r="D6" s="33">
        <v>35000</v>
      </c>
      <c r="E6" s="31">
        <f>qty*stkPrice*$B$13</f>
        <v>35000</v>
      </c>
    </row>
    <row r="7" spans="1:5" x14ac:dyDescent="0.15">
      <c r="A7" s="31">
        <v>3</v>
      </c>
      <c r="B7" s="32">
        <v>43</v>
      </c>
      <c r="C7" s="32">
        <f t="shared" si="0"/>
        <v>12900</v>
      </c>
      <c r="D7" s="33">
        <v>12900</v>
      </c>
      <c r="E7" s="31">
        <f>qty*stkPrice*$B$13</f>
        <v>12900</v>
      </c>
    </row>
    <row r="8" spans="1:5" x14ac:dyDescent="0.15">
      <c r="A8" s="31">
        <v>20</v>
      </c>
      <c r="B8" s="32">
        <v>42</v>
      </c>
      <c r="C8" s="32">
        <f t="shared" si="0"/>
        <v>84000</v>
      </c>
      <c r="D8" s="33">
        <v>84000</v>
      </c>
      <c r="E8" s="31">
        <f>qty*stkPrice*$B$13</f>
        <v>84000</v>
      </c>
    </row>
    <row r="9" spans="1:5" x14ac:dyDescent="0.15">
      <c r="A9" s="31">
        <v>5</v>
      </c>
      <c r="B9" s="32">
        <v>32</v>
      </c>
      <c r="C9" s="32">
        <f t="shared" si="0"/>
        <v>16000</v>
      </c>
      <c r="D9" s="33">
        <v>16000</v>
      </c>
      <c r="E9" s="31">
        <f>qty*stkPrice*$B$13</f>
        <v>16000</v>
      </c>
    </row>
    <row r="10" spans="1:5" x14ac:dyDescent="0.15">
      <c r="A10" s="31" t="s">
        <v>68</v>
      </c>
      <c r="B10" s="31"/>
      <c r="C10" s="32">
        <f>SUM(C5:C9)</f>
        <v>167900</v>
      </c>
      <c r="D10" s="31"/>
      <c r="E10" s="31"/>
    </row>
    <row r="11" spans="1:5" x14ac:dyDescent="0.15">
      <c r="A11" s="31"/>
      <c r="B11" s="31"/>
      <c r="C11" s="31"/>
      <c r="D11" s="31"/>
      <c r="E11" s="31"/>
    </row>
    <row r="12" spans="1:5" x14ac:dyDescent="0.15">
      <c r="A12" s="31"/>
      <c r="B12" s="31"/>
      <c r="C12" s="31"/>
      <c r="D12" s="31"/>
      <c r="E12" s="31"/>
    </row>
    <row r="13" spans="1:5" x14ac:dyDescent="0.15">
      <c r="A13" s="31" t="s">
        <v>69</v>
      </c>
      <c r="B13" s="31">
        <v>100</v>
      </c>
      <c r="C13" s="31"/>
      <c r="D13" s="31"/>
      <c r="E13" s="31"/>
    </row>
    <row r="14" spans="1:5" x14ac:dyDescent="0.15">
      <c r="A14" s="31"/>
      <c r="B14" s="31"/>
      <c r="C14" s="31"/>
      <c r="D14" s="34" t="s">
        <v>71</v>
      </c>
      <c r="E14" s="31"/>
    </row>
    <row r="15" spans="1:5" x14ac:dyDescent="0.15">
      <c r="A15" s="31" t="s">
        <v>68</v>
      </c>
      <c r="B15" s="31">
        <f t="array" ref="B15">SUM(qty*stkPrice*$B$13)</f>
        <v>167900</v>
      </c>
      <c r="C15" s="31"/>
      <c r="D15" s="34" t="s">
        <v>72</v>
      </c>
      <c r="E15" s="31"/>
    </row>
    <row r="16" spans="1:5" x14ac:dyDescent="0.15">
      <c r="A16" s="31" t="s">
        <v>70</v>
      </c>
      <c r="B16" s="31">
        <f t="array" ref="B16">SUM(A5:A9*B5:B9)/SUM(A5:A9)</f>
        <v>39.046511627906973</v>
      </c>
      <c r="C16" s="31"/>
      <c r="D16" s="31"/>
      <c r="E16" s="31"/>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L511"/>
  <sheetViews>
    <sheetView topLeftCell="A65" workbookViewId="0">
      <selection activeCell="D48" sqref="D48"/>
    </sheetView>
  </sheetViews>
  <sheetFormatPr defaultRowHeight="13.5" x14ac:dyDescent="0.15"/>
  <cols>
    <col min="1" max="1" width="23.125" style="36" customWidth="1"/>
    <col min="2" max="12" width="16.125" style="36" customWidth="1"/>
    <col min="13" max="16384" width="9" style="36"/>
  </cols>
  <sheetData>
    <row r="1" spans="1:2" x14ac:dyDescent="0.15">
      <c r="A1" s="36" t="s">
        <v>73</v>
      </c>
    </row>
    <row r="2" spans="1:2" x14ac:dyDescent="0.15">
      <c r="A2" s="36" t="s">
        <v>74</v>
      </c>
    </row>
    <row r="3" spans="1:2" x14ac:dyDescent="0.15">
      <c r="A3" s="36" t="s">
        <v>75</v>
      </c>
    </row>
    <row r="4" spans="1:2" x14ac:dyDescent="0.15">
      <c r="A4" s="36" t="s">
        <v>76</v>
      </c>
    </row>
    <row r="5" spans="1:2" x14ac:dyDescent="0.15">
      <c r="A5" s="36" t="s">
        <v>77</v>
      </c>
    </row>
    <row r="6" spans="1:2" x14ac:dyDescent="0.15">
      <c r="A6" s="36" t="s">
        <v>78</v>
      </c>
    </row>
    <row r="7" spans="1:2" x14ac:dyDescent="0.15">
      <c r="A7" s="36" t="s">
        <v>79</v>
      </c>
    </row>
    <row r="9" spans="1:2" s="37" customFormat="1" x14ac:dyDescent="0.15">
      <c r="A9" s="37" t="s">
        <v>80</v>
      </c>
      <c r="B9" s="37" t="s">
        <v>85</v>
      </c>
    </row>
    <row r="10" spans="1:2" x14ac:dyDescent="0.15">
      <c r="A10" s="36" t="s">
        <v>81</v>
      </c>
    </row>
    <row r="11" spans="1:2" x14ac:dyDescent="0.15">
      <c r="A11" s="38">
        <f>PV(8%,10,-1000)</f>
        <v>6710.0813989414464</v>
      </c>
    </row>
    <row r="12" spans="1:2" x14ac:dyDescent="0.15">
      <c r="A12" s="36" t="s">
        <v>82</v>
      </c>
    </row>
    <row r="13" spans="1:2" x14ac:dyDescent="0.15">
      <c r="A13" s="38">
        <f>PV(8%,10,-1000,-2000)</f>
        <v>7636.468375110815</v>
      </c>
    </row>
    <row r="15" spans="1:2" s="37" customFormat="1" x14ac:dyDescent="0.15">
      <c r="A15" s="37" t="s">
        <v>80</v>
      </c>
      <c r="B15" s="37" t="s">
        <v>86</v>
      </c>
    </row>
    <row r="16" spans="1:2" x14ac:dyDescent="0.15">
      <c r="A16" s="36" t="s">
        <v>83</v>
      </c>
    </row>
    <row r="17" spans="1:6" x14ac:dyDescent="0.15">
      <c r="A17" s="38">
        <f>FV(8%,10,-1000)</f>
        <v>14486.562465909847</v>
      </c>
    </row>
    <row r="18" spans="1:6" x14ac:dyDescent="0.15">
      <c r="A18" s="36" t="s">
        <v>84</v>
      </c>
    </row>
    <row r="19" spans="1:6" x14ac:dyDescent="0.15">
      <c r="A19" s="38">
        <f>FV(8%,10,-1000,-2000)</f>
        <v>18804.412460455424</v>
      </c>
    </row>
    <row r="21" spans="1:6" x14ac:dyDescent="0.15">
      <c r="A21" s="36" t="s">
        <v>87</v>
      </c>
    </row>
    <row r="22" spans="1:6" x14ac:dyDescent="0.15">
      <c r="A22" s="38">
        <f>FV(8%,10,-1000,10000,1)</f>
        <v>-5943.7625095452404</v>
      </c>
    </row>
    <row r="23" spans="1:6" x14ac:dyDescent="0.15">
      <c r="A23" s="38"/>
    </row>
    <row r="24" spans="1:6" x14ac:dyDescent="0.15">
      <c r="A24" s="64" t="s">
        <v>249</v>
      </c>
      <c r="B24" s="64"/>
      <c r="C24" s="64"/>
      <c r="D24" s="64"/>
      <c r="E24" s="64"/>
      <c r="F24" s="64"/>
    </row>
    <row r="25" spans="1:6" x14ac:dyDescent="0.15">
      <c r="A25" s="38" t="s">
        <v>250</v>
      </c>
      <c r="B25" s="40">
        <v>0.01</v>
      </c>
      <c r="D25" s="36" t="s">
        <v>256</v>
      </c>
      <c r="E25" s="40">
        <v>0.01</v>
      </c>
    </row>
    <row r="26" spans="1:6" x14ac:dyDescent="0.15">
      <c r="A26" s="38" t="s">
        <v>251</v>
      </c>
      <c r="B26" s="40">
        <v>0.01</v>
      </c>
      <c r="D26" s="36" t="s">
        <v>257</v>
      </c>
      <c r="E26" s="36">
        <v>1</v>
      </c>
    </row>
    <row r="27" spans="1:6" x14ac:dyDescent="0.15">
      <c r="A27" s="36" t="s">
        <v>252</v>
      </c>
      <c r="B27" s="36">
        <v>1</v>
      </c>
    </row>
    <row r="28" spans="1:6" x14ac:dyDescent="0.15">
      <c r="A28" s="38" t="s">
        <v>253</v>
      </c>
      <c r="B28" s="36">
        <v>1</v>
      </c>
    </row>
    <row r="29" spans="1:6" x14ac:dyDescent="0.15">
      <c r="A29" s="38" t="s">
        <v>254</v>
      </c>
      <c r="B29" s="36">
        <v>50</v>
      </c>
    </row>
    <row r="30" spans="1:6" x14ac:dyDescent="0.15">
      <c r="A30" s="38" t="s">
        <v>255</v>
      </c>
      <c r="B30" s="36">
        <v>20</v>
      </c>
    </row>
    <row r="31" spans="1:6" x14ac:dyDescent="0.15">
      <c r="A31" s="38"/>
    </row>
    <row r="32" spans="1:6" x14ac:dyDescent="0.15">
      <c r="A32" s="38" t="s">
        <v>258</v>
      </c>
    </row>
    <row r="33" spans="1:38" x14ac:dyDescent="0.15">
      <c r="A33" s="55">
        <f>PV($E$25,$E$26,-1,0)</f>
        <v>0.99009900990099098</v>
      </c>
      <c r="B33" s="40">
        <f>$B$25</f>
        <v>0.01</v>
      </c>
      <c r="C33" s="40">
        <f>B33+$B$26</f>
        <v>0.02</v>
      </c>
      <c r="D33" s="40">
        <f>C33+$B$26</f>
        <v>0.03</v>
      </c>
      <c r="E33" s="40">
        <f t="shared" ref="E33:U33" si="0">D33+$B$26</f>
        <v>0.04</v>
      </c>
      <c r="F33" s="40">
        <f t="shared" si="0"/>
        <v>0.05</v>
      </c>
      <c r="G33" s="40">
        <f t="shared" si="0"/>
        <v>6.0000000000000005E-2</v>
      </c>
      <c r="H33" s="40">
        <f t="shared" si="0"/>
        <v>7.0000000000000007E-2</v>
      </c>
      <c r="I33" s="40">
        <f t="shared" si="0"/>
        <v>0.08</v>
      </c>
      <c r="J33" s="40">
        <f t="shared" si="0"/>
        <v>0.09</v>
      </c>
      <c r="K33" s="40">
        <f t="shared" si="0"/>
        <v>9.9999999999999992E-2</v>
      </c>
      <c r="L33" s="40">
        <f t="shared" si="0"/>
        <v>0.10999999999999999</v>
      </c>
      <c r="M33" s="40">
        <f t="shared" si="0"/>
        <v>0.11999999999999998</v>
      </c>
      <c r="N33" s="40">
        <f t="shared" si="0"/>
        <v>0.12999999999999998</v>
      </c>
      <c r="O33" s="40">
        <f t="shared" si="0"/>
        <v>0.13999999999999999</v>
      </c>
      <c r="P33" s="40">
        <f t="shared" si="0"/>
        <v>0.15</v>
      </c>
      <c r="Q33" s="40">
        <f t="shared" si="0"/>
        <v>0.16</v>
      </c>
      <c r="R33" s="40">
        <f t="shared" si="0"/>
        <v>0.17</v>
      </c>
      <c r="S33" s="40">
        <f t="shared" si="0"/>
        <v>0.18000000000000002</v>
      </c>
      <c r="T33" s="40">
        <f t="shared" si="0"/>
        <v>0.19000000000000003</v>
      </c>
      <c r="U33" s="40">
        <f t="shared" si="0"/>
        <v>0.20000000000000004</v>
      </c>
      <c r="V33" s="40"/>
      <c r="W33" s="40"/>
      <c r="X33" s="40"/>
      <c r="Y33" s="40"/>
      <c r="Z33" s="40"/>
      <c r="AA33" s="40"/>
      <c r="AB33" s="40"/>
      <c r="AC33" s="40"/>
      <c r="AD33" s="40"/>
      <c r="AE33" s="40"/>
      <c r="AF33" s="40"/>
      <c r="AG33" s="40"/>
      <c r="AH33" s="40"/>
      <c r="AI33" s="40"/>
      <c r="AJ33" s="40"/>
      <c r="AK33" s="40"/>
      <c r="AL33" s="40"/>
    </row>
    <row r="34" spans="1:38" x14ac:dyDescent="0.15">
      <c r="A34" s="56">
        <f>$B$27</f>
        <v>1</v>
      </c>
      <c r="B34" s="36">
        <f t="dataTable" ref="B34:U83" dt2D="1" dtr="1" r1="E25" r2="E26"/>
        <v>0.99009900990099098</v>
      </c>
      <c r="C34" s="36">
        <v>0.98039215686274594</v>
      </c>
      <c r="D34" s="36">
        <v>0.97087378640776778</v>
      </c>
      <c r="E34" s="36">
        <v>0.96153846153846234</v>
      </c>
      <c r="F34" s="36">
        <v>0.95238095238095322</v>
      </c>
      <c r="G34" s="36">
        <v>0.94339622641509513</v>
      </c>
      <c r="H34" s="36">
        <v>0.93457943925233722</v>
      </c>
      <c r="I34" s="36">
        <v>0.92592592592592671</v>
      </c>
      <c r="J34" s="36">
        <v>0.91743119266055118</v>
      </c>
      <c r="K34" s="36">
        <v>0.90909090909090984</v>
      </c>
      <c r="L34" s="36">
        <v>0.90090090090090014</v>
      </c>
      <c r="M34" s="36">
        <v>0.89285714285714224</v>
      </c>
      <c r="N34" s="36">
        <v>0.88495575221238887</v>
      </c>
      <c r="O34" s="36">
        <v>0.87719298245613997</v>
      </c>
      <c r="P34" s="36">
        <v>0.86956521739130388</v>
      </c>
      <c r="Q34" s="36">
        <v>0.86206896551724099</v>
      </c>
      <c r="R34" s="36">
        <v>0.85470085470085433</v>
      </c>
      <c r="S34" s="36">
        <v>0.8474576271186437</v>
      </c>
      <c r="T34" s="36">
        <v>0.84033613445378119</v>
      </c>
      <c r="U34" s="36">
        <v>0.83333333333333304</v>
      </c>
    </row>
    <row r="35" spans="1:38" x14ac:dyDescent="0.15">
      <c r="A35" s="56">
        <f>A34+$B$28</f>
        <v>2</v>
      </c>
      <c r="B35" s="36">
        <v>1.9703950593079116</v>
      </c>
      <c r="C35" s="36">
        <v>1.9415609381007302</v>
      </c>
      <c r="D35" s="36">
        <v>1.91346969554152</v>
      </c>
      <c r="E35" s="36">
        <v>1.8860946745562153</v>
      </c>
      <c r="F35" s="36">
        <v>1.8594104308390029</v>
      </c>
      <c r="G35" s="36">
        <v>1.8333926664293361</v>
      </c>
      <c r="H35" s="36">
        <v>1.8080181675255482</v>
      </c>
      <c r="I35" s="36">
        <v>1.7832647462277103</v>
      </c>
      <c r="J35" s="36">
        <v>1.7591111859271116</v>
      </c>
      <c r="K35" s="36">
        <v>1.735537190082646</v>
      </c>
      <c r="L35" s="36">
        <v>1.7125233341449546</v>
      </c>
      <c r="M35" s="36">
        <v>1.6900510204081622</v>
      </c>
      <c r="N35" s="36">
        <v>1.6681024355861842</v>
      </c>
      <c r="O35" s="36">
        <v>1.6466605109264385</v>
      </c>
      <c r="P35" s="36">
        <v>1.6257088846880898</v>
      </c>
      <c r="Q35" s="36">
        <v>1.6052318668252077</v>
      </c>
      <c r="R35" s="36">
        <v>1.5852144057272255</v>
      </c>
      <c r="S35" s="36">
        <v>1.5656420568802061</v>
      </c>
      <c r="T35" s="36">
        <v>1.5465009533225049</v>
      </c>
      <c r="U35" s="36">
        <v>1.5277777777777772</v>
      </c>
    </row>
    <row r="36" spans="1:38" x14ac:dyDescent="0.15">
      <c r="A36" s="56">
        <f t="shared" ref="A36:A83" si="1">A35+$B$28</f>
        <v>3</v>
      </c>
      <c r="B36" s="36">
        <v>2.9409852072355469</v>
      </c>
      <c r="C36" s="36">
        <v>2.8838832726477719</v>
      </c>
      <c r="D36" s="36">
        <v>2.8286113548946812</v>
      </c>
      <c r="E36" s="36">
        <v>2.7750910332271297</v>
      </c>
      <c r="F36" s="36">
        <v>2.7232480293704802</v>
      </c>
      <c r="G36" s="36">
        <v>2.6730119494616393</v>
      </c>
      <c r="H36" s="36">
        <v>2.6243160444164007</v>
      </c>
      <c r="I36" s="36">
        <v>2.5770969872478804</v>
      </c>
      <c r="J36" s="36">
        <v>2.5312946659881761</v>
      </c>
      <c r="K36" s="36">
        <v>2.486851990984225</v>
      </c>
      <c r="L36" s="36">
        <v>2.4437147154459042</v>
      </c>
      <c r="M36" s="36">
        <v>2.4018312682215726</v>
      </c>
      <c r="N36" s="36">
        <v>2.361152597863879</v>
      </c>
      <c r="O36" s="36">
        <v>2.3216320271284547</v>
      </c>
      <c r="P36" s="36">
        <v>2.2832251171200775</v>
      </c>
      <c r="Q36" s="36">
        <v>2.2458895403665582</v>
      </c>
      <c r="R36" s="36">
        <v>2.2095849621600214</v>
      </c>
      <c r="S36" s="36">
        <v>2.1742729295594967</v>
      </c>
      <c r="T36" s="36">
        <v>2.1399167674979034</v>
      </c>
      <c r="U36" s="36">
        <v>2.106481481481481</v>
      </c>
    </row>
    <row r="37" spans="1:38" x14ac:dyDescent="0.15">
      <c r="A37" s="56">
        <f t="shared" si="1"/>
        <v>4</v>
      </c>
      <c r="B37" s="36">
        <v>3.9019655517183738</v>
      </c>
      <c r="C37" s="36">
        <v>3.8077286986742878</v>
      </c>
      <c r="D37" s="36">
        <v>3.7170984028103682</v>
      </c>
      <c r="E37" s="36">
        <v>3.6298952242568574</v>
      </c>
      <c r="F37" s="36">
        <v>3.5459505041623607</v>
      </c>
      <c r="G37" s="36">
        <v>3.4651056126996598</v>
      </c>
      <c r="H37" s="36">
        <v>3.387211256463925</v>
      </c>
      <c r="I37" s="36">
        <v>3.3121268400443342</v>
      </c>
      <c r="J37" s="36">
        <v>3.2397198770533731</v>
      </c>
      <c r="K37" s="36">
        <v>3.1698654463492955</v>
      </c>
      <c r="L37" s="36">
        <v>3.1024456895909043</v>
      </c>
      <c r="M37" s="36">
        <v>3.0373493466264034</v>
      </c>
      <c r="N37" s="36">
        <v>2.9744713255432558</v>
      </c>
      <c r="O37" s="36">
        <v>2.9137123044986444</v>
      </c>
      <c r="P37" s="36">
        <v>2.8549783627131111</v>
      </c>
      <c r="Q37" s="36">
        <v>2.7981806382470329</v>
      </c>
      <c r="R37" s="36">
        <v>2.7432350103931804</v>
      </c>
      <c r="S37" s="36">
        <v>2.6900618047114375</v>
      </c>
      <c r="T37" s="36">
        <v>2.638585518905801</v>
      </c>
      <c r="U37" s="36">
        <v>2.5887345679012341</v>
      </c>
    </row>
    <row r="38" spans="1:38" x14ac:dyDescent="0.15">
      <c r="A38" s="56">
        <f t="shared" si="1"/>
        <v>5</v>
      </c>
      <c r="B38" s="36">
        <v>4.853431239325114</v>
      </c>
      <c r="C38" s="36">
        <v>4.7134595085042061</v>
      </c>
      <c r="D38" s="36">
        <v>4.5797071871945301</v>
      </c>
      <c r="E38" s="36">
        <v>4.4518223310162108</v>
      </c>
      <c r="F38" s="36">
        <v>4.3294766706308208</v>
      </c>
      <c r="G38" s="36">
        <v>4.2123637855657181</v>
      </c>
      <c r="H38" s="36">
        <v>4.100197435947595</v>
      </c>
      <c r="I38" s="36">
        <v>3.9927100370780875</v>
      </c>
      <c r="J38" s="36">
        <v>3.8896512633517193</v>
      </c>
      <c r="K38" s="36">
        <v>3.7907867694084509</v>
      </c>
      <c r="L38" s="36">
        <v>3.6958970176494623</v>
      </c>
      <c r="M38" s="36">
        <v>3.6047762023450027</v>
      </c>
      <c r="N38" s="36">
        <v>3.5172312615427037</v>
      </c>
      <c r="O38" s="36">
        <v>3.4330809688584596</v>
      </c>
      <c r="P38" s="36">
        <v>3.352155098011401</v>
      </c>
      <c r="Q38" s="36">
        <v>3.274293653661235</v>
      </c>
      <c r="R38" s="36">
        <v>3.1993461627292139</v>
      </c>
      <c r="S38" s="36">
        <v>3.1271710209418955</v>
      </c>
      <c r="T38" s="36">
        <v>3.0576348898368071</v>
      </c>
      <c r="U38" s="36">
        <v>2.9906121399176948</v>
      </c>
    </row>
    <row r="39" spans="1:38" x14ac:dyDescent="0.15">
      <c r="A39" s="56">
        <f t="shared" si="1"/>
        <v>6</v>
      </c>
      <c r="B39" s="36">
        <v>5.7954764745793392</v>
      </c>
      <c r="C39" s="36">
        <v>5.6014308906903993</v>
      </c>
      <c r="D39" s="36">
        <v>5.4171914438781865</v>
      </c>
      <c r="E39" s="36">
        <v>5.2421368567463569</v>
      </c>
      <c r="F39" s="36">
        <v>5.0756920672674468</v>
      </c>
      <c r="G39" s="36">
        <v>4.9173243260053949</v>
      </c>
      <c r="H39" s="36">
        <v>4.7665396597641063</v>
      </c>
      <c r="I39" s="36">
        <v>4.6228796639611929</v>
      </c>
      <c r="J39" s="36">
        <v>4.4859185902309351</v>
      </c>
      <c r="K39" s="36">
        <v>4.3552606994622289</v>
      </c>
      <c r="L39" s="36">
        <v>4.2305378537382543</v>
      </c>
      <c r="M39" s="36">
        <v>4.1114073235223243</v>
      </c>
      <c r="N39" s="36">
        <v>3.9975497889758431</v>
      </c>
      <c r="O39" s="36">
        <v>3.8886675165425086</v>
      </c>
      <c r="P39" s="36">
        <v>3.784482693922957</v>
      </c>
      <c r="Q39" s="36">
        <v>3.6847359083286508</v>
      </c>
      <c r="R39" s="36">
        <v>3.5891847544694135</v>
      </c>
      <c r="S39" s="36">
        <v>3.4976025601202507</v>
      </c>
      <c r="T39" s="36">
        <v>3.4097772183502575</v>
      </c>
      <c r="U39" s="36">
        <v>3.3255101165980792</v>
      </c>
    </row>
    <row r="40" spans="1:38" x14ac:dyDescent="0.15">
      <c r="A40" s="56">
        <f t="shared" si="1"/>
        <v>7</v>
      </c>
      <c r="B40" s="36">
        <v>6.7281945292864478</v>
      </c>
      <c r="C40" s="36">
        <v>6.4719910693043037</v>
      </c>
      <c r="D40" s="36">
        <v>6.2302829552215417</v>
      </c>
      <c r="E40" s="36">
        <v>6.0020546699484187</v>
      </c>
      <c r="F40" s="36">
        <v>5.7863733973975711</v>
      </c>
      <c r="G40" s="36">
        <v>5.5823814396277331</v>
      </c>
      <c r="H40" s="36">
        <v>5.3892894016486981</v>
      </c>
      <c r="I40" s="36">
        <v>5.2063700592233273</v>
      </c>
      <c r="J40" s="36">
        <v>5.0329528350742532</v>
      </c>
      <c r="K40" s="36">
        <v>4.8684188176929357</v>
      </c>
      <c r="L40" s="36">
        <v>4.7121962646290578</v>
      </c>
      <c r="M40" s="36">
        <v>4.5637565388592174</v>
      </c>
      <c r="N40" s="36">
        <v>4.4226104327219851</v>
      </c>
      <c r="O40" s="36">
        <v>4.2883048390723753</v>
      </c>
      <c r="P40" s="36">
        <v>4.1604197338460489</v>
      </c>
      <c r="Q40" s="36">
        <v>4.0385654382143539</v>
      </c>
      <c r="R40" s="36">
        <v>3.9223801320251392</v>
      </c>
      <c r="S40" s="36">
        <v>3.8115275933222459</v>
      </c>
      <c r="T40" s="36">
        <v>3.7056951414708048</v>
      </c>
      <c r="U40" s="36">
        <v>3.6045917638317322</v>
      </c>
    </row>
    <row r="41" spans="1:38" x14ac:dyDescent="0.15">
      <c r="A41" s="56">
        <f t="shared" si="1"/>
        <v>8</v>
      </c>
      <c r="B41" s="36">
        <v>7.6516777517687853</v>
      </c>
      <c r="C41" s="36">
        <v>7.3254814404944195</v>
      </c>
      <c r="D41" s="36">
        <v>7.0196921895354745</v>
      </c>
      <c r="E41" s="36">
        <v>6.7327448749504049</v>
      </c>
      <c r="F41" s="36">
        <v>6.4632127594262556</v>
      </c>
      <c r="G41" s="36">
        <v>6.2097938109695576</v>
      </c>
      <c r="H41" s="36">
        <v>5.9712985062137358</v>
      </c>
      <c r="I41" s="36">
        <v>5.7466389437253032</v>
      </c>
      <c r="J41" s="36">
        <v>5.5348191147470214</v>
      </c>
      <c r="K41" s="36">
        <v>5.3349261979026688</v>
      </c>
      <c r="L41" s="36">
        <v>5.1461227609270788</v>
      </c>
      <c r="M41" s="36">
        <v>4.9676397668385865</v>
      </c>
      <c r="N41" s="36">
        <v>4.7987702944442345</v>
      </c>
      <c r="O41" s="36">
        <v>4.638863893923137</v>
      </c>
      <c r="P41" s="36">
        <v>4.4873215076922159</v>
      </c>
      <c r="Q41" s="36">
        <v>4.3435908950123743</v>
      </c>
      <c r="R41" s="36">
        <v>4.2071625060043925</v>
      </c>
      <c r="S41" s="36">
        <v>4.077565757052751</v>
      </c>
      <c r="T41" s="36">
        <v>3.9543656651015167</v>
      </c>
      <c r="U41" s="36">
        <v>3.83715980319311</v>
      </c>
    </row>
    <row r="42" spans="1:38" x14ac:dyDescent="0.15">
      <c r="A42" s="56">
        <f t="shared" si="1"/>
        <v>9</v>
      </c>
      <c r="B42" s="36">
        <v>8.5660175760087061</v>
      </c>
      <c r="C42" s="36">
        <v>8.1622367063670787</v>
      </c>
      <c r="D42" s="36">
        <v>7.7861089218791024</v>
      </c>
      <c r="E42" s="36">
        <v>7.4353316105292375</v>
      </c>
      <c r="F42" s="36">
        <v>7.107821675644054</v>
      </c>
      <c r="G42" s="36">
        <v>6.8016922744995822</v>
      </c>
      <c r="H42" s="36">
        <v>6.5152322487978855</v>
      </c>
      <c r="I42" s="36">
        <v>6.2468879108567625</v>
      </c>
      <c r="J42" s="36">
        <v>5.9952468942633228</v>
      </c>
      <c r="K42" s="36">
        <v>5.7590238162751541</v>
      </c>
      <c r="L42" s="36">
        <v>5.5370475323667367</v>
      </c>
      <c r="M42" s="36">
        <v>5.3282497918201663</v>
      </c>
      <c r="N42" s="36">
        <v>5.1316551278267566</v>
      </c>
      <c r="O42" s="36">
        <v>4.9463718367746816</v>
      </c>
      <c r="P42" s="36">
        <v>4.771583919732362</v>
      </c>
      <c r="Q42" s="36">
        <v>4.6065438750106678</v>
      </c>
      <c r="R42" s="36">
        <v>4.4505662444481979</v>
      </c>
      <c r="S42" s="36">
        <v>4.303021828010805</v>
      </c>
      <c r="T42" s="36">
        <v>4.1633324916819463</v>
      </c>
      <c r="U42" s="36">
        <v>4.0309665026609247</v>
      </c>
    </row>
    <row r="43" spans="1:38" x14ac:dyDescent="0.15">
      <c r="A43" s="56">
        <f t="shared" si="1"/>
        <v>10</v>
      </c>
      <c r="B43" s="36">
        <v>9.4713045307016905</v>
      </c>
      <c r="C43" s="36">
        <v>8.9825850062422354</v>
      </c>
      <c r="D43" s="36">
        <v>8.5302028367758282</v>
      </c>
      <c r="E43" s="36">
        <v>8.1108957793550349</v>
      </c>
      <c r="F43" s="36">
        <v>7.7217349291848132</v>
      </c>
      <c r="G43" s="36">
        <v>7.360087051414701</v>
      </c>
      <c r="H43" s="36">
        <v>7.0235815409326028</v>
      </c>
      <c r="I43" s="36">
        <v>6.7100813989414467</v>
      </c>
      <c r="J43" s="36">
        <v>6.4176577011590128</v>
      </c>
      <c r="K43" s="36">
        <v>6.1445671057046853</v>
      </c>
      <c r="L43" s="36">
        <v>5.8892320111412042</v>
      </c>
      <c r="M43" s="36">
        <v>5.6502230284108634</v>
      </c>
      <c r="N43" s="36">
        <v>5.426243475952881</v>
      </c>
      <c r="O43" s="36">
        <v>5.2161156462935798</v>
      </c>
      <c r="P43" s="36">
        <v>5.0187686258542286</v>
      </c>
      <c r="Q43" s="36">
        <v>4.8332274784574718</v>
      </c>
      <c r="R43" s="36">
        <v>4.6586036277335028</v>
      </c>
      <c r="S43" s="36">
        <v>4.4940862949244114</v>
      </c>
      <c r="T43" s="36">
        <v>4.3389348669596188</v>
      </c>
      <c r="U43" s="36">
        <v>4.1924720855507704</v>
      </c>
    </row>
    <row r="44" spans="1:38" x14ac:dyDescent="0.15">
      <c r="A44" s="56">
        <f t="shared" si="1"/>
        <v>11</v>
      </c>
      <c r="B44" s="36">
        <v>10.367628248219475</v>
      </c>
      <c r="C44" s="36">
        <v>9.7868480453355176</v>
      </c>
      <c r="D44" s="36">
        <v>9.2526241133745906</v>
      </c>
      <c r="E44" s="36">
        <v>8.7604767109183026</v>
      </c>
      <c r="F44" s="36">
        <v>8.3064142182712519</v>
      </c>
      <c r="G44" s="36">
        <v>7.8868745768063233</v>
      </c>
      <c r="H44" s="36">
        <v>7.4986743373201898</v>
      </c>
      <c r="I44" s="36">
        <v>7.1389642582791168</v>
      </c>
      <c r="J44" s="36">
        <v>6.8051905515220295</v>
      </c>
      <c r="K44" s="36">
        <v>6.495061005186078</v>
      </c>
      <c r="L44" s="36">
        <v>6.2065153253524361</v>
      </c>
      <c r="M44" s="36">
        <v>5.9376991325096995</v>
      </c>
      <c r="N44" s="36">
        <v>5.6869411291618412</v>
      </c>
      <c r="O44" s="36">
        <v>5.4527330230645443</v>
      </c>
      <c r="P44" s="36">
        <v>5.2337118485688938</v>
      </c>
      <c r="Q44" s="36">
        <v>5.0286443779805783</v>
      </c>
      <c r="R44" s="36">
        <v>4.8364133570371823</v>
      </c>
      <c r="S44" s="36">
        <v>4.656005334681705</v>
      </c>
      <c r="T44" s="36">
        <v>4.4864998882013607</v>
      </c>
      <c r="U44" s="36">
        <v>4.3270600712923084</v>
      </c>
    </row>
    <row r="45" spans="1:38" x14ac:dyDescent="0.15">
      <c r="A45" s="56">
        <f t="shared" si="1"/>
        <v>12</v>
      </c>
      <c r="B45" s="36">
        <v>11.255077473484633</v>
      </c>
      <c r="C45" s="36">
        <v>10.57534122091718</v>
      </c>
      <c r="D45" s="36">
        <v>9.954003993567559</v>
      </c>
      <c r="E45" s="36">
        <v>9.3850737604983721</v>
      </c>
      <c r="F45" s="36">
        <v>8.8632516364488101</v>
      </c>
      <c r="G45" s="36">
        <v>8.3838439403833238</v>
      </c>
      <c r="H45" s="36">
        <v>7.9426862965609235</v>
      </c>
      <c r="I45" s="36">
        <v>7.5360780169251091</v>
      </c>
      <c r="J45" s="36">
        <v>7.1607252766257155</v>
      </c>
      <c r="K45" s="36">
        <v>6.8136918228964349</v>
      </c>
      <c r="L45" s="36">
        <v>6.4923561489661576</v>
      </c>
      <c r="M45" s="36">
        <v>6.1943742254550882</v>
      </c>
      <c r="N45" s="36">
        <v>5.9176470169573818</v>
      </c>
      <c r="O45" s="36">
        <v>5.6602921254952143</v>
      </c>
      <c r="P45" s="36">
        <v>5.4206189987555593</v>
      </c>
      <c r="Q45" s="36">
        <v>5.1971072223970509</v>
      </c>
      <c r="R45" s="36">
        <v>4.9883874846471645</v>
      </c>
      <c r="S45" s="36">
        <v>4.7932248598997491</v>
      </c>
      <c r="T45" s="36">
        <v>4.6105041077322353</v>
      </c>
      <c r="U45" s="36">
        <v>4.4392167260769231</v>
      </c>
    </row>
    <row r="46" spans="1:38" x14ac:dyDescent="0.15">
      <c r="A46" s="56">
        <f t="shared" si="1"/>
        <v>13</v>
      </c>
      <c r="B46" s="36">
        <v>12.133740072757066</v>
      </c>
      <c r="C46" s="36">
        <v>11.348373745997234</v>
      </c>
      <c r="D46" s="36">
        <v>10.634955333560738</v>
      </c>
      <c r="E46" s="36">
        <v>9.9856478466330483</v>
      </c>
      <c r="F46" s="36">
        <v>9.3935729870941067</v>
      </c>
      <c r="G46" s="36">
        <v>8.8526829626257779</v>
      </c>
      <c r="H46" s="36">
        <v>8.3576507444494617</v>
      </c>
      <c r="I46" s="36">
        <v>7.9037759415973232</v>
      </c>
      <c r="J46" s="36">
        <v>7.4869039235098311</v>
      </c>
      <c r="K46" s="36">
        <v>7.1033562026331225</v>
      </c>
      <c r="L46" s="36">
        <v>6.7498704044740165</v>
      </c>
      <c r="M46" s="36">
        <v>6.4235484155848992</v>
      </c>
      <c r="N46" s="36">
        <v>6.1218115194313123</v>
      </c>
      <c r="O46" s="36">
        <v>5.8423615135922926</v>
      </c>
      <c r="P46" s="36">
        <v>5.5831469554396174</v>
      </c>
      <c r="Q46" s="36">
        <v>5.3423338124112512</v>
      </c>
      <c r="R46" s="36">
        <v>5.1182799014078322</v>
      </c>
      <c r="S46" s="36">
        <v>4.9095125931353811</v>
      </c>
      <c r="T46" s="36">
        <v>4.7147093342287691</v>
      </c>
      <c r="U46" s="36">
        <v>4.5326806050641029</v>
      </c>
    </row>
    <row r="47" spans="1:38" x14ac:dyDescent="0.15">
      <c r="A47" s="56">
        <f t="shared" si="1"/>
        <v>14</v>
      </c>
      <c r="B47" s="36">
        <v>13.00370304233374</v>
      </c>
      <c r="C47" s="36">
        <v>12.106248770585527</v>
      </c>
      <c r="D47" s="36">
        <v>11.296073139379358</v>
      </c>
      <c r="E47" s="36">
        <v>10.563122929454854</v>
      </c>
      <c r="F47" s="36">
        <v>9.8986409400896225</v>
      </c>
      <c r="G47" s="36">
        <v>9.2949839270054522</v>
      </c>
      <c r="H47" s="36">
        <v>8.7454679854667869</v>
      </c>
      <c r="I47" s="36">
        <v>8.2442369829604853</v>
      </c>
      <c r="J47" s="36">
        <v>7.7861503885411292</v>
      </c>
      <c r="K47" s="36">
        <v>7.3666874569392036</v>
      </c>
      <c r="L47" s="36">
        <v>6.9818652292558703</v>
      </c>
      <c r="M47" s="36">
        <v>6.6281682282008036</v>
      </c>
      <c r="N47" s="36">
        <v>6.3024880702931965</v>
      </c>
      <c r="O47" s="36">
        <v>6.002071503151134</v>
      </c>
      <c r="P47" s="36">
        <v>5.7244756134257537</v>
      </c>
      <c r="Q47" s="36">
        <v>5.4675291486303879</v>
      </c>
      <c r="R47" s="36">
        <v>5.2292990610323358</v>
      </c>
      <c r="S47" s="36">
        <v>5.0080615196062546</v>
      </c>
      <c r="T47" s="36">
        <v>4.8022767514527471</v>
      </c>
      <c r="U47" s="36">
        <v>4.6105671708867524</v>
      </c>
    </row>
    <row r="48" spans="1:38" x14ac:dyDescent="0.15">
      <c r="A48" s="56">
        <f t="shared" si="1"/>
        <v>15</v>
      </c>
      <c r="B48" s="36">
        <v>13.865052517162095</v>
      </c>
      <c r="C48" s="36">
        <v>12.849263500574036</v>
      </c>
      <c r="D48" s="36">
        <v>11.937935086776077</v>
      </c>
      <c r="E48" s="36">
        <v>11.118387432168129</v>
      </c>
      <c r="F48" s="36">
        <v>10.379658038180596</v>
      </c>
      <c r="G48" s="36">
        <v>9.7122489877409937</v>
      </c>
      <c r="H48" s="36">
        <v>9.1079140051091478</v>
      </c>
      <c r="I48" s="36">
        <v>8.5594786879263758</v>
      </c>
      <c r="J48" s="36">
        <v>8.0606884298542472</v>
      </c>
      <c r="K48" s="36">
        <v>7.606079506308367</v>
      </c>
      <c r="L48" s="36">
        <v>7.1908695759061905</v>
      </c>
      <c r="M48" s="36">
        <v>6.8108644894650032</v>
      </c>
      <c r="N48" s="36">
        <v>6.462378823268315</v>
      </c>
      <c r="O48" s="36">
        <v>6.1421679852202935</v>
      </c>
      <c r="P48" s="36">
        <v>5.8473700986310906</v>
      </c>
      <c r="Q48" s="36">
        <v>5.5754561626124035</v>
      </c>
      <c r="R48" s="36">
        <v>5.3241872316515684</v>
      </c>
      <c r="S48" s="36">
        <v>5.0915775589883516</v>
      </c>
      <c r="T48" s="36">
        <v>4.8758628163468467</v>
      </c>
      <c r="U48" s="36">
        <v>4.6754726424056265</v>
      </c>
    </row>
    <row r="49" spans="1:21" x14ac:dyDescent="0.15">
      <c r="A49" s="56">
        <f t="shared" si="1"/>
        <v>16</v>
      </c>
      <c r="B49" s="36">
        <v>14.717873779368437</v>
      </c>
      <c r="C49" s="36">
        <v>13.577709314288276</v>
      </c>
      <c r="D49" s="36">
        <v>12.561102025996188</v>
      </c>
      <c r="E49" s="36">
        <v>11.652295607853974</v>
      </c>
      <c r="F49" s="36">
        <v>10.837769560171996</v>
      </c>
      <c r="G49" s="36">
        <v>10.105895271453766</v>
      </c>
      <c r="H49" s="36">
        <v>9.4466486029057446</v>
      </c>
      <c r="I49" s="36">
        <v>8.8513691554873848</v>
      </c>
      <c r="J49" s="36">
        <v>8.3125581925268328</v>
      </c>
      <c r="K49" s="36">
        <v>7.8237086420985156</v>
      </c>
      <c r="L49" s="36">
        <v>7.3791617800956661</v>
      </c>
      <c r="M49" s="36">
        <v>6.973986151308039</v>
      </c>
      <c r="N49" s="36">
        <v>6.603875064839217</v>
      </c>
      <c r="O49" s="36">
        <v>6.2650596361581519</v>
      </c>
      <c r="P49" s="36">
        <v>5.9542348683748605</v>
      </c>
      <c r="Q49" s="36">
        <v>5.6684966919072446</v>
      </c>
      <c r="R49" s="36">
        <v>5.405288232180828</v>
      </c>
      <c r="S49" s="36">
        <v>5.1623538635494493</v>
      </c>
      <c r="T49" s="36">
        <v>4.9376998456696182</v>
      </c>
      <c r="U49" s="36">
        <v>4.7295605353380221</v>
      </c>
    </row>
    <row r="50" spans="1:21" x14ac:dyDescent="0.15">
      <c r="A50" s="56">
        <f t="shared" si="1"/>
        <v>17</v>
      </c>
      <c r="B50" s="36">
        <v>15.562251266701427</v>
      </c>
      <c r="C50" s="36">
        <v>14.291871876753214</v>
      </c>
      <c r="D50" s="36">
        <v>13.16611847184096</v>
      </c>
      <c r="E50" s="36">
        <v>12.165668853705743</v>
      </c>
      <c r="F50" s="36">
        <v>11.274066247782853</v>
      </c>
      <c r="G50" s="36">
        <v>10.477259690050724</v>
      </c>
      <c r="H50" s="36">
        <v>9.7632229933698547</v>
      </c>
      <c r="I50" s="36">
        <v>9.1216381069327639</v>
      </c>
      <c r="J50" s="36">
        <v>8.5436313692906722</v>
      </c>
      <c r="K50" s="36">
        <v>8.0215533109986499</v>
      </c>
      <c r="L50" s="36">
        <v>7.5487943964825819</v>
      </c>
      <c r="M50" s="36">
        <v>7.1196304922393203</v>
      </c>
      <c r="N50" s="36">
        <v>6.7290929777338206</v>
      </c>
      <c r="O50" s="36">
        <v>6.3728593299632914</v>
      </c>
      <c r="P50" s="36">
        <v>6.0471607551085755</v>
      </c>
      <c r="Q50" s="36">
        <v>5.7487040447476243</v>
      </c>
      <c r="R50" s="36">
        <v>5.4746053266502797</v>
      </c>
      <c r="S50" s="36">
        <v>5.2223337826690255</v>
      </c>
      <c r="T50" s="36">
        <v>4.9896637358568228</v>
      </c>
      <c r="U50" s="36">
        <v>4.7746337794483518</v>
      </c>
    </row>
    <row r="51" spans="1:21" x14ac:dyDescent="0.15">
      <c r="A51" s="56">
        <f t="shared" si="1"/>
        <v>18</v>
      </c>
      <c r="B51" s="36">
        <v>16.398268580892505</v>
      </c>
      <c r="C51" s="36">
        <v>14.992031251718833</v>
      </c>
      <c r="D51" s="36">
        <v>13.753513079457242</v>
      </c>
      <c r="E51" s="36">
        <v>12.659296974717064</v>
      </c>
      <c r="F51" s="36">
        <v>11.689586902650337</v>
      </c>
      <c r="G51" s="36">
        <v>10.827603481179928</v>
      </c>
      <c r="H51" s="36">
        <v>10.059086909691453</v>
      </c>
      <c r="I51" s="36">
        <v>9.3718871360488549</v>
      </c>
      <c r="J51" s="36">
        <v>8.7556251094409845</v>
      </c>
      <c r="K51" s="36">
        <v>8.2014121009078647</v>
      </c>
      <c r="L51" s="36">
        <v>7.7016165734077315</v>
      </c>
      <c r="M51" s="36">
        <v>7.249670082356535</v>
      </c>
      <c r="N51" s="36">
        <v>6.8399052900299298</v>
      </c>
      <c r="O51" s="36">
        <v>6.4674204648800799</v>
      </c>
      <c r="P51" s="36">
        <v>6.1279658740074563</v>
      </c>
      <c r="Q51" s="36">
        <v>5.8178483144376072</v>
      </c>
      <c r="R51" s="36">
        <v>5.5338507065387006</v>
      </c>
      <c r="S51" s="36">
        <v>5.2731642226008688</v>
      </c>
      <c r="T51" s="36">
        <v>5.0333308704679176</v>
      </c>
      <c r="U51" s="36">
        <v>4.8121948162069597</v>
      </c>
    </row>
    <row r="52" spans="1:21" x14ac:dyDescent="0.15">
      <c r="A52" s="56">
        <f t="shared" si="1"/>
        <v>19</v>
      </c>
      <c r="B52" s="36">
        <v>17.226008495933154</v>
      </c>
      <c r="C52" s="36">
        <v>15.678462011489053</v>
      </c>
      <c r="D52" s="36">
        <v>14.323799106269167</v>
      </c>
      <c r="E52" s="36">
        <v>13.133939398766406</v>
      </c>
      <c r="F52" s="36">
        <v>12.085320859666988</v>
      </c>
      <c r="G52" s="36">
        <v>11.158116491679177</v>
      </c>
      <c r="H52" s="36">
        <v>10.335595242702292</v>
      </c>
      <c r="I52" s="36">
        <v>9.6035992000452381</v>
      </c>
      <c r="J52" s="36">
        <v>8.9501147793036555</v>
      </c>
      <c r="K52" s="36">
        <v>8.3649200917344224</v>
      </c>
      <c r="L52" s="36">
        <v>7.8392942102772354</v>
      </c>
      <c r="M52" s="36">
        <v>7.3657768592469068</v>
      </c>
      <c r="N52" s="36">
        <v>6.9379692832123272</v>
      </c>
      <c r="O52" s="36">
        <v>6.550368828842176</v>
      </c>
      <c r="P52" s="36">
        <v>6.1982311947890922</v>
      </c>
      <c r="Q52" s="36">
        <v>5.877455443480696</v>
      </c>
      <c r="R52" s="36">
        <v>5.5844877833664111</v>
      </c>
      <c r="S52" s="36">
        <v>5.3162408666109053</v>
      </c>
      <c r="T52" s="36">
        <v>5.0700259415696785</v>
      </c>
      <c r="U52" s="36">
        <v>4.8434956801724658</v>
      </c>
    </row>
    <row r="53" spans="1:21" x14ac:dyDescent="0.15">
      <c r="A53" s="56">
        <f t="shared" si="1"/>
        <v>20</v>
      </c>
      <c r="B53" s="36">
        <v>18.045552966270456</v>
      </c>
      <c r="C53" s="36">
        <v>16.351433344597112</v>
      </c>
      <c r="D53" s="36">
        <v>14.877474860455502</v>
      </c>
      <c r="E53" s="36">
        <v>13.590326344967698</v>
      </c>
      <c r="F53" s="36">
        <v>12.462210342539986</v>
      </c>
      <c r="G53" s="36">
        <v>11.469921218565261</v>
      </c>
      <c r="H53" s="36">
        <v>10.594014245516162</v>
      </c>
      <c r="I53" s="36">
        <v>9.8181474074492936</v>
      </c>
      <c r="J53" s="36">
        <v>9.1285456690859217</v>
      </c>
      <c r="K53" s="36">
        <v>8.5135637197585652</v>
      </c>
      <c r="L53" s="36">
        <v>7.9633281173668786</v>
      </c>
      <c r="M53" s="36">
        <v>7.469443624327595</v>
      </c>
      <c r="N53" s="36">
        <v>7.0247515780640066</v>
      </c>
      <c r="O53" s="36">
        <v>6.6231305516159438</v>
      </c>
      <c r="P53" s="36">
        <v>6.2593314737296453</v>
      </c>
      <c r="Q53" s="36">
        <v>5.9288408995523234</v>
      </c>
      <c r="R53" s="36">
        <v>5.6277673362106073</v>
      </c>
      <c r="S53" s="36">
        <v>5.3527464971278862</v>
      </c>
      <c r="T53" s="36">
        <v>5.1008621357728394</v>
      </c>
      <c r="U53" s="36">
        <v>4.8695797334770541</v>
      </c>
    </row>
    <row r="54" spans="1:21" x14ac:dyDescent="0.15">
      <c r="A54" s="56">
        <f t="shared" si="1"/>
        <v>21</v>
      </c>
      <c r="B54" s="36">
        <v>18.856983134921236</v>
      </c>
      <c r="C54" s="36">
        <v>17.011209161369717</v>
      </c>
      <c r="D54" s="36">
        <v>15.415024136364561</v>
      </c>
      <c r="E54" s="36">
        <v>14.029159947084327</v>
      </c>
      <c r="F54" s="36">
        <v>12.821152707180941</v>
      </c>
      <c r="G54" s="36">
        <v>11.764076621287984</v>
      </c>
      <c r="H54" s="36">
        <v>10.835527332258094</v>
      </c>
      <c r="I54" s="36">
        <v>10.016803155045642</v>
      </c>
      <c r="J54" s="36">
        <v>9.2922437331063499</v>
      </c>
      <c r="K54" s="36">
        <v>8.6486942906896047</v>
      </c>
      <c r="L54" s="36">
        <v>8.075070376006197</v>
      </c>
      <c r="M54" s="36">
        <v>7.5620032360067828</v>
      </c>
      <c r="N54" s="36">
        <v>7.1015500690831921</v>
      </c>
      <c r="O54" s="36">
        <v>6.6869566242245115</v>
      </c>
      <c r="P54" s="36">
        <v>6.3124621510692567</v>
      </c>
      <c r="Q54" s="36">
        <v>5.9731387065106247</v>
      </c>
      <c r="R54" s="36">
        <v>5.6647584070176134</v>
      </c>
      <c r="S54" s="36">
        <v>5.3836834721422759</v>
      </c>
      <c r="T54" s="36">
        <v>5.1267749040107882</v>
      </c>
      <c r="U54" s="36">
        <v>4.8913164445642119</v>
      </c>
    </row>
    <row r="55" spans="1:21" x14ac:dyDescent="0.15">
      <c r="A55" s="56">
        <f t="shared" si="1"/>
        <v>22</v>
      </c>
      <c r="B55" s="36">
        <v>19.660379341506193</v>
      </c>
      <c r="C55" s="36">
        <v>17.658048197421294</v>
      </c>
      <c r="D55" s="36">
        <v>15.936916637247149</v>
      </c>
      <c r="E55" s="36">
        <v>14.451115333734931</v>
      </c>
      <c r="F55" s="36">
        <v>13.163002578267562</v>
      </c>
      <c r="G55" s="36">
        <v>12.041581718196211</v>
      </c>
      <c r="H55" s="36">
        <v>11.061240497437471</v>
      </c>
      <c r="I55" s="36">
        <v>10.200743662079299</v>
      </c>
      <c r="J55" s="36">
        <v>9.4424254432168357</v>
      </c>
      <c r="K55" s="36">
        <v>8.7715402642632778</v>
      </c>
      <c r="L55" s="36">
        <v>8.1757390774830618</v>
      </c>
      <c r="M55" s="36">
        <v>7.6446457464346267</v>
      </c>
      <c r="N55" s="36">
        <v>7.1695133354718505</v>
      </c>
      <c r="O55" s="36">
        <v>6.742944407214484</v>
      </c>
      <c r="P55" s="36">
        <v>6.3586627400602236</v>
      </c>
      <c r="Q55" s="36">
        <v>6.0113264711298484</v>
      </c>
      <c r="R55" s="36">
        <v>5.6963747068526605</v>
      </c>
      <c r="S55" s="36">
        <v>5.4099012475782002</v>
      </c>
      <c r="T55" s="36">
        <v>5.1485503395048644</v>
      </c>
      <c r="U55" s="36">
        <v>4.9094303704701767</v>
      </c>
    </row>
    <row r="56" spans="1:21" x14ac:dyDescent="0.15">
      <c r="A56" s="56">
        <f t="shared" si="1"/>
        <v>23</v>
      </c>
      <c r="B56" s="36">
        <v>20.455821130204139</v>
      </c>
      <c r="C56" s="36">
        <v>18.29220411511891</v>
      </c>
      <c r="D56" s="36">
        <v>16.443608385676846</v>
      </c>
      <c r="E56" s="36">
        <v>14.856841667052818</v>
      </c>
      <c r="F56" s="36">
        <v>13.488573884064344</v>
      </c>
      <c r="G56" s="36">
        <v>12.303378979430388</v>
      </c>
      <c r="H56" s="36">
        <v>11.272187380782682</v>
      </c>
      <c r="I56" s="36">
        <v>10.37105894636972</v>
      </c>
      <c r="J56" s="36">
        <v>9.5802068286392998</v>
      </c>
      <c r="K56" s="36">
        <v>8.8832184220575243</v>
      </c>
      <c r="L56" s="36">
        <v>8.266431601336091</v>
      </c>
      <c r="M56" s="36">
        <v>7.7184337021737743</v>
      </c>
      <c r="N56" s="36">
        <v>7.2296578190016376</v>
      </c>
      <c r="O56" s="36">
        <v>6.7920564975565654</v>
      </c>
      <c r="P56" s="36">
        <v>6.39883716526976</v>
      </c>
      <c r="Q56" s="36">
        <v>6.0442469578705591</v>
      </c>
      <c r="R56" s="36">
        <v>5.7233971853441545</v>
      </c>
      <c r="S56" s="36">
        <v>5.4321197013374576</v>
      </c>
      <c r="T56" s="36">
        <v>5.1668490247940033</v>
      </c>
      <c r="U56" s="36">
        <v>4.9245253087251468</v>
      </c>
    </row>
    <row r="57" spans="1:21" x14ac:dyDescent="0.15">
      <c r="A57" s="56">
        <f t="shared" si="1"/>
        <v>24</v>
      </c>
      <c r="B57" s="36">
        <v>21.24338725762788</v>
      </c>
      <c r="C57" s="36">
        <v>18.913925603057756</v>
      </c>
      <c r="D57" s="36">
        <v>16.935542122016351</v>
      </c>
      <c r="E57" s="36">
        <v>15.24696314139694</v>
      </c>
      <c r="F57" s="36">
        <v>13.798641794346993</v>
      </c>
      <c r="G57" s="36">
        <v>12.550357527764517</v>
      </c>
      <c r="H57" s="36">
        <v>11.469334000731479</v>
      </c>
      <c r="I57" s="36">
        <v>10.528758283675666</v>
      </c>
      <c r="J57" s="36">
        <v>9.7066117693938523</v>
      </c>
      <c r="K57" s="36">
        <v>8.9847440200522968</v>
      </c>
      <c r="L57" s="36">
        <v>8.3481365777802612</v>
      </c>
      <c r="M57" s="36">
        <v>7.784315805512299</v>
      </c>
      <c r="N57" s="36">
        <v>7.2828830256651669</v>
      </c>
      <c r="O57" s="36">
        <v>6.835137278558391</v>
      </c>
      <c r="P57" s="36">
        <v>6.4337714480606607</v>
      </c>
      <c r="Q57" s="36">
        <v>6.0726266878194473</v>
      </c>
      <c r="R57" s="36">
        <v>5.7464933208069695</v>
      </c>
      <c r="S57" s="36">
        <v>5.4509488994385231</v>
      </c>
      <c r="T57" s="36">
        <v>5.1822260712554655</v>
      </c>
      <c r="U57" s="36">
        <v>4.9371044239376225</v>
      </c>
    </row>
    <row r="58" spans="1:21" x14ac:dyDescent="0.15">
      <c r="A58" s="56">
        <f t="shared" si="1"/>
        <v>25</v>
      </c>
      <c r="B58" s="36">
        <v>22.023155700621672</v>
      </c>
      <c r="C58" s="36">
        <v>19.523456473586034</v>
      </c>
      <c r="D58" s="36">
        <v>17.413147691278009</v>
      </c>
      <c r="E58" s="36">
        <v>15.622079943650906</v>
      </c>
      <c r="F58" s="36">
        <v>14.093944566044758</v>
      </c>
      <c r="G58" s="36">
        <v>12.783356158268411</v>
      </c>
      <c r="H58" s="36">
        <v>11.653583178253719</v>
      </c>
      <c r="I58" s="36">
        <v>10.674776188588583</v>
      </c>
      <c r="J58" s="36">
        <v>9.8225796049484888</v>
      </c>
      <c r="K58" s="36">
        <v>9.0770400182293596</v>
      </c>
      <c r="L58" s="36">
        <v>8.4217446646669014</v>
      </c>
      <c r="M58" s="36">
        <v>7.8431391120645531</v>
      </c>
      <c r="N58" s="36">
        <v>7.3299849784647488</v>
      </c>
      <c r="O58" s="36">
        <v>6.8729274373319225</v>
      </c>
      <c r="P58" s="36">
        <v>6.4641490852701393</v>
      </c>
      <c r="Q58" s="36">
        <v>6.097091972258144</v>
      </c>
      <c r="R58" s="36">
        <v>5.7662336075273251</v>
      </c>
      <c r="S58" s="36">
        <v>5.466905846981799</v>
      </c>
      <c r="T58" s="36">
        <v>5.1951479590382057</v>
      </c>
      <c r="U58" s="36">
        <v>4.9475870199480187</v>
      </c>
    </row>
    <row r="59" spans="1:21" x14ac:dyDescent="0.15">
      <c r="A59" s="56">
        <f t="shared" si="1"/>
        <v>26</v>
      </c>
      <c r="B59" s="36">
        <v>22.795203663981848</v>
      </c>
      <c r="C59" s="36">
        <v>20.121035758417683</v>
      </c>
      <c r="D59" s="36">
        <v>17.876842418716521</v>
      </c>
      <c r="E59" s="36">
        <v>15.982769176587407</v>
      </c>
      <c r="F59" s="36">
        <v>14.375185300995009</v>
      </c>
      <c r="G59" s="36">
        <v>13.003166187045672</v>
      </c>
      <c r="H59" s="36">
        <v>11.825778671265157</v>
      </c>
      <c r="I59" s="36">
        <v>10.809977952396833</v>
      </c>
      <c r="J59" s="36">
        <v>9.928972114631641</v>
      </c>
      <c r="K59" s="36">
        <v>9.1609454711175999</v>
      </c>
      <c r="L59" s="36">
        <v>8.4880582564566698</v>
      </c>
      <c r="M59" s="36">
        <v>7.8956599214862075</v>
      </c>
      <c r="N59" s="36">
        <v>7.3716681225351772</v>
      </c>
      <c r="O59" s="36">
        <v>6.9060766994139664</v>
      </c>
      <c r="P59" s="36">
        <v>6.4905644219740344</v>
      </c>
      <c r="Q59" s="36">
        <v>6.1181827347052966</v>
      </c>
      <c r="R59" s="36">
        <v>5.7831056474592506</v>
      </c>
      <c r="S59" s="36">
        <v>5.4804286838828808</v>
      </c>
      <c r="T59" s="36">
        <v>5.2060066882673999</v>
      </c>
      <c r="U59" s="36">
        <v>4.9563225166233487</v>
      </c>
    </row>
    <row r="60" spans="1:21" x14ac:dyDescent="0.15">
      <c r="A60" s="56">
        <f t="shared" si="1"/>
        <v>27</v>
      </c>
      <c r="B60" s="36">
        <v>23.559607588100818</v>
      </c>
      <c r="C60" s="36">
        <v>20.706897802370271</v>
      </c>
      <c r="D60" s="36">
        <v>18.327031474482055</v>
      </c>
      <c r="E60" s="36">
        <v>16.329585746718664</v>
      </c>
      <c r="F60" s="36">
        <v>14.643033619995245</v>
      </c>
      <c r="G60" s="36">
        <v>13.210534138722332</v>
      </c>
      <c r="H60" s="36">
        <v>11.98670903856557</v>
      </c>
      <c r="I60" s="36">
        <v>10.93516477073781</v>
      </c>
      <c r="J60" s="36">
        <v>10.026579921680405</v>
      </c>
      <c r="K60" s="36">
        <v>9.2372231555614537</v>
      </c>
      <c r="L60" s="36">
        <v>8.5478002310420447</v>
      </c>
      <c r="M60" s="36">
        <v>7.9425535013269704</v>
      </c>
      <c r="N60" s="36">
        <v>7.4085558606505995</v>
      </c>
      <c r="O60" s="36">
        <v>6.9351549994859356</v>
      </c>
      <c r="P60" s="36">
        <v>6.5135342799774216</v>
      </c>
      <c r="Q60" s="36">
        <v>6.1363644264700836</v>
      </c>
      <c r="R60" s="36">
        <v>5.7975261944096168</v>
      </c>
      <c r="S60" s="36">
        <v>5.4918887151549836</v>
      </c>
      <c r="T60" s="36">
        <v>5.2151316708129407</v>
      </c>
      <c r="U60" s="36">
        <v>4.9636020971861239</v>
      </c>
    </row>
    <row r="61" spans="1:21" x14ac:dyDescent="0.15">
      <c r="A61" s="56">
        <f t="shared" si="1"/>
        <v>28</v>
      </c>
      <c r="B61" s="36">
        <v>24.31644315653547</v>
      </c>
      <c r="C61" s="36">
        <v>21.281272355264978</v>
      </c>
      <c r="D61" s="36">
        <v>18.764108227652482</v>
      </c>
      <c r="E61" s="36">
        <v>16.663063217998715</v>
      </c>
      <c r="F61" s="36">
        <v>14.898127257138327</v>
      </c>
      <c r="G61" s="36">
        <v>13.40616428181352</v>
      </c>
      <c r="H61" s="36">
        <v>12.137111250995858</v>
      </c>
      <c r="I61" s="36">
        <v>11.051078491423898</v>
      </c>
      <c r="J61" s="36">
        <v>10.116128368514133</v>
      </c>
      <c r="K61" s="36">
        <v>9.3065665050558692</v>
      </c>
      <c r="L61" s="36">
        <v>8.6016218297676073</v>
      </c>
      <c r="M61" s="36">
        <v>7.984422769041938</v>
      </c>
      <c r="N61" s="36">
        <v>7.4411998766819458</v>
      </c>
      <c r="O61" s="36">
        <v>6.9606622802508209</v>
      </c>
      <c r="P61" s="36">
        <v>6.5335080695455838</v>
      </c>
      <c r="Q61" s="36">
        <v>6.1520382986811066</v>
      </c>
      <c r="R61" s="36">
        <v>5.8098514482133474</v>
      </c>
      <c r="S61" s="36">
        <v>5.5016006060635458</v>
      </c>
      <c r="T61" s="36">
        <v>5.2227997233722183</v>
      </c>
      <c r="U61" s="36">
        <v>4.9696684143217693</v>
      </c>
    </row>
    <row r="62" spans="1:21" x14ac:dyDescent="0.15">
      <c r="A62" s="56">
        <f t="shared" si="1"/>
        <v>29</v>
      </c>
      <c r="B62" s="36">
        <v>25.065785303500466</v>
      </c>
      <c r="C62" s="36">
        <v>21.844384662024485</v>
      </c>
      <c r="D62" s="36">
        <v>19.188454589953864</v>
      </c>
      <c r="E62" s="36">
        <v>16.983714632691072</v>
      </c>
      <c r="F62" s="36">
        <v>15.14107357822698</v>
      </c>
      <c r="G62" s="36">
        <v>13.590721020578794</v>
      </c>
      <c r="H62" s="36">
        <v>12.277674066351269</v>
      </c>
      <c r="I62" s="36">
        <v>11.158406010577682</v>
      </c>
      <c r="J62" s="36">
        <v>10.198282906893699</v>
      </c>
      <c r="K62" s="36">
        <v>9.3696059136871526</v>
      </c>
      <c r="L62" s="36">
        <v>8.6501097565473941</v>
      </c>
      <c r="M62" s="36">
        <v>8.0218060437874446</v>
      </c>
      <c r="N62" s="36">
        <v>7.4700883864442007</v>
      </c>
      <c r="O62" s="36">
        <v>6.9830370879393167</v>
      </c>
      <c r="P62" s="36">
        <v>6.5508765822135508</v>
      </c>
      <c r="Q62" s="36">
        <v>6.1655502574837122</v>
      </c>
      <c r="R62" s="36">
        <v>5.8203858531738009</v>
      </c>
      <c r="S62" s="36">
        <v>5.5098310220877496</v>
      </c>
      <c r="T62" s="36">
        <v>5.229243465018671</v>
      </c>
      <c r="U62" s="36">
        <v>4.9747236786014746</v>
      </c>
    </row>
    <row r="63" spans="1:21" x14ac:dyDescent="0.15">
      <c r="A63" s="56">
        <f t="shared" si="1"/>
        <v>30</v>
      </c>
      <c r="B63" s="36">
        <v>25.807708221287605</v>
      </c>
      <c r="C63" s="36">
        <v>22.396455551004397</v>
      </c>
      <c r="D63" s="36">
        <v>19.600441349469769</v>
      </c>
      <c r="E63" s="36">
        <v>17.292033300664492</v>
      </c>
      <c r="F63" s="36">
        <v>15.372451026882837</v>
      </c>
      <c r="G63" s="36">
        <v>13.764831151489428</v>
      </c>
      <c r="H63" s="36">
        <v>12.409041183505858</v>
      </c>
      <c r="I63" s="36">
        <v>11.257783343127485</v>
      </c>
      <c r="J63" s="36">
        <v>10.273654043021743</v>
      </c>
      <c r="K63" s="36">
        <v>9.42691446698832</v>
      </c>
      <c r="L63" s="36">
        <v>8.693792573466121</v>
      </c>
      <c r="M63" s="36">
        <v>8.0551839676673627</v>
      </c>
      <c r="N63" s="36">
        <v>7.4956534393311509</v>
      </c>
      <c r="O63" s="36">
        <v>7.0026641122274702</v>
      </c>
      <c r="P63" s="36">
        <v>6.5659796367074357</v>
      </c>
      <c r="Q63" s="36">
        <v>6.1771984978307861</v>
      </c>
      <c r="R63" s="36">
        <v>5.8293896180972657</v>
      </c>
      <c r="S63" s="36">
        <v>5.5168059509218219</v>
      </c>
      <c r="T63" s="36">
        <v>5.2346583739652699</v>
      </c>
      <c r="U63" s="36">
        <v>4.9789363988345618</v>
      </c>
    </row>
    <row r="64" spans="1:21" x14ac:dyDescent="0.15">
      <c r="A64" s="56">
        <f t="shared" si="1"/>
        <v>31</v>
      </c>
      <c r="B64" s="36">
        <v>26.542285367611466</v>
      </c>
      <c r="C64" s="36">
        <v>22.937701520592544</v>
      </c>
      <c r="D64" s="36">
        <v>20.000428494630849</v>
      </c>
      <c r="E64" s="36">
        <v>17.588493558331244</v>
      </c>
      <c r="F64" s="36">
        <v>15.59281050179318</v>
      </c>
      <c r="G64" s="36">
        <v>13.929085991971158</v>
      </c>
      <c r="H64" s="36">
        <v>12.531814190192391</v>
      </c>
      <c r="I64" s="36">
        <v>11.349799391784707</v>
      </c>
      <c r="J64" s="36">
        <v>10.342801874331876</v>
      </c>
      <c r="K64" s="36">
        <v>9.4790131518075658</v>
      </c>
      <c r="L64" s="36">
        <v>8.7331464625820914</v>
      </c>
      <c r="M64" s="36">
        <v>8.0849856854172888</v>
      </c>
      <c r="N64" s="36">
        <v>7.5182773799390716</v>
      </c>
      <c r="O64" s="36">
        <v>7.0198808001995356</v>
      </c>
      <c r="P64" s="36">
        <v>6.5791127275716832</v>
      </c>
      <c r="Q64" s="36">
        <v>6.1872400843368851</v>
      </c>
      <c r="R64" s="36">
        <v>5.8370851436728772</v>
      </c>
      <c r="S64" s="36">
        <v>5.5227169075608664</v>
      </c>
      <c r="T64" s="36">
        <v>5.2392087176178732</v>
      </c>
      <c r="U64" s="36">
        <v>4.9824469990288014</v>
      </c>
    </row>
    <row r="65" spans="1:21" x14ac:dyDescent="0.15">
      <c r="A65" s="56">
        <f t="shared" si="1"/>
        <v>32</v>
      </c>
      <c r="B65" s="36">
        <v>27.269589472882657</v>
      </c>
      <c r="C65" s="36">
        <v>23.46833482411034</v>
      </c>
      <c r="D65" s="36">
        <v>20.388765528767809</v>
      </c>
      <c r="E65" s="36">
        <v>17.873551498395425</v>
      </c>
      <c r="F65" s="36">
        <v>15.802676668374456</v>
      </c>
      <c r="G65" s="36">
        <v>14.084043388652034</v>
      </c>
      <c r="H65" s="36">
        <v>12.646555317936816</v>
      </c>
      <c r="I65" s="36">
        <v>11.434999436837693</v>
      </c>
      <c r="J65" s="36">
        <v>10.406240251680618</v>
      </c>
      <c r="K65" s="36">
        <v>9.5263755925523323</v>
      </c>
      <c r="L65" s="36">
        <v>8.7686004167406235</v>
      </c>
      <c r="M65" s="36">
        <v>8.1115943619797211</v>
      </c>
      <c r="N65" s="36">
        <v>7.5382985663177626</v>
      </c>
      <c r="O65" s="36">
        <v>7.0349831580697684</v>
      </c>
      <c r="P65" s="36">
        <v>6.590532806584072</v>
      </c>
      <c r="Q65" s="36">
        <v>6.1958966244283493</v>
      </c>
      <c r="R65" s="36">
        <v>5.843662515959724</v>
      </c>
      <c r="S65" s="36">
        <v>5.527726192848192</v>
      </c>
      <c r="T65" s="36">
        <v>5.2430325358133389</v>
      </c>
      <c r="U65" s="36">
        <v>4.9853724991906674</v>
      </c>
    </row>
    <row r="66" spans="1:21" x14ac:dyDescent="0.15">
      <c r="A66" s="56">
        <f t="shared" si="1"/>
        <v>33</v>
      </c>
      <c r="B66" s="36">
        <v>27.989692547408573</v>
      </c>
      <c r="C66" s="36">
        <v>23.988563553049357</v>
      </c>
      <c r="D66" s="36">
        <v>20.765791775502731</v>
      </c>
      <c r="E66" s="36">
        <v>18.147645671534065</v>
      </c>
      <c r="F66" s="36">
        <v>16.002549207975672</v>
      </c>
      <c r="G66" s="36">
        <v>14.230229611935883</v>
      </c>
      <c r="H66" s="36">
        <v>12.753790016763377</v>
      </c>
      <c r="I66" s="36">
        <v>11.513888367442307</v>
      </c>
      <c r="J66" s="36">
        <v>10.464440597872127</v>
      </c>
      <c r="K66" s="36">
        <v>9.5694323568657556</v>
      </c>
      <c r="L66" s="36">
        <v>8.800540915982543</v>
      </c>
      <c r="M66" s="36">
        <v>8.1353521089104657</v>
      </c>
      <c r="N66" s="36">
        <v>7.5560164303697022</v>
      </c>
      <c r="O66" s="36">
        <v>7.048230840412077</v>
      </c>
      <c r="P66" s="36">
        <v>6.6004633100731072</v>
      </c>
      <c r="Q66" s="36">
        <v>6.2033591589899562</v>
      </c>
      <c r="R66" s="36">
        <v>5.849284201674978</v>
      </c>
      <c r="S66" s="36">
        <v>5.5319713498713483</v>
      </c>
      <c r="T66" s="36">
        <v>5.2462458284145699</v>
      </c>
      <c r="U66" s="36">
        <v>4.9878104159922225</v>
      </c>
    </row>
    <row r="67" spans="1:21" x14ac:dyDescent="0.15">
      <c r="A67" s="56">
        <f t="shared" si="1"/>
        <v>34</v>
      </c>
      <c r="B67" s="36">
        <v>28.702665888523342</v>
      </c>
      <c r="C67" s="36">
        <v>24.498591718675836</v>
      </c>
      <c r="D67" s="36">
        <v>21.131836675245367</v>
      </c>
      <c r="E67" s="36">
        <v>18.411197761090445</v>
      </c>
      <c r="F67" s="36">
        <v>16.192904007595878</v>
      </c>
      <c r="G67" s="36">
        <v>14.368141143335739</v>
      </c>
      <c r="H67" s="36">
        <v>12.854009361461101</v>
      </c>
      <c r="I67" s="36">
        <v>11.586933673557692</v>
      </c>
      <c r="J67" s="36">
        <v>10.517835410891859</v>
      </c>
      <c r="K67" s="36">
        <v>9.6085748698779607</v>
      </c>
      <c r="L67" s="36">
        <v>8.8293161405248135</v>
      </c>
      <c r="M67" s="36">
        <v>8.1565643829557732</v>
      </c>
      <c r="N67" s="36">
        <v>7.571695956079382</v>
      </c>
      <c r="O67" s="36">
        <v>7.0598516143965586</v>
      </c>
      <c r="P67" s="36">
        <v>6.6090985304983532</v>
      </c>
      <c r="Q67" s="36">
        <v>6.2097923784396167</v>
      </c>
      <c r="R67" s="36">
        <v>5.8540890612606651</v>
      </c>
      <c r="S67" s="36">
        <v>5.5355689405689388</v>
      </c>
      <c r="T67" s="36">
        <v>5.2489460742979581</v>
      </c>
      <c r="U67" s="36">
        <v>4.989842013326852</v>
      </c>
    </row>
    <row r="68" spans="1:21" x14ac:dyDescent="0.15">
      <c r="A68" s="56">
        <f t="shared" si="1"/>
        <v>35</v>
      </c>
      <c r="B68" s="36">
        <v>29.408580087646861</v>
      </c>
      <c r="C68" s="36">
        <v>24.998619332035133</v>
      </c>
      <c r="D68" s="36">
        <v>21.487220073053756</v>
      </c>
      <c r="E68" s="36">
        <v>18.664613231817736</v>
      </c>
      <c r="F68" s="36">
        <v>16.374194292948456</v>
      </c>
      <c r="G68" s="36">
        <v>14.49824636163749</v>
      </c>
      <c r="H68" s="36">
        <v>12.947672300430934</v>
      </c>
      <c r="I68" s="36">
        <v>11.654568216257124</v>
      </c>
      <c r="J68" s="36">
        <v>10.56682147788244</v>
      </c>
      <c r="K68" s="36">
        <v>9.6441589726163279</v>
      </c>
      <c r="L68" s="36">
        <v>8.8552397662385722</v>
      </c>
      <c r="M68" s="36">
        <v>8.1755039133533689</v>
      </c>
      <c r="N68" s="36">
        <v>7.5855716425481248</v>
      </c>
      <c r="O68" s="36">
        <v>7.0700452757864554</v>
      </c>
      <c r="P68" s="36">
        <v>6.616607417824655</v>
      </c>
      <c r="Q68" s="36">
        <v>6.2153382572755316</v>
      </c>
      <c r="R68" s="36">
        <v>5.8581957788552685</v>
      </c>
      <c r="S68" s="36">
        <v>5.5386177462448636</v>
      </c>
      <c r="T68" s="36">
        <v>5.2512151884856797</v>
      </c>
      <c r="U68" s="36">
        <v>4.99153501110571</v>
      </c>
    </row>
    <row r="69" spans="1:21" x14ac:dyDescent="0.15">
      <c r="A69" s="56">
        <f t="shared" si="1"/>
        <v>36</v>
      </c>
      <c r="B69" s="36">
        <v>30.107505037274127</v>
      </c>
      <c r="C69" s="36">
        <v>25.488842482387383</v>
      </c>
      <c r="D69" s="36">
        <v>21.832252498110442</v>
      </c>
      <c r="E69" s="36">
        <v>18.908281953670897</v>
      </c>
      <c r="F69" s="36">
        <v>16.546851707569957</v>
      </c>
      <c r="G69" s="36">
        <v>14.620987133620273</v>
      </c>
      <c r="H69" s="36">
        <v>13.035207757412088</v>
      </c>
      <c r="I69" s="36">
        <v>11.717192792830669</v>
      </c>
      <c r="J69" s="36">
        <v>10.611762823745359</v>
      </c>
      <c r="K69" s="36">
        <v>9.6765081569239353</v>
      </c>
      <c r="L69" s="36">
        <v>8.8785943839987116</v>
      </c>
      <c r="M69" s="36">
        <v>8.1924142083512219</v>
      </c>
      <c r="N69" s="36">
        <v>7.5978510111045363</v>
      </c>
      <c r="O69" s="36">
        <v>7.0789870840232068</v>
      </c>
      <c r="P69" s="36">
        <v>6.6231368850649179</v>
      </c>
      <c r="Q69" s="36">
        <v>6.2201191873064934</v>
      </c>
      <c r="R69" s="36">
        <v>5.8617057938933916</v>
      </c>
      <c r="S69" s="36">
        <v>5.541201479868529</v>
      </c>
      <c r="T69" s="36">
        <v>5.2531220071308224</v>
      </c>
      <c r="U69" s="36">
        <v>4.9929458425880915</v>
      </c>
    </row>
    <row r="70" spans="1:21" x14ac:dyDescent="0.15">
      <c r="A70" s="56">
        <f t="shared" si="1"/>
        <v>37</v>
      </c>
      <c r="B70" s="36">
        <v>30.799509937895177</v>
      </c>
      <c r="C70" s="36">
        <v>25.969453414105281</v>
      </c>
      <c r="D70" s="36">
        <v>22.167235435058682</v>
      </c>
      <c r="E70" s="36">
        <v>19.142578801606636</v>
      </c>
      <c r="F70" s="36">
        <v>16.711287340542818</v>
      </c>
      <c r="G70" s="36">
        <v>14.736780314736107</v>
      </c>
      <c r="H70" s="36">
        <v>13.117016595712233</v>
      </c>
      <c r="I70" s="36">
        <v>11.775178511880251</v>
      </c>
      <c r="J70" s="36">
        <v>10.652993416280145</v>
      </c>
      <c r="K70" s="36">
        <v>9.7059165062944857</v>
      </c>
      <c r="L70" s="36">
        <v>8.8996345801790202</v>
      </c>
      <c r="M70" s="36">
        <v>8.2075126860278775</v>
      </c>
      <c r="N70" s="36">
        <v>7.6087177089420681</v>
      </c>
      <c r="O70" s="36">
        <v>7.0868307754589539</v>
      </c>
      <c r="P70" s="36">
        <v>6.628814682665146</v>
      </c>
      <c r="Q70" s="36">
        <v>6.2242406787124942</v>
      </c>
      <c r="R70" s="36">
        <v>5.864705806746489</v>
      </c>
      <c r="S70" s="36">
        <v>5.5433910846343464</v>
      </c>
      <c r="T70" s="36">
        <v>5.2547243757401869</v>
      </c>
      <c r="U70" s="36">
        <v>4.9941215354900761</v>
      </c>
    </row>
    <row r="71" spans="1:21" x14ac:dyDescent="0.15">
      <c r="A71" s="56">
        <f t="shared" si="1"/>
        <v>38</v>
      </c>
      <c r="B71" s="36">
        <v>31.484663304846716</v>
      </c>
      <c r="C71" s="36">
        <v>26.440640602064004</v>
      </c>
      <c r="D71" s="36">
        <v>22.492461587435614</v>
      </c>
      <c r="E71" s="36">
        <v>19.367864232314073</v>
      </c>
      <c r="F71" s="36">
        <v>16.867892705278873</v>
      </c>
      <c r="G71" s="36">
        <v>14.846019164845384</v>
      </c>
      <c r="H71" s="36">
        <v>13.193473453936665</v>
      </c>
      <c r="I71" s="36">
        <v>11.828868992481713</v>
      </c>
      <c r="J71" s="36">
        <v>10.690819647963435</v>
      </c>
      <c r="K71" s="36">
        <v>9.7326513693586243</v>
      </c>
      <c r="L71" s="36">
        <v>8.9185897118729915</v>
      </c>
      <c r="M71" s="36">
        <v>8.2209934696677465</v>
      </c>
      <c r="N71" s="36">
        <v>7.6183342557009448</v>
      </c>
      <c r="O71" s="36">
        <v>7.0937112065429417</v>
      </c>
      <c r="P71" s="36">
        <v>6.6337518979696926</v>
      </c>
      <c r="Q71" s="36">
        <v>6.2277936885452538</v>
      </c>
      <c r="R71" s="36">
        <v>5.8672699202961445</v>
      </c>
      <c r="S71" s="36">
        <v>5.5452466818935138</v>
      </c>
      <c r="T71" s="36">
        <v>5.2560709039833498</v>
      </c>
      <c r="U71" s="36">
        <v>4.9951012795750636</v>
      </c>
    </row>
    <row r="72" spans="1:21" x14ac:dyDescent="0.15">
      <c r="A72" s="56">
        <f t="shared" si="1"/>
        <v>39</v>
      </c>
      <c r="B72" s="36">
        <v>32.163032975095739</v>
      </c>
      <c r="C72" s="36">
        <v>26.902588825552936</v>
      </c>
      <c r="D72" s="36">
        <v>22.808215133432636</v>
      </c>
      <c r="E72" s="36">
        <v>19.58448483876353</v>
      </c>
      <c r="F72" s="36">
        <v>17.017040671694165</v>
      </c>
      <c r="G72" s="36">
        <v>14.949074683816402</v>
      </c>
      <c r="H72" s="36">
        <v>13.264928461623052</v>
      </c>
      <c r="I72" s="36">
        <v>11.87858240044603</v>
      </c>
      <c r="J72" s="36">
        <v>10.725522612810492</v>
      </c>
      <c r="K72" s="36">
        <v>9.7569557903260229</v>
      </c>
      <c r="L72" s="36">
        <v>8.9356664070927838</v>
      </c>
      <c r="M72" s="36">
        <v>8.2330298836319162</v>
      </c>
      <c r="N72" s="36">
        <v>7.6268444740716337</v>
      </c>
      <c r="O72" s="36">
        <v>7.0997466724060896</v>
      </c>
      <c r="P72" s="36">
        <v>6.6380451286692974</v>
      </c>
      <c r="Q72" s="36">
        <v>6.2308566280562534</v>
      </c>
      <c r="R72" s="36">
        <v>5.8694614703385843</v>
      </c>
      <c r="S72" s="36">
        <v>5.5468192219436556</v>
      </c>
      <c r="T72" s="36">
        <v>5.2572024403221427</v>
      </c>
      <c r="U72" s="36">
        <v>4.995917732979219</v>
      </c>
    </row>
    <row r="73" spans="1:21" x14ac:dyDescent="0.15">
      <c r="A73" s="56">
        <f t="shared" si="1"/>
        <v>40</v>
      </c>
      <c r="B73" s="36">
        <v>32.834686113956195</v>
      </c>
      <c r="C73" s="36">
        <v>27.35547924073818</v>
      </c>
      <c r="D73" s="36">
        <v>23.114771974206437</v>
      </c>
      <c r="E73" s="36">
        <v>19.792773883426474</v>
      </c>
      <c r="F73" s="36">
        <v>17.159086353994443</v>
      </c>
      <c r="G73" s="36">
        <v>15.046296871524904</v>
      </c>
      <c r="H73" s="36">
        <v>13.331708842638367</v>
      </c>
      <c r="I73" s="36">
        <v>11.924613333746326</v>
      </c>
      <c r="J73" s="36">
        <v>10.757360195238983</v>
      </c>
      <c r="K73" s="36">
        <v>9.7790507184782012</v>
      </c>
      <c r="L73" s="36">
        <v>8.9510508172007075</v>
      </c>
      <c r="M73" s="36">
        <v>8.2437766818142109</v>
      </c>
      <c r="N73" s="36">
        <v>7.6343756407713572</v>
      </c>
      <c r="O73" s="36">
        <v>7.105040940707096</v>
      </c>
      <c r="P73" s="36">
        <v>6.641778372755911</v>
      </c>
      <c r="Q73" s="36">
        <v>6.2334970931519429</v>
      </c>
      <c r="R73" s="36">
        <v>5.871334590032979</v>
      </c>
      <c r="S73" s="36">
        <v>5.548151883003098</v>
      </c>
      <c r="T73" s="36">
        <v>5.2581533111950778</v>
      </c>
      <c r="U73" s="36">
        <v>4.9965981108160156</v>
      </c>
    </row>
    <row r="74" spans="1:21" x14ac:dyDescent="0.15">
      <c r="A74" s="56">
        <f t="shared" si="1"/>
        <v>41</v>
      </c>
      <c r="B74" s="36">
        <v>33.499689221738812</v>
      </c>
      <c r="C74" s="36">
        <v>27.799489451704098</v>
      </c>
      <c r="D74" s="36">
        <v>23.412399974957712</v>
      </c>
      <c r="E74" s="36">
        <v>19.993051810986994</v>
      </c>
      <c r="F74" s="36">
        <v>17.294367956185184</v>
      </c>
      <c r="G74" s="36">
        <v>15.138015916532931</v>
      </c>
      <c r="H74" s="36">
        <v>13.394120413680715</v>
      </c>
      <c r="I74" s="36">
        <v>11.967234568283633</v>
      </c>
      <c r="J74" s="36">
        <v>10.786568986457784</v>
      </c>
      <c r="K74" s="36">
        <v>9.7991370167983654</v>
      </c>
      <c r="L74" s="36">
        <v>8.9649106461267642</v>
      </c>
      <c r="M74" s="36">
        <v>8.2533720373341186</v>
      </c>
      <c r="N74" s="36">
        <v>7.6410403900631474</v>
      </c>
      <c r="O74" s="36">
        <v>7.1096850357079795</v>
      </c>
      <c r="P74" s="36">
        <v>6.6450246719616617</v>
      </c>
      <c r="Q74" s="36">
        <v>6.2357733561654678</v>
      </c>
      <c r="R74" s="36">
        <v>5.8729355470367341</v>
      </c>
      <c r="S74" s="36">
        <v>5.5492812567822858</v>
      </c>
      <c r="T74" s="36">
        <v>5.258952362348805</v>
      </c>
      <c r="U74" s="36">
        <v>4.9971650923466804</v>
      </c>
    </row>
    <row r="75" spans="1:21" x14ac:dyDescent="0.15">
      <c r="A75" s="56">
        <f t="shared" si="1"/>
        <v>42</v>
      </c>
      <c r="B75" s="36">
        <v>34.158108140335464</v>
      </c>
      <c r="C75" s="36">
        <v>28.234793580102053</v>
      </c>
      <c r="D75" s="36">
        <v>23.701359198988065</v>
      </c>
      <c r="E75" s="36">
        <v>20.18562674133365</v>
      </c>
      <c r="F75" s="36">
        <v>17.423207577319221</v>
      </c>
      <c r="G75" s="36">
        <v>15.224543317483896</v>
      </c>
      <c r="H75" s="36">
        <v>13.452448984748333</v>
      </c>
      <c r="I75" s="36">
        <v>12.006698674336699</v>
      </c>
      <c r="J75" s="36">
        <v>10.813366042621819</v>
      </c>
      <c r="K75" s="36">
        <v>9.8173972879985136</v>
      </c>
      <c r="L75" s="36">
        <v>8.97739697849258</v>
      </c>
      <c r="M75" s="36">
        <v>8.2619393190483201</v>
      </c>
      <c r="N75" s="36">
        <v>7.6469383982859718</v>
      </c>
      <c r="O75" s="36">
        <v>7.1137588032526136</v>
      </c>
      <c r="P75" s="36">
        <v>6.647847540836227</v>
      </c>
      <c r="Q75" s="36">
        <v>6.2377356518667826</v>
      </c>
      <c r="R75" s="36">
        <v>5.8743038863561825</v>
      </c>
      <c r="S75" s="36">
        <v>5.5502383532053274</v>
      </c>
      <c r="T75" s="36">
        <v>5.2596238339065584</v>
      </c>
      <c r="U75" s="36">
        <v>4.9976375769555661</v>
      </c>
    </row>
    <row r="76" spans="1:21" x14ac:dyDescent="0.15">
      <c r="A76" s="56">
        <f t="shared" si="1"/>
        <v>43</v>
      </c>
      <c r="B76" s="36">
        <v>34.810008059738067</v>
      </c>
      <c r="C76" s="36">
        <v>28.661562333433384</v>
      </c>
      <c r="D76" s="36">
        <v>23.981902134939872</v>
      </c>
      <c r="E76" s="36">
        <v>20.370794943590045</v>
      </c>
      <c r="F76" s="36">
        <v>17.545911978399257</v>
      </c>
      <c r="G76" s="36">
        <v>15.306172941022544</v>
      </c>
      <c r="H76" s="36">
        <v>13.506961667989096</v>
      </c>
      <c r="I76" s="36">
        <v>12.04323951327472</v>
      </c>
      <c r="J76" s="36">
        <v>10.837950497818182</v>
      </c>
      <c r="K76" s="36">
        <v>9.8339975345441033</v>
      </c>
      <c r="L76" s="36">
        <v>8.988645926569891</v>
      </c>
      <c r="M76" s="36">
        <v>8.269588677721714</v>
      </c>
      <c r="N76" s="36">
        <v>7.6521578745893555</v>
      </c>
      <c r="O76" s="36">
        <v>7.1173322835549238</v>
      </c>
      <c r="P76" s="36">
        <v>6.650302209422807</v>
      </c>
      <c r="Q76" s="36">
        <v>6.2394272860920541</v>
      </c>
      <c r="R76" s="36">
        <v>5.875473407142036</v>
      </c>
      <c r="S76" s="36">
        <v>5.5510494518689217</v>
      </c>
      <c r="T76" s="36">
        <v>5.2601880957197968</v>
      </c>
      <c r="U76" s="36">
        <v>4.998031314129638</v>
      </c>
    </row>
    <row r="77" spans="1:21" x14ac:dyDescent="0.15">
      <c r="A77" s="56">
        <f t="shared" si="1"/>
        <v>44</v>
      </c>
      <c r="B77" s="36">
        <v>35.455453524493137</v>
      </c>
      <c r="C77" s="36">
        <v>29.079963071993518</v>
      </c>
      <c r="D77" s="36">
        <v>24.254273917417347</v>
      </c>
      <c r="E77" s="36">
        <v>20.548841291913508</v>
      </c>
      <c r="F77" s="36">
        <v>17.6627733127612</v>
      </c>
      <c r="G77" s="36">
        <v>15.383182019832589</v>
      </c>
      <c r="H77" s="36">
        <v>13.55790810092439</v>
      </c>
      <c r="I77" s="36">
        <v>12.077073623402519</v>
      </c>
      <c r="J77" s="36">
        <v>10.860505043869892</v>
      </c>
      <c r="K77" s="36">
        <v>9.8490886677673668</v>
      </c>
      <c r="L77" s="36">
        <v>8.9987801140269301</v>
      </c>
      <c r="M77" s="36">
        <v>8.2764184622515309</v>
      </c>
      <c r="N77" s="36">
        <v>7.6567768801675715</v>
      </c>
      <c r="O77" s="36">
        <v>7.1204669153990556</v>
      </c>
      <c r="P77" s="36">
        <v>6.6524367038459191</v>
      </c>
      <c r="Q77" s="36">
        <v>6.2408855914586665</v>
      </c>
      <c r="R77" s="36">
        <v>5.876472997557296</v>
      </c>
      <c r="S77" s="36">
        <v>5.5517368236177296</v>
      </c>
      <c r="T77" s="36">
        <v>5.2606622653107538</v>
      </c>
      <c r="U77" s="36">
        <v>4.9983594284413657</v>
      </c>
    </row>
    <row r="78" spans="1:21" x14ac:dyDescent="0.15">
      <c r="A78" s="56">
        <f t="shared" si="1"/>
        <v>45</v>
      </c>
      <c r="B78" s="36">
        <v>36.09450844009222</v>
      </c>
      <c r="C78" s="36">
        <v>29.490159874503448</v>
      </c>
      <c r="D78" s="36">
        <v>24.518712541181895</v>
      </c>
      <c r="E78" s="36">
        <v>20.720039703762989</v>
      </c>
      <c r="F78" s="36">
        <v>17.774069821677333</v>
      </c>
      <c r="G78" s="36">
        <v>15.455832094181687</v>
      </c>
      <c r="H78" s="36">
        <v>13.60552158964896</v>
      </c>
      <c r="I78" s="36">
        <v>12.10840150315048</v>
      </c>
      <c r="J78" s="36">
        <v>10.881197287954029</v>
      </c>
      <c r="K78" s="36">
        <v>9.8628078797885159</v>
      </c>
      <c r="L78" s="36">
        <v>9.0079100126368736</v>
      </c>
      <c r="M78" s="36">
        <v>8.2825164841531524</v>
      </c>
      <c r="N78" s="36">
        <v>7.6608644957235148</v>
      </c>
      <c r="O78" s="36">
        <v>7.1232165924553126</v>
      </c>
      <c r="P78" s="36">
        <v>6.6542927859529728</v>
      </c>
      <c r="Q78" s="36">
        <v>6.2421427512574708</v>
      </c>
      <c r="R78" s="36">
        <v>5.8773273483395689</v>
      </c>
      <c r="S78" s="36">
        <v>5.5523193420489232</v>
      </c>
      <c r="T78" s="36">
        <v>5.2610607271518939</v>
      </c>
      <c r="U78" s="36">
        <v>4.9986328570344707</v>
      </c>
    </row>
    <row r="79" spans="1:21" x14ac:dyDescent="0.15">
      <c r="A79" s="56">
        <f t="shared" si="1"/>
        <v>46</v>
      </c>
      <c r="B79" s="36">
        <v>36.727236079299239</v>
      </c>
      <c r="C79" s="36">
        <v>29.892313602454362</v>
      </c>
      <c r="D79" s="36">
        <v>24.775449069108632</v>
      </c>
      <c r="E79" s="36">
        <v>20.884653561310564</v>
      </c>
      <c r="F79" s="36">
        <v>17.880066496835557</v>
      </c>
      <c r="G79" s="36">
        <v>15.524369900171404</v>
      </c>
      <c r="H79" s="36">
        <v>13.650020177242018</v>
      </c>
      <c r="I79" s="36">
        <v>12.137408799213409</v>
      </c>
      <c r="J79" s="36">
        <v>10.900180998122964</v>
      </c>
      <c r="K79" s="36">
        <v>9.8752798907168327</v>
      </c>
      <c r="L79" s="36">
        <v>9.0161351465197068</v>
      </c>
      <c r="M79" s="36">
        <v>8.2879611465653156</v>
      </c>
      <c r="N79" s="36">
        <v>7.6644818546225801</v>
      </c>
      <c r="O79" s="36">
        <v>7.1256285898730818</v>
      </c>
      <c r="P79" s="36">
        <v>6.655906770393889</v>
      </c>
      <c r="Q79" s="36">
        <v>6.2432265097047166</v>
      </c>
      <c r="R79" s="36">
        <v>5.8780575626833924</v>
      </c>
      <c r="S79" s="36">
        <v>5.552813001736375</v>
      </c>
      <c r="T79" s="36">
        <v>5.2613955690352041</v>
      </c>
      <c r="U79" s="36">
        <v>4.9988607141953922</v>
      </c>
    </row>
    <row r="80" spans="1:21" x14ac:dyDescent="0.15">
      <c r="A80" s="56">
        <f t="shared" si="1"/>
        <v>47</v>
      </c>
      <c r="B80" s="36">
        <v>37.353699088415063</v>
      </c>
      <c r="C80" s="36">
        <v>30.286581963190546</v>
      </c>
      <c r="D80" s="36">
        <v>25.024707834086055</v>
      </c>
      <c r="E80" s="36">
        <v>21.042936116644775</v>
      </c>
      <c r="F80" s="36">
        <v>17.981015711271958</v>
      </c>
      <c r="G80" s="36">
        <v>15.58902820770887</v>
      </c>
      <c r="H80" s="36">
        <v>13.691607642282261</v>
      </c>
      <c r="I80" s="36">
        <v>12.16426740667908</v>
      </c>
      <c r="J80" s="36">
        <v>10.917597245984371</v>
      </c>
      <c r="K80" s="36">
        <v>9.8866180824698482</v>
      </c>
      <c r="L80" s="36">
        <v>9.023545177044781</v>
      </c>
      <c r="M80" s="36">
        <v>8.2928224522904603</v>
      </c>
      <c r="N80" s="36">
        <v>7.6676830571881229</v>
      </c>
      <c r="O80" s="36">
        <v>7.1277443770816502</v>
      </c>
      <c r="P80" s="36">
        <v>6.6573102351251219</v>
      </c>
      <c r="Q80" s="36">
        <v>6.2441607842282041</v>
      </c>
      <c r="R80" s="36">
        <v>5.8786816775071724</v>
      </c>
      <c r="S80" s="36">
        <v>5.5532313574037078</v>
      </c>
      <c r="T80" s="36">
        <v>5.2616769487690789</v>
      </c>
      <c r="U80" s="36">
        <v>4.999050595162827</v>
      </c>
    </row>
    <row r="81" spans="1:21" x14ac:dyDescent="0.15">
      <c r="A81" s="56">
        <f t="shared" si="1"/>
        <v>48</v>
      </c>
      <c r="B81" s="36">
        <v>37.97395949348028</v>
      </c>
      <c r="C81" s="36">
        <v>30.673119571755443</v>
      </c>
      <c r="D81" s="36">
        <v>25.266706635035003</v>
      </c>
      <c r="E81" s="36">
        <v>21.195130881389208</v>
      </c>
      <c r="F81" s="36">
        <v>18.077157820259007</v>
      </c>
      <c r="G81" s="36">
        <v>15.650026611046103</v>
      </c>
      <c r="H81" s="36">
        <v>13.730474432039495</v>
      </c>
      <c r="I81" s="36">
        <v>12.189136487665817</v>
      </c>
      <c r="J81" s="36">
        <v>10.933575455031532</v>
      </c>
      <c r="K81" s="36">
        <v>9.8969255295180432</v>
      </c>
      <c r="L81" s="36">
        <v>9.0302208802205222</v>
      </c>
      <c r="M81" s="36">
        <v>8.2971629038307686</v>
      </c>
      <c r="N81" s="36">
        <v>7.6705159798124996</v>
      </c>
      <c r="O81" s="36">
        <v>7.1296003307733775</v>
      </c>
      <c r="P81" s="36">
        <v>6.6585306392392365</v>
      </c>
      <c r="Q81" s="36">
        <v>6.2449661933001757</v>
      </c>
      <c r="R81" s="36">
        <v>5.8792151089804898</v>
      </c>
      <c r="S81" s="36">
        <v>5.5535858961048374</v>
      </c>
      <c r="T81" s="36">
        <v>5.2619134023269574</v>
      </c>
      <c r="U81" s="36">
        <v>4.9992088293023551</v>
      </c>
    </row>
    <row r="82" spans="1:21" x14ac:dyDescent="0.15">
      <c r="A82" s="56">
        <f t="shared" si="1"/>
        <v>49</v>
      </c>
      <c r="B82" s="36">
        <v>38.58807870641612</v>
      </c>
      <c r="C82" s="36">
        <v>31.052078011524941</v>
      </c>
      <c r="D82" s="36">
        <v>25.501656927218448</v>
      </c>
      <c r="E82" s="36">
        <v>21.341472001335777</v>
      </c>
      <c r="F82" s="36">
        <v>18.168721733580007</v>
      </c>
      <c r="G82" s="36">
        <v>15.707572274571797</v>
      </c>
      <c r="H82" s="36">
        <v>13.766798534616351</v>
      </c>
      <c r="I82" s="36">
        <v>12.212163414505383</v>
      </c>
      <c r="J82" s="36">
        <v>10.948234362414249</v>
      </c>
      <c r="K82" s="36">
        <v>9.9062959359254936</v>
      </c>
      <c r="L82" s="36">
        <v>9.0362350272256968</v>
      </c>
      <c r="M82" s="36">
        <v>8.3010383069917566</v>
      </c>
      <c r="N82" s="36">
        <v>7.6730229909845127</v>
      </c>
      <c r="O82" s="36">
        <v>7.1312283603275235</v>
      </c>
      <c r="P82" s="36">
        <v>6.6595918602080317</v>
      </c>
      <c r="Q82" s="36">
        <v>6.2456605114656689</v>
      </c>
      <c r="R82" s="36">
        <v>5.879671033316658</v>
      </c>
      <c r="S82" s="36">
        <v>5.5538863526312179</v>
      </c>
      <c r="T82" s="36">
        <v>5.2621121027957622</v>
      </c>
      <c r="U82" s="36">
        <v>4.9993406910852967</v>
      </c>
    </row>
    <row r="83" spans="1:21" x14ac:dyDescent="0.15">
      <c r="A83" s="56">
        <f t="shared" si="1"/>
        <v>50</v>
      </c>
      <c r="B83" s="36">
        <v>39.196117531105081</v>
      </c>
      <c r="C83" s="36">
        <v>31.423605893651903</v>
      </c>
      <c r="D83" s="36">
        <v>25.7297640070082</v>
      </c>
      <c r="E83" s="36">
        <v>21.482184616669016</v>
      </c>
      <c r="F83" s="36">
        <v>18.255925460552387</v>
      </c>
      <c r="G83" s="36">
        <v>15.761860636388485</v>
      </c>
      <c r="H83" s="36">
        <v>13.800746294033974</v>
      </c>
      <c r="I83" s="36">
        <v>12.233484643060541</v>
      </c>
      <c r="J83" s="36">
        <v>10.961682901297477</v>
      </c>
      <c r="K83" s="36">
        <v>9.9148144872049944</v>
      </c>
      <c r="L83" s="36">
        <v>9.0416531776808089</v>
      </c>
      <c r="M83" s="36">
        <v>8.3044984883854962</v>
      </c>
      <c r="N83" s="36">
        <v>7.6752415849420466</v>
      </c>
      <c r="O83" s="36">
        <v>7.1326564564276538</v>
      </c>
      <c r="P83" s="36">
        <v>6.6605146610504615</v>
      </c>
      <c r="Q83" s="36">
        <v>6.2462590616083347</v>
      </c>
      <c r="R83" s="36">
        <v>5.8800607122364594</v>
      </c>
      <c r="S83" s="36">
        <v>5.5541409768061172</v>
      </c>
      <c r="T83" s="36">
        <v>5.262279077979632</v>
      </c>
      <c r="U83" s="36">
        <v>4.9994505759044134</v>
      </c>
    </row>
    <row r="84" spans="1:21" x14ac:dyDescent="0.15">
      <c r="A84" s="38"/>
    </row>
    <row r="85" spans="1:21" x14ac:dyDescent="0.15">
      <c r="A85" s="38"/>
    </row>
    <row r="86" spans="1:21" x14ac:dyDescent="0.15">
      <c r="A86" s="38"/>
    </row>
    <row r="87" spans="1:21" x14ac:dyDescent="0.15">
      <c r="A87" s="38"/>
    </row>
    <row r="88" spans="1:21" x14ac:dyDescent="0.15">
      <c r="A88" s="38"/>
    </row>
    <row r="89" spans="1:21" x14ac:dyDescent="0.15">
      <c r="A89" s="38"/>
    </row>
    <row r="90" spans="1:21" x14ac:dyDescent="0.15">
      <c r="A90" s="38"/>
    </row>
    <row r="91" spans="1:21" x14ac:dyDescent="0.15">
      <c r="A91" s="38"/>
    </row>
    <row r="92" spans="1:21" x14ac:dyDescent="0.15">
      <c r="A92" s="38"/>
    </row>
    <row r="93" spans="1:21" x14ac:dyDescent="0.15">
      <c r="A93" s="38"/>
    </row>
    <row r="94" spans="1:21" x14ac:dyDescent="0.15">
      <c r="A94" s="38"/>
    </row>
    <row r="95" spans="1:21" x14ac:dyDescent="0.15">
      <c r="A95" s="38"/>
    </row>
    <row r="96" spans="1:21" s="37" customFormat="1" x14ac:dyDescent="0.15">
      <c r="A96" s="37" t="s">
        <v>80</v>
      </c>
      <c r="B96" s="37" t="s">
        <v>88</v>
      </c>
    </row>
    <row r="97" spans="1:5" x14ac:dyDescent="0.15">
      <c r="A97" s="36" t="s">
        <v>89</v>
      </c>
    </row>
    <row r="98" spans="1:5" x14ac:dyDescent="0.15">
      <c r="A98" s="38">
        <f>PMT(8%,10,10000)</f>
        <v>-1490.2948869707541</v>
      </c>
    </row>
    <row r="99" spans="1:5" x14ac:dyDescent="0.15">
      <c r="A99" s="36" t="s">
        <v>90</v>
      </c>
    </row>
    <row r="100" spans="1:5" x14ac:dyDescent="0.15">
      <c r="A100" s="38">
        <f>PMT(8%,10,10000,-2000)</f>
        <v>-1352.2359095766035</v>
      </c>
    </row>
    <row r="101" spans="1:5" x14ac:dyDescent="0.15">
      <c r="A101" s="36" t="s">
        <v>91</v>
      </c>
    </row>
    <row r="102" spans="1:5" s="37" customFormat="1" x14ac:dyDescent="0.15">
      <c r="A102" s="39" t="s">
        <v>80</v>
      </c>
      <c r="B102" s="37" t="s">
        <v>92</v>
      </c>
    </row>
    <row r="103" spans="1:5" x14ac:dyDescent="0.15">
      <c r="A103" s="36" t="s">
        <v>93</v>
      </c>
    </row>
    <row r="104" spans="1:5" x14ac:dyDescent="0.15">
      <c r="A104" s="36">
        <f>NPER(8%,-1000,10000)</f>
        <v>20.912371879004763</v>
      </c>
    </row>
    <row r="105" spans="1:5" x14ac:dyDescent="0.15">
      <c r="A105" s="36" t="s">
        <v>94</v>
      </c>
    </row>
    <row r="106" spans="1:5" x14ac:dyDescent="0.15">
      <c r="A106" s="36">
        <f>NPER(8%,-500,0,10000)</f>
        <v>12.415521293914558</v>
      </c>
    </row>
    <row r="108" spans="1:5" x14ac:dyDescent="0.15">
      <c r="A108" s="36" t="s">
        <v>95</v>
      </c>
      <c r="B108" s="36" t="s">
        <v>96</v>
      </c>
    </row>
    <row r="109" spans="1:5" x14ac:dyDescent="0.15">
      <c r="A109" s="36" t="s">
        <v>97</v>
      </c>
    </row>
    <row r="110" spans="1:5" x14ac:dyDescent="0.15">
      <c r="A110" s="40">
        <f>RATE(10,-1200,10000,0,0,3%)</f>
        <v>3.460153799654981E-2</v>
      </c>
    </row>
    <row r="112" spans="1:5" s="37" customFormat="1" x14ac:dyDescent="0.15">
      <c r="A112" s="37" t="s">
        <v>95</v>
      </c>
      <c r="B112" s="37" t="s">
        <v>98</v>
      </c>
      <c r="C112" s="37" t="s">
        <v>103</v>
      </c>
      <c r="D112" s="37" t="s">
        <v>104</v>
      </c>
      <c r="E112" s="37" t="s">
        <v>105</v>
      </c>
    </row>
    <row r="113" spans="1:12" x14ac:dyDescent="0.15">
      <c r="A113" s="36" t="s">
        <v>99</v>
      </c>
    </row>
    <row r="114" spans="1:12" x14ac:dyDescent="0.15">
      <c r="A114" s="36" t="s">
        <v>100</v>
      </c>
    </row>
    <row r="115" spans="1:12" x14ac:dyDescent="0.15">
      <c r="A115" s="36" t="s">
        <v>101</v>
      </c>
    </row>
    <row r="116" spans="1:12" x14ac:dyDescent="0.15">
      <c r="A116" s="36" t="s">
        <v>102</v>
      </c>
    </row>
    <row r="118" spans="1:12" x14ac:dyDescent="0.15">
      <c r="A118" s="36" t="s">
        <v>106</v>
      </c>
    </row>
    <row r="120" spans="1:12" x14ac:dyDescent="0.15">
      <c r="A120" s="36" t="s">
        <v>107</v>
      </c>
      <c r="B120" s="36" t="s">
        <v>119</v>
      </c>
      <c r="C120" s="36" t="s">
        <v>120</v>
      </c>
      <c r="D120" s="36" t="s">
        <v>121</v>
      </c>
      <c r="E120" s="36" t="s">
        <v>122</v>
      </c>
      <c r="F120" s="36" t="s">
        <v>123</v>
      </c>
      <c r="G120" s="36" t="s">
        <v>124</v>
      </c>
      <c r="H120" s="36" t="s">
        <v>125</v>
      </c>
      <c r="I120" s="36" t="s">
        <v>126</v>
      </c>
      <c r="J120" s="36" t="s">
        <v>127</v>
      </c>
      <c r="K120" s="36" t="s">
        <v>128</v>
      </c>
    </row>
    <row r="121" spans="1:12" x14ac:dyDescent="0.15">
      <c r="A121" s="36" t="s">
        <v>115</v>
      </c>
      <c r="B121" s="38">
        <f t="shared" ref="B121:K121" si="2">PMT($C$130,$K$120,$C$128,0,$C$131)</f>
        <v>-1490.2948869707541</v>
      </c>
      <c r="C121" s="38">
        <f t="shared" si="2"/>
        <v>-1490.2948869707541</v>
      </c>
      <c r="D121" s="38">
        <f t="shared" si="2"/>
        <v>-1490.2948869707541</v>
      </c>
      <c r="E121" s="38">
        <f t="shared" si="2"/>
        <v>-1490.2948869707541</v>
      </c>
      <c r="F121" s="38">
        <f t="shared" si="2"/>
        <v>-1490.2948869707541</v>
      </c>
      <c r="G121" s="38">
        <f t="shared" si="2"/>
        <v>-1490.2948869707541</v>
      </c>
      <c r="H121" s="38">
        <f t="shared" si="2"/>
        <v>-1490.2948869707541</v>
      </c>
      <c r="I121" s="38">
        <f t="shared" si="2"/>
        <v>-1490.2948869707541</v>
      </c>
      <c r="J121" s="38">
        <f t="shared" si="2"/>
        <v>-1490.2948869707541</v>
      </c>
      <c r="K121" s="38">
        <f t="shared" si="2"/>
        <v>-1490.2948869707541</v>
      </c>
    </row>
    <row r="122" spans="1:12" x14ac:dyDescent="0.15">
      <c r="A122" s="36" t="s">
        <v>108</v>
      </c>
      <c r="B122" s="38">
        <f t="shared" ref="B122:K122" si="3">IPMT($C$130,B120,$C$129,$C$128,0,$C$131)</f>
        <v>-800</v>
      </c>
      <c r="C122" s="38">
        <f t="shared" si="3"/>
        <v>-744.77640904233965</v>
      </c>
      <c r="D122" s="38">
        <f t="shared" si="3"/>
        <v>-685.13493080806643</v>
      </c>
      <c r="E122" s="38">
        <f t="shared" si="3"/>
        <v>-620.72213431505133</v>
      </c>
      <c r="F122" s="38">
        <f t="shared" si="3"/>
        <v>-551.15631410259516</v>
      </c>
      <c r="G122" s="38">
        <f t="shared" si="3"/>
        <v>-476.02522827314249</v>
      </c>
      <c r="H122" s="38">
        <f t="shared" si="3"/>
        <v>-394.88365557733351</v>
      </c>
      <c r="I122" s="38">
        <f t="shared" si="3"/>
        <v>-307.25075706585989</v>
      </c>
      <c r="J122" s="38">
        <f t="shared" si="3"/>
        <v>-212.60722667346832</v>
      </c>
      <c r="K122" s="38">
        <f t="shared" si="3"/>
        <v>-110.39221384968548</v>
      </c>
    </row>
    <row r="123" spans="1:12" x14ac:dyDescent="0.15">
      <c r="A123" s="36" t="s">
        <v>116</v>
      </c>
      <c r="B123" s="38">
        <f t="shared" ref="B123:K123" si="4">CUMIPMT($C$130,$C$129,$C$128,$B$120,B120,$C$131)</f>
        <v>-800</v>
      </c>
      <c r="C123" s="38">
        <f t="shared" si="4"/>
        <v>-1544.7764090423395</v>
      </c>
      <c r="D123" s="38">
        <f t="shared" si="4"/>
        <v>-2229.911339850406</v>
      </c>
      <c r="E123" s="38">
        <f t="shared" si="4"/>
        <v>-2850.6334741654568</v>
      </c>
      <c r="F123" s="38">
        <f t="shared" si="4"/>
        <v>-3401.7897882680513</v>
      </c>
      <c r="G123" s="38">
        <f t="shared" si="4"/>
        <v>-3877.8150165411944</v>
      </c>
      <c r="H123" s="38">
        <f t="shared" si="4"/>
        <v>-4272.6986721185285</v>
      </c>
      <c r="I123" s="38">
        <f t="shared" si="4"/>
        <v>-4579.9494291843876</v>
      </c>
      <c r="J123" s="38">
        <f t="shared" si="4"/>
        <v>-4792.5566558578557</v>
      </c>
      <c r="K123" s="38">
        <f t="shared" si="4"/>
        <v>-4902.9488697075412</v>
      </c>
    </row>
    <row r="124" spans="1:12" x14ac:dyDescent="0.15">
      <c r="A124" s="36" t="s">
        <v>109</v>
      </c>
      <c r="B124" s="38">
        <f t="shared" ref="B124:K124" si="5">PPMT($C$130,B120,$C$129,$C$128,0,$C$131)</f>
        <v>-690.29488697075419</v>
      </c>
      <c r="C124" s="38">
        <f t="shared" si="5"/>
        <v>-745.51847792841454</v>
      </c>
      <c r="D124" s="38">
        <f t="shared" si="5"/>
        <v>-805.15995616268765</v>
      </c>
      <c r="E124" s="38">
        <f t="shared" si="5"/>
        <v>-869.57275265570263</v>
      </c>
      <c r="F124" s="38">
        <f t="shared" si="5"/>
        <v>-939.13857286815892</v>
      </c>
      <c r="G124" s="38">
        <f t="shared" si="5"/>
        <v>-1014.2696586976116</v>
      </c>
      <c r="H124" s="38">
        <f t="shared" si="5"/>
        <v>-1095.4112313934204</v>
      </c>
      <c r="I124" s="38">
        <f t="shared" si="5"/>
        <v>-1183.0441299048941</v>
      </c>
      <c r="J124" s="38">
        <f t="shared" si="5"/>
        <v>-1277.6876602972857</v>
      </c>
      <c r="K124" s="38">
        <f t="shared" si="5"/>
        <v>-1379.9026731210686</v>
      </c>
    </row>
    <row r="125" spans="1:12" x14ac:dyDescent="0.15">
      <c r="A125" s="36" t="s">
        <v>117</v>
      </c>
      <c r="B125" s="38">
        <f t="shared" ref="B125:K125" si="6">CUMPRINC($C$130,$C$129,$C$128,$B$120,B120,$C$131)</f>
        <v>-690.29488697075408</v>
      </c>
      <c r="C125" s="38">
        <f t="shared" si="6"/>
        <v>-1435.8133648991686</v>
      </c>
      <c r="D125" s="38">
        <f t="shared" si="6"/>
        <v>-2240.973321061856</v>
      </c>
      <c r="E125" s="38">
        <f t="shared" si="6"/>
        <v>-3110.5460737175595</v>
      </c>
      <c r="F125" s="38">
        <f t="shared" si="6"/>
        <v>-4049.6846465857193</v>
      </c>
      <c r="G125" s="38">
        <f t="shared" si="6"/>
        <v>-5063.9543052833296</v>
      </c>
      <c r="H125" s="38">
        <f t="shared" si="6"/>
        <v>-6159.3655366767498</v>
      </c>
      <c r="I125" s="38">
        <f t="shared" si="6"/>
        <v>-7342.4096665816451</v>
      </c>
      <c r="J125" s="38">
        <f t="shared" si="6"/>
        <v>-8620.0973268789312</v>
      </c>
      <c r="K125" s="38">
        <f t="shared" si="6"/>
        <v>-10000</v>
      </c>
    </row>
    <row r="126" spans="1:12" x14ac:dyDescent="0.15">
      <c r="B126" s="38"/>
      <c r="C126" s="38"/>
      <c r="D126" s="38"/>
      <c r="E126" s="38"/>
      <c r="F126" s="38"/>
      <c r="G126" s="38"/>
      <c r="H126" s="38"/>
      <c r="I126" s="38"/>
      <c r="J126" s="38"/>
      <c r="K126" s="38"/>
      <c r="L126" s="38"/>
    </row>
    <row r="127" spans="1:12" x14ac:dyDescent="0.15">
      <c r="B127" s="38"/>
      <c r="C127" s="38"/>
      <c r="D127" s="38"/>
      <c r="E127" s="38"/>
      <c r="F127" s="38"/>
      <c r="G127" s="38"/>
      <c r="H127" s="38"/>
      <c r="I127" s="38"/>
      <c r="J127" s="38"/>
      <c r="K127" s="38"/>
      <c r="L127" s="38"/>
    </row>
    <row r="128" spans="1:12" x14ac:dyDescent="0.15">
      <c r="B128" s="36" t="s">
        <v>110</v>
      </c>
      <c r="C128" s="41">
        <v>10000</v>
      </c>
    </row>
    <row r="129" spans="1:5" x14ac:dyDescent="0.15">
      <c r="B129" s="36" t="s">
        <v>118</v>
      </c>
      <c r="C129" s="42">
        <v>10</v>
      </c>
    </row>
    <row r="130" spans="1:5" x14ac:dyDescent="0.15">
      <c r="B130" s="36" t="s">
        <v>111</v>
      </c>
      <c r="C130" s="40">
        <v>0.08</v>
      </c>
    </row>
    <row r="131" spans="1:5" x14ac:dyDescent="0.15">
      <c r="A131" s="36" t="s">
        <v>112</v>
      </c>
      <c r="B131" s="36" t="s">
        <v>113</v>
      </c>
      <c r="C131" s="36">
        <v>0</v>
      </c>
    </row>
    <row r="132" spans="1:5" x14ac:dyDescent="0.15">
      <c r="B132" s="36" t="s">
        <v>114</v>
      </c>
      <c r="C132" s="36">
        <v>1</v>
      </c>
    </row>
    <row r="140" spans="1:5" ht="28.5" customHeight="1" x14ac:dyDescent="0.15">
      <c r="A140" s="62" t="s">
        <v>237</v>
      </c>
      <c r="B140" s="62"/>
      <c r="C140" s="62"/>
      <c r="D140" s="62"/>
      <c r="E140" s="62"/>
    </row>
    <row r="143" spans="1:5" x14ac:dyDescent="0.15">
      <c r="A143" s="63" t="s">
        <v>238</v>
      </c>
      <c r="B143" s="63"/>
    </row>
    <row r="144" spans="1:5" x14ac:dyDescent="0.15">
      <c r="A144" s="36" t="s">
        <v>239</v>
      </c>
      <c r="B144" s="41">
        <v>1000000</v>
      </c>
    </row>
    <row r="145" spans="1:5" x14ac:dyDescent="0.15">
      <c r="A145" s="36" t="s">
        <v>240</v>
      </c>
      <c r="B145" s="36">
        <v>25</v>
      </c>
    </row>
    <row r="146" spans="1:5" x14ac:dyDescent="0.15">
      <c r="A146" s="36" t="s">
        <v>241</v>
      </c>
      <c r="B146" s="43">
        <v>6.7500000000000004E-2</v>
      </c>
    </row>
    <row r="147" spans="1:5" x14ac:dyDescent="0.15">
      <c r="A147" s="36" t="s">
        <v>242</v>
      </c>
      <c r="B147" s="36">
        <v>12</v>
      </c>
    </row>
    <row r="148" spans="1:5" x14ac:dyDescent="0.15">
      <c r="A148" s="36" t="s">
        <v>243</v>
      </c>
      <c r="B148" s="38">
        <f>ABS(PMT(B146/B147,B145*B147,B144,0,0))</f>
        <v>6909.1152521264676</v>
      </c>
    </row>
    <row r="150" spans="1:5" x14ac:dyDescent="0.15">
      <c r="A150" s="53" t="s">
        <v>244</v>
      </c>
      <c r="B150" s="53" t="s">
        <v>245</v>
      </c>
      <c r="C150" s="53" t="s">
        <v>246</v>
      </c>
      <c r="D150" s="53" t="s">
        <v>247</v>
      </c>
      <c r="E150" s="53" t="s">
        <v>248</v>
      </c>
    </row>
    <row r="151" spans="1:5" x14ac:dyDescent="0.15">
      <c r="A151" s="36">
        <v>0</v>
      </c>
      <c r="B151" s="54"/>
      <c r="C151" s="54"/>
      <c r="D151" s="54"/>
      <c r="E151" s="54">
        <f>B144</f>
        <v>1000000</v>
      </c>
    </row>
    <row r="152" spans="1:5" x14ac:dyDescent="0.15">
      <c r="A152" s="36">
        <v>1</v>
      </c>
      <c r="B152" s="54">
        <f>$B$148</f>
        <v>6909.1152521264676</v>
      </c>
      <c r="C152" s="54">
        <f>ABS(IPMT($B$146/$B$147,A152,$B$145*$B$147,$B$144,0,0))</f>
        <v>5625.0000000000009</v>
      </c>
      <c r="D152" s="54">
        <f>ABS(PPMT($B$146/$B$147,A152,$B$145*$B$147,$B$144,0,0))</f>
        <v>1284.1152521264664</v>
      </c>
      <c r="E152" s="54">
        <f>E151-D152</f>
        <v>998715.88474787353</v>
      </c>
    </row>
    <row r="153" spans="1:5" x14ac:dyDescent="0.15">
      <c r="A153" s="36">
        <v>2</v>
      </c>
      <c r="B153" s="54">
        <f t="shared" ref="B153:B216" si="7">$B$148</f>
        <v>6909.1152521264676</v>
      </c>
      <c r="C153" s="54">
        <f t="shared" ref="C153:C216" si="8">ABS(IPMT($B$146/$B$147,A153,$B$145*$B$147,$B$144,0,0))</f>
        <v>5617.7768517067898</v>
      </c>
      <c r="D153" s="54">
        <f t="shared" ref="D153:D216" si="9">ABS(PPMT($B$146/$B$147,A153,$B$145*$B$147,$B$144,0,0))</f>
        <v>1291.3384004196778</v>
      </c>
      <c r="E153" s="54">
        <f t="shared" ref="E153:E216" si="10">E152-D153</f>
        <v>997424.54634745384</v>
      </c>
    </row>
    <row r="154" spans="1:5" x14ac:dyDescent="0.15">
      <c r="A154" s="36">
        <v>3</v>
      </c>
      <c r="B154" s="54">
        <f t="shared" si="7"/>
        <v>6909.1152521264676</v>
      </c>
      <c r="C154" s="54">
        <f t="shared" si="8"/>
        <v>5610.5130732044281</v>
      </c>
      <c r="D154" s="54">
        <f t="shared" si="9"/>
        <v>1298.6021789220385</v>
      </c>
      <c r="E154" s="54">
        <f t="shared" si="10"/>
        <v>996125.9441685318</v>
      </c>
    </row>
    <row r="155" spans="1:5" x14ac:dyDescent="0.15">
      <c r="A155" s="36">
        <v>4</v>
      </c>
      <c r="B155" s="54">
        <f t="shared" si="7"/>
        <v>6909.1152521264676</v>
      </c>
      <c r="C155" s="54">
        <f t="shared" si="8"/>
        <v>5603.2084359479923</v>
      </c>
      <c r="D155" s="54">
        <f t="shared" si="9"/>
        <v>1305.9068161784749</v>
      </c>
      <c r="E155" s="54">
        <f t="shared" si="10"/>
        <v>994820.03735235333</v>
      </c>
    </row>
    <row r="156" spans="1:5" x14ac:dyDescent="0.15">
      <c r="A156" s="36">
        <v>5</v>
      </c>
      <c r="B156" s="54">
        <f t="shared" si="7"/>
        <v>6909.1152521264676</v>
      </c>
      <c r="C156" s="54">
        <f t="shared" si="8"/>
        <v>5595.8627101069887</v>
      </c>
      <c r="D156" s="54">
        <f t="shared" si="9"/>
        <v>1313.2525420194791</v>
      </c>
      <c r="E156" s="54">
        <f t="shared" si="10"/>
        <v>993506.78481033386</v>
      </c>
    </row>
    <row r="157" spans="1:5" x14ac:dyDescent="0.15">
      <c r="A157" s="36">
        <v>6</v>
      </c>
      <c r="B157" s="54">
        <f t="shared" si="7"/>
        <v>6909.1152521264676</v>
      </c>
      <c r="C157" s="54">
        <f t="shared" si="8"/>
        <v>5588.4756645581283</v>
      </c>
      <c r="D157" s="54">
        <f t="shared" si="9"/>
        <v>1320.6395875683386</v>
      </c>
      <c r="E157" s="54">
        <f t="shared" si="10"/>
        <v>992186.14522276551</v>
      </c>
    </row>
    <row r="158" spans="1:5" x14ac:dyDescent="0.15">
      <c r="A158" s="36">
        <v>7</v>
      </c>
      <c r="B158" s="54">
        <f t="shared" si="7"/>
        <v>6909.1152521264676</v>
      </c>
      <c r="C158" s="54">
        <f t="shared" si="8"/>
        <v>5581.0470668780581</v>
      </c>
      <c r="D158" s="54">
        <f t="shared" si="9"/>
        <v>1328.0681852484104</v>
      </c>
      <c r="E158" s="54">
        <f t="shared" si="10"/>
        <v>990858.0770375171</v>
      </c>
    </row>
    <row r="159" spans="1:5" x14ac:dyDescent="0.15">
      <c r="A159" s="36">
        <v>8</v>
      </c>
      <c r="B159" s="54">
        <f t="shared" si="7"/>
        <v>6909.1152521264676</v>
      </c>
      <c r="C159" s="54">
        <f t="shared" si="8"/>
        <v>5573.5766833360349</v>
      </c>
      <c r="D159" s="54">
        <f t="shared" si="9"/>
        <v>1335.5385687904327</v>
      </c>
      <c r="E159" s="54">
        <f t="shared" si="10"/>
        <v>989522.53846872668</v>
      </c>
    </row>
    <row r="160" spans="1:5" x14ac:dyDescent="0.15">
      <c r="A160" s="36">
        <v>9</v>
      </c>
      <c r="B160" s="54">
        <f t="shared" si="7"/>
        <v>6909.1152521264676</v>
      </c>
      <c r="C160" s="54">
        <f t="shared" si="8"/>
        <v>5566.0642788865889</v>
      </c>
      <c r="D160" s="54">
        <f t="shared" si="9"/>
        <v>1343.0509732398787</v>
      </c>
      <c r="E160" s="54">
        <f t="shared" si="10"/>
        <v>988179.48749548686</v>
      </c>
    </row>
    <row r="161" spans="1:5" x14ac:dyDescent="0.15">
      <c r="A161" s="36">
        <v>10</v>
      </c>
      <c r="B161" s="54">
        <f t="shared" si="7"/>
        <v>6909.1152521264676</v>
      </c>
      <c r="C161" s="54">
        <f t="shared" si="8"/>
        <v>5558.5096171621144</v>
      </c>
      <c r="D161" s="54">
        <f t="shared" si="9"/>
        <v>1350.6056349643534</v>
      </c>
      <c r="E161" s="54">
        <f t="shared" si="10"/>
        <v>986828.88186052255</v>
      </c>
    </row>
    <row r="162" spans="1:5" x14ac:dyDescent="0.15">
      <c r="A162" s="36">
        <v>11</v>
      </c>
      <c r="B162" s="54">
        <f t="shared" si="7"/>
        <v>6909.1152521264676</v>
      </c>
      <c r="C162" s="54">
        <f t="shared" si="8"/>
        <v>5550.9124604654389</v>
      </c>
      <c r="D162" s="54">
        <f t="shared" si="9"/>
        <v>1358.2027916610277</v>
      </c>
      <c r="E162" s="54">
        <f t="shared" si="10"/>
        <v>985470.67906886153</v>
      </c>
    </row>
    <row r="163" spans="1:5" x14ac:dyDescent="0.15">
      <c r="A163" s="36">
        <v>12</v>
      </c>
      <c r="B163" s="54">
        <f t="shared" si="7"/>
        <v>6909.1152521264676</v>
      </c>
      <c r="C163" s="54">
        <f t="shared" si="8"/>
        <v>5543.2725697623464</v>
      </c>
      <c r="D163" s="54">
        <f t="shared" si="9"/>
        <v>1365.8426823641212</v>
      </c>
      <c r="E163" s="54">
        <f t="shared" si="10"/>
        <v>984104.83638649737</v>
      </c>
    </row>
    <row r="164" spans="1:5" x14ac:dyDescent="0.15">
      <c r="A164" s="36">
        <v>13</v>
      </c>
      <c r="B164" s="54">
        <f t="shared" si="7"/>
        <v>6909.1152521264676</v>
      </c>
      <c r="C164" s="54">
        <f t="shared" si="8"/>
        <v>5535.5897046740483</v>
      </c>
      <c r="D164" s="54">
        <f t="shared" si="9"/>
        <v>1373.5255474524192</v>
      </c>
      <c r="E164" s="54">
        <f t="shared" si="10"/>
        <v>982731.31083904498</v>
      </c>
    </row>
    <row r="165" spans="1:5" x14ac:dyDescent="0.15">
      <c r="A165" s="36">
        <v>14</v>
      </c>
      <c r="B165" s="54">
        <f t="shared" si="7"/>
        <v>6909.1152521264676</v>
      </c>
      <c r="C165" s="54">
        <f t="shared" si="8"/>
        <v>5527.8636234696287</v>
      </c>
      <c r="D165" s="54">
        <f t="shared" si="9"/>
        <v>1381.2516286568389</v>
      </c>
      <c r="E165" s="54">
        <f t="shared" si="10"/>
        <v>981350.05921038811</v>
      </c>
    </row>
    <row r="166" spans="1:5" x14ac:dyDescent="0.15">
      <c r="A166" s="36">
        <v>15</v>
      </c>
      <c r="B166" s="54">
        <f t="shared" si="7"/>
        <v>6909.1152521264676</v>
      </c>
      <c r="C166" s="54">
        <f t="shared" si="8"/>
        <v>5520.0940830584341</v>
      </c>
      <c r="D166" s="54">
        <f t="shared" si="9"/>
        <v>1389.0211690680337</v>
      </c>
      <c r="E166" s="54">
        <f t="shared" si="10"/>
        <v>979961.03804132005</v>
      </c>
    </row>
    <row r="167" spans="1:5" x14ac:dyDescent="0.15">
      <c r="A167" s="36">
        <v>16</v>
      </c>
      <c r="B167" s="54">
        <f t="shared" si="7"/>
        <v>6909.1152521264676</v>
      </c>
      <c r="C167" s="54">
        <f t="shared" si="8"/>
        <v>5512.2808389824268</v>
      </c>
      <c r="D167" s="54">
        <f t="shared" si="9"/>
        <v>1396.8344131440413</v>
      </c>
      <c r="E167" s="54">
        <f t="shared" si="10"/>
        <v>978564.20362817601</v>
      </c>
    </row>
    <row r="168" spans="1:5" x14ac:dyDescent="0.15">
      <c r="A168" s="36">
        <v>17</v>
      </c>
      <c r="B168" s="54">
        <f t="shared" si="7"/>
        <v>6909.1152521264676</v>
      </c>
      <c r="C168" s="54">
        <f t="shared" si="8"/>
        <v>5504.4236454084912</v>
      </c>
      <c r="D168" s="54">
        <f t="shared" si="9"/>
        <v>1404.6916067179768</v>
      </c>
      <c r="E168" s="54">
        <f t="shared" si="10"/>
        <v>977159.51202145801</v>
      </c>
    </row>
    <row r="169" spans="1:5" x14ac:dyDescent="0.15">
      <c r="A169" s="36">
        <v>18</v>
      </c>
      <c r="B169" s="54">
        <f t="shared" si="7"/>
        <v>6909.1152521264676</v>
      </c>
      <c r="C169" s="54">
        <f t="shared" si="8"/>
        <v>5496.5222551207016</v>
      </c>
      <c r="D169" s="54">
        <f t="shared" si="9"/>
        <v>1412.5929970057653</v>
      </c>
      <c r="E169" s="54">
        <f t="shared" si="10"/>
        <v>975746.91902445222</v>
      </c>
    </row>
    <row r="170" spans="1:5" x14ac:dyDescent="0.15">
      <c r="A170" s="36">
        <v>19</v>
      </c>
      <c r="B170" s="54">
        <f t="shared" si="7"/>
        <v>6909.1152521264676</v>
      </c>
      <c r="C170" s="54">
        <f t="shared" si="8"/>
        <v>5488.5764195125448</v>
      </c>
      <c r="D170" s="54">
        <f t="shared" si="9"/>
        <v>1420.5388326139225</v>
      </c>
      <c r="E170" s="54">
        <f t="shared" si="10"/>
        <v>974326.38019183825</v>
      </c>
    </row>
    <row r="171" spans="1:5" x14ac:dyDescent="0.15">
      <c r="A171" s="36">
        <v>20</v>
      </c>
      <c r="B171" s="54">
        <f t="shared" si="7"/>
        <v>6909.1152521264676</v>
      </c>
      <c r="C171" s="54">
        <f t="shared" si="8"/>
        <v>5480.5858885790913</v>
      </c>
      <c r="D171" s="54">
        <f t="shared" si="9"/>
        <v>1428.5293635473761</v>
      </c>
      <c r="E171" s="54">
        <f t="shared" si="10"/>
        <v>972897.85082829092</v>
      </c>
    </row>
    <row r="172" spans="1:5" x14ac:dyDescent="0.15">
      <c r="A172" s="36">
        <v>21</v>
      </c>
      <c r="B172" s="54">
        <f t="shared" si="7"/>
        <v>6909.1152521264676</v>
      </c>
      <c r="C172" s="54">
        <f t="shared" si="8"/>
        <v>5472.5504109091371</v>
      </c>
      <c r="D172" s="54">
        <f t="shared" si="9"/>
        <v>1436.56484121733</v>
      </c>
      <c r="E172" s="54">
        <f t="shared" si="10"/>
        <v>971461.28598707356</v>
      </c>
    </row>
    <row r="173" spans="1:5" x14ac:dyDescent="0.15">
      <c r="A173" s="36">
        <v>22</v>
      </c>
      <c r="B173" s="54">
        <f t="shared" si="7"/>
        <v>6909.1152521264676</v>
      </c>
      <c r="C173" s="54">
        <f t="shared" si="8"/>
        <v>5464.4697336772897</v>
      </c>
      <c r="D173" s="54">
        <f t="shared" si="9"/>
        <v>1444.6455184491776</v>
      </c>
      <c r="E173" s="54">
        <f t="shared" si="10"/>
        <v>970016.64046862442</v>
      </c>
    </row>
    <row r="174" spans="1:5" x14ac:dyDescent="0.15">
      <c r="A174" s="36">
        <v>23</v>
      </c>
      <c r="B174" s="54">
        <f t="shared" si="7"/>
        <v>6909.1152521264676</v>
      </c>
      <c r="C174" s="54">
        <f t="shared" si="8"/>
        <v>5456.3436026360132</v>
      </c>
      <c r="D174" s="54">
        <f t="shared" si="9"/>
        <v>1452.7716494904544</v>
      </c>
      <c r="E174" s="54">
        <f t="shared" si="10"/>
        <v>968563.86881913396</v>
      </c>
    </row>
    <row r="175" spans="1:5" x14ac:dyDescent="0.15">
      <c r="A175" s="36">
        <v>24</v>
      </c>
      <c r="B175" s="54">
        <f t="shared" si="7"/>
        <v>6909.1152521264676</v>
      </c>
      <c r="C175" s="54">
        <f t="shared" si="8"/>
        <v>5448.1717621076295</v>
      </c>
      <c r="D175" s="54">
        <f t="shared" si="9"/>
        <v>1460.943490018838</v>
      </c>
      <c r="E175" s="54">
        <f t="shared" si="10"/>
        <v>967102.92532911513</v>
      </c>
    </row>
    <row r="176" spans="1:5" x14ac:dyDescent="0.15">
      <c r="A176" s="36">
        <v>25</v>
      </c>
      <c r="B176" s="54">
        <f t="shared" si="7"/>
        <v>6909.1152521264676</v>
      </c>
      <c r="C176" s="54">
        <f t="shared" si="8"/>
        <v>5439.953954976274</v>
      </c>
      <c r="D176" s="54">
        <f t="shared" si="9"/>
        <v>1469.1612971501938</v>
      </c>
      <c r="E176" s="54">
        <f t="shared" si="10"/>
        <v>965633.76403196494</v>
      </c>
    </row>
    <row r="177" spans="1:5" x14ac:dyDescent="0.15">
      <c r="A177" s="36">
        <v>26</v>
      </c>
      <c r="B177" s="54">
        <f t="shared" si="7"/>
        <v>6909.1152521264676</v>
      </c>
      <c r="C177" s="54">
        <f t="shared" si="8"/>
        <v>5431.6899226798041</v>
      </c>
      <c r="D177" s="54">
        <f t="shared" si="9"/>
        <v>1477.4253294466635</v>
      </c>
      <c r="E177" s="54">
        <f t="shared" si="10"/>
        <v>964156.33870251826</v>
      </c>
    </row>
    <row r="178" spans="1:5" x14ac:dyDescent="0.15">
      <c r="A178" s="36">
        <v>27</v>
      </c>
      <c r="B178" s="54">
        <f t="shared" si="7"/>
        <v>6909.1152521264676</v>
      </c>
      <c r="C178" s="54">
        <f t="shared" si="8"/>
        <v>5423.3794052016665</v>
      </c>
      <c r="D178" s="54">
        <f t="shared" si="9"/>
        <v>1485.7358469248011</v>
      </c>
      <c r="E178" s="54">
        <f t="shared" si="10"/>
        <v>962670.60285559343</v>
      </c>
    </row>
    <row r="179" spans="1:5" x14ac:dyDescent="0.15">
      <c r="A179" s="36">
        <v>28</v>
      </c>
      <c r="B179" s="54">
        <f t="shared" si="7"/>
        <v>6909.1152521264676</v>
      </c>
      <c r="C179" s="54">
        <f t="shared" si="8"/>
        <v>5415.0221410627146</v>
      </c>
      <c r="D179" s="54">
        <f t="shared" si="9"/>
        <v>1494.093111063753</v>
      </c>
      <c r="E179" s="54">
        <f t="shared" si="10"/>
        <v>961176.50974452973</v>
      </c>
    </row>
    <row r="180" spans="1:5" x14ac:dyDescent="0.15">
      <c r="A180" s="36">
        <v>29</v>
      </c>
      <c r="B180" s="54">
        <f t="shared" si="7"/>
        <v>6909.1152521264676</v>
      </c>
      <c r="C180" s="54">
        <f t="shared" si="8"/>
        <v>5406.6178673129807</v>
      </c>
      <c r="D180" s="54">
        <f t="shared" si="9"/>
        <v>1502.4973848134866</v>
      </c>
      <c r="E180" s="54">
        <f t="shared" si="10"/>
        <v>959674.01235971623</v>
      </c>
    </row>
    <row r="181" spans="1:5" x14ac:dyDescent="0.15">
      <c r="A181" s="36">
        <v>30</v>
      </c>
      <c r="B181" s="54">
        <f t="shared" si="7"/>
        <v>6909.1152521264676</v>
      </c>
      <c r="C181" s="54">
        <f t="shared" si="8"/>
        <v>5398.1663195234041</v>
      </c>
      <c r="D181" s="54">
        <f t="shared" si="9"/>
        <v>1510.9489326030628</v>
      </c>
      <c r="E181" s="54">
        <f t="shared" si="10"/>
        <v>958163.06342711311</v>
      </c>
    </row>
    <row r="182" spans="1:5" x14ac:dyDescent="0.15">
      <c r="A182" s="36">
        <v>31</v>
      </c>
      <c r="B182" s="54">
        <f t="shared" si="7"/>
        <v>6909.1152521264676</v>
      </c>
      <c r="C182" s="54">
        <f t="shared" si="8"/>
        <v>5389.6672317775119</v>
      </c>
      <c r="D182" s="54">
        <f t="shared" si="9"/>
        <v>1519.448020348955</v>
      </c>
      <c r="E182" s="54">
        <f t="shared" si="10"/>
        <v>956643.61540676421</v>
      </c>
    </row>
    <row r="183" spans="1:5" x14ac:dyDescent="0.15">
      <c r="A183" s="36">
        <v>32</v>
      </c>
      <c r="B183" s="54">
        <f t="shared" si="7"/>
        <v>6909.1152521264676</v>
      </c>
      <c r="C183" s="54">
        <f t="shared" si="8"/>
        <v>5381.1203366630498</v>
      </c>
      <c r="D183" s="54">
        <f t="shared" si="9"/>
        <v>1527.994915463418</v>
      </c>
      <c r="E183" s="54">
        <f t="shared" si="10"/>
        <v>955115.62049130083</v>
      </c>
    </row>
    <row r="184" spans="1:5" x14ac:dyDescent="0.15">
      <c r="A184" s="36">
        <v>33</v>
      </c>
      <c r="B184" s="54">
        <f t="shared" si="7"/>
        <v>6909.1152521264676</v>
      </c>
      <c r="C184" s="54">
        <f t="shared" si="8"/>
        <v>5372.5253652635683</v>
      </c>
      <c r="D184" s="54">
        <f t="shared" si="9"/>
        <v>1536.5898868628994</v>
      </c>
      <c r="E184" s="54">
        <f t="shared" si="10"/>
        <v>953579.03060443792</v>
      </c>
    </row>
    <row r="185" spans="1:5" x14ac:dyDescent="0.15">
      <c r="A185" s="36">
        <v>34</v>
      </c>
      <c r="B185" s="54">
        <f t="shared" si="7"/>
        <v>6909.1152521264676</v>
      </c>
      <c r="C185" s="54">
        <f t="shared" si="8"/>
        <v>5363.8820471499639</v>
      </c>
      <c r="D185" s="54">
        <f t="shared" si="9"/>
        <v>1545.2332049765034</v>
      </c>
      <c r="E185" s="54">
        <f t="shared" si="10"/>
        <v>952033.79739946139</v>
      </c>
    </row>
    <row r="186" spans="1:5" x14ac:dyDescent="0.15">
      <c r="A186" s="36">
        <v>35</v>
      </c>
      <c r="B186" s="54">
        <f t="shared" si="7"/>
        <v>6909.1152521264676</v>
      </c>
      <c r="C186" s="54">
        <f t="shared" si="8"/>
        <v>5355.1901103719711</v>
      </c>
      <c r="D186" s="54">
        <f t="shared" si="9"/>
        <v>1553.9251417544963</v>
      </c>
      <c r="E186" s="54">
        <f t="shared" si="10"/>
        <v>950479.87225770694</v>
      </c>
    </row>
    <row r="187" spans="1:5" x14ac:dyDescent="0.15">
      <c r="A187" s="36">
        <v>36</v>
      </c>
      <c r="B187" s="54">
        <f t="shared" si="7"/>
        <v>6909.1152521264676</v>
      </c>
      <c r="C187" s="54">
        <f t="shared" si="8"/>
        <v>5346.4492814496025</v>
      </c>
      <c r="D187" s="54">
        <f t="shared" si="9"/>
        <v>1562.6659706768651</v>
      </c>
      <c r="E187" s="54">
        <f t="shared" si="10"/>
        <v>948917.20628703013</v>
      </c>
    </row>
    <row r="188" spans="1:5" x14ac:dyDescent="0.15">
      <c r="A188" s="36">
        <v>37</v>
      </c>
      <c r="B188" s="54">
        <f t="shared" si="7"/>
        <v>6909.1152521264676</v>
      </c>
      <c r="C188" s="54">
        <f t="shared" si="8"/>
        <v>5337.6592853645452</v>
      </c>
      <c r="D188" s="54">
        <f t="shared" si="9"/>
        <v>1571.4559667619226</v>
      </c>
      <c r="E188" s="54">
        <f t="shared" si="10"/>
        <v>947345.75032026821</v>
      </c>
    </row>
    <row r="189" spans="1:5" x14ac:dyDescent="0.15">
      <c r="A189" s="36">
        <v>38</v>
      </c>
      <c r="B189" s="54">
        <f t="shared" si="7"/>
        <v>6909.1152521264676</v>
      </c>
      <c r="C189" s="54">
        <f t="shared" si="8"/>
        <v>5328.8198455515094</v>
      </c>
      <c r="D189" s="54">
        <f t="shared" si="9"/>
        <v>1580.2954065749582</v>
      </c>
      <c r="E189" s="54">
        <f t="shared" si="10"/>
        <v>945765.45491369325</v>
      </c>
    </row>
    <row r="190" spans="1:5" x14ac:dyDescent="0.15">
      <c r="A190" s="36">
        <v>39</v>
      </c>
      <c r="B190" s="54">
        <f t="shared" si="7"/>
        <v>6909.1152521264676</v>
      </c>
      <c r="C190" s="54">
        <f t="shared" si="8"/>
        <v>5319.9306838895254</v>
      </c>
      <c r="D190" s="54">
        <f t="shared" si="9"/>
        <v>1589.1845682369424</v>
      </c>
      <c r="E190" s="54">
        <f t="shared" si="10"/>
        <v>944176.27034545632</v>
      </c>
    </row>
    <row r="191" spans="1:5" x14ac:dyDescent="0.15">
      <c r="A191" s="36">
        <v>40</v>
      </c>
      <c r="B191" s="54">
        <f t="shared" si="7"/>
        <v>6909.1152521264676</v>
      </c>
      <c r="C191" s="54">
        <f t="shared" si="8"/>
        <v>5310.9915206931928</v>
      </c>
      <c r="D191" s="54">
        <f t="shared" si="9"/>
        <v>1598.1237314332755</v>
      </c>
      <c r="E191" s="54">
        <f t="shared" si="10"/>
        <v>942578.14661402302</v>
      </c>
    </row>
    <row r="192" spans="1:5" x14ac:dyDescent="0.15">
      <c r="A192" s="36">
        <v>41</v>
      </c>
      <c r="B192" s="54">
        <f t="shared" si="7"/>
        <v>6909.1152521264676</v>
      </c>
      <c r="C192" s="54">
        <f t="shared" si="8"/>
        <v>5302.0020747038798</v>
      </c>
      <c r="D192" s="54">
        <f t="shared" si="9"/>
        <v>1607.1131774225878</v>
      </c>
      <c r="E192" s="54">
        <f t="shared" si="10"/>
        <v>940971.03343660047</v>
      </c>
    </row>
    <row r="193" spans="1:5" x14ac:dyDescent="0.15">
      <c r="A193" s="36">
        <v>42</v>
      </c>
      <c r="B193" s="54">
        <f t="shared" si="7"/>
        <v>6909.1152521264676</v>
      </c>
      <c r="C193" s="54">
        <f t="shared" si="8"/>
        <v>5292.9620630808777</v>
      </c>
      <c r="D193" s="54">
        <f t="shared" si="9"/>
        <v>1616.1531890455897</v>
      </c>
      <c r="E193" s="54">
        <f t="shared" si="10"/>
        <v>939354.88024755486</v>
      </c>
    </row>
    <row r="194" spans="1:5" x14ac:dyDescent="0.15">
      <c r="A194" s="36">
        <v>43</v>
      </c>
      <c r="B194" s="54">
        <f t="shared" si="7"/>
        <v>6909.1152521264676</v>
      </c>
      <c r="C194" s="54">
        <f t="shared" si="8"/>
        <v>5283.871201392496</v>
      </c>
      <c r="D194" s="54">
        <f t="shared" si="9"/>
        <v>1625.2440507339713</v>
      </c>
      <c r="E194" s="54">
        <f t="shared" si="10"/>
        <v>937729.63619682088</v>
      </c>
    </row>
    <row r="195" spans="1:5" x14ac:dyDescent="0.15">
      <c r="A195" s="36">
        <v>44</v>
      </c>
      <c r="B195" s="54">
        <f t="shared" si="7"/>
        <v>6909.1152521264676</v>
      </c>
      <c r="C195" s="54">
        <f t="shared" si="8"/>
        <v>5274.7292036071185</v>
      </c>
      <c r="D195" s="54">
        <f t="shared" si="9"/>
        <v>1634.38604851935</v>
      </c>
      <c r="E195" s="54">
        <f t="shared" si="10"/>
        <v>936095.25014830148</v>
      </c>
    </row>
    <row r="196" spans="1:5" x14ac:dyDescent="0.15">
      <c r="A196" s="36">
        <v>45</v>
      </c>
      <c r="B196" s="54">
        <f t="shared" si="7"/>
        <v>6909.1152521264676</v>
      </c>
      <c r="C196" s="54">
        <f t="shared" si="8"/>
        <v>5265.5357820841964</v>
      </c>
      <c r="D196" s="54">
        <f t="shared" si="9"/>
        <v>1643.5794700422709</v>
      </c>
      <c r="E196" s="54">
        <f t="shared" si="10"/>
        <v>934451.67067825922</v>
      </c>
    </row>
    <row r="197" spans="1:5" x14ac:dyDescent="0.15">
      <c r="A197" s="36">
        <v>46</v>
      </c>
      <c r="B197" s="54">
        <f t="shared" si="7"/>
        <v>6909.1152521264676</v>
      </c>
      <c r="C197" s="54">
        <f t="shared" si="8"/>
        <v>5256.2906475652089</v>
      </c>
      <c r="D197" s="54">
        <f t="shared" si="9"/>
        <v>1652.8246045612586</v>
      </c>
      <c r="E197" s="54">
        <f t="shared" si="10"/>
        <v>932798.84607369802</v>
      </c>
    </row>
    <row r="198" spans="1:5" x14ac:dyDescent="0.15">
      <c r="A198" s="36">
        <v>47</v>
      </c>
      <c r="B198" s="54">
        <f t="shared" si="7"/>
        <v>6909.1152521264676</v>
      </c>
      <c r="C198" s="54">
        <f t="shared" si="8"/>
        <v>5246.9935091645511</v>
      </c>
      <c r="D198" s="54">
        <f t="shared" si="9"/>
        <v>1662.1217429619157</v>
      </c>
      <c r="E198" s="54">
        <f t="shared" si="10"/>
        <v>931136.72433073609</v>
      </c>
    </row>
    <row r="199" spans="1:5" x14ac:dyDescent="0.15">
      <c r="A199" s="36">
        <v>48</v>
      </c>
      <c r="B199" s="54">
        <f t="shared" si="7"/>
        <v>6909.1152521264676</v>
      </c>
      <c r="C199" s="54">
        <f t="shared" si="8"/>
        <v>5237.6440743603907</v>
      </c>
      <c r="D199" s="54">
        <f t="shared" si="9"/>
        <v>1671.4711777660764</v>
      </c>
      <c r="E199" s="54">
        <f t="shared" si="10"/>
        <v>929465.25315296999</v>
      </c>
    </row>
    <row r="200" spans="1:5" x14ac:dyDescent="0.15">
      <c r="A200" s="36">
        <v>49</v>
      </c>
      <c r="B200" s="54">
        <f t="shared" si="7"/>
        <v>6909.1152521264676</v>
      </c>
      <c r="C200" s="54">
        <f t="shared" si="8"/>
        <v>5228.2420489854567</v>
      </c>
      <c r="D200" s="54">
        <f t="shared" si="9"/>
        <v>1680.8732031410104</v>
      </c>
      <c r="E200" s="54">
        <f t="shared" si="10"/>
        <v>927784.37994982896</v>
      </c>
    </row>
    <row r="201" spans="1:5" x14ac:dyDescent="0.15">
      <c r="A201" s="36">
        <v>50</v>
      </c>
      <c r="B201" s="54">
        <f t="shared" si="7"/>
        <v>6909.1152521264676</v>
      </c>
      <c r="C201" s="54">
        <f t="shared" si="8"/>
        <v>5218.7871372177888</v>
      </c>
      <c r="D201" s="54">
        <f t="shared" si="9"/>
        <v>1690.3281149086788</v>
      </c>
      <c r="E201" s="54">
        <f t="shared" si="10"/>
        <v>926094.0518349203</v>
      </c>
    </row>
    <row r="202" spans="1:5" x14ac:dyDescent="0.15">
      <c r="A202" s="36">
        <v>51</v>
      </c>
      <c r="B202" s="54">
        <f t="shared" si="7"/>
        <v>6909.1152521264676</v>
      </c>
      <c r="C202" s="54">
        <f t="shared" si="8"/>
        <v>5209.2790415714271</v>
      </c>
      <c r="D202" s="54">
        <f t="shared" si="9"/>
        <v>1699.8362105550402</v>
      </c>
      <c r="E202" s="54">
        <f t="shared" si="10"/>
        <v>924394.21562436526</v>
      </c>
    </row>
    <row r="203" spans="1:5" x14ac:dyDescent="0.15">
      <c r="A203" s="36">
        <v>52</v>
      </c>
      <c r="B203" s="54">
        <f t="shared" si="7"/>
        <v>6909.1152521264676</v>
      </c>
      <c r="C203" s="54">
        <f t="shared" si="8"/>
        <v>5199.7174628870553</v>
      </c>
      <c r="D203" s="54">
        <f t="shared" si="9"/>
        <v>1709.3977892394125</v>
      </c>
      <c r="E203" s="54">
        <f t="shared" si="10"/>
        <v>922684.81783512584</v>
      </c>
    </row>
    <row r="204" spans="1:5" x14ac:dyDescent="0.15">
      <c r="A204" s="36">
        <v>53</v>
      </c>
      <c r="B204" s="54">
        <f t="shared" si="7"/>
        <v>6909.1152521264676</v>
      </c>
      <c r="C204" s="54">
        <f t="shared" si="8"/>
        <v>5190.1021003225824</v>
      </c>
      <c r="D204" s="54">
        <f t="shared" si="9"/>
        <v>1719.0131518038841</v>
      </c>
      <c r="E204" s="54">
        <f t="shared" si="10"/>
        <v>920965.80468332197</v>
      </c>
    </row>
    <row r="205" spans="1:5" x14ac:dyDescent="0.15">
      <c r="A205" s="36">
        <v>54</v>
      </c>
      <c r="B205" s="54">
        <f t="shared" si="7"/>
        <v>6909.1152521264676</v>
      </c>
      <c r="C205" s="54">
        <f t="shared" si="8"/>
        <v>5180.4326513436863</v>
      </c>
      <c r="D205" s="54">
        <f t="shared" si="9"/>
        <v>1728.6826007827808</v>
      </c>
      <c r="E205" s="54">
        <f t="shared" si="10"/>
        <v>919237.12208253914</v>
      </c>
    </row>
    <row r="206" spans="1:5" x14ac:dyDescent="0.15">
      <c r="A206" s="36">
        <v>55</v>
      </c>
      <c r="B206" s="54">
        <f t="shared" si="7"/>
        <v>6909.1152521264676</v>
      </c>
      <c r="C206" s="54">
        <f t="shared" si="8"/>
        <v>5170.708811714283</v>
      </c>
      <c r="D206" s="54">
        <f t="shared" si="9"/>
        <v>1738.4064404121841</v>
      </c>
      <c r="E206" s="54">
        <f t="shared" si="10"/>
        <v>917498.71564212698</v>
      </c>
    </row>
    <row r="207" spans="1:5" x14ac:dyDescent="0.15">
      <c r="A207" s="36">
        <v>56</v>
      </c>
      <c r="B207" s="54">
        <f t="shared" si="7"/>
        <v>6909.1152521264676</v>
      </c>
      <c r="C207" s="54">
        <f t="shared" si="8"/>
        <v>5160.9302754869659</v>
      </c>
      <c r="D207" s="54">
        <f t="shared" si="9"/>
        <v>1748.1849766395023</v>
      </c>
      <c r="E207" s="54">
        <f t="shared" si="10"/>
        <v>915750.53066548752</v>
      </c>
    </row>
    <row r="208" spans="1:5" x14ac:dyDescent="0.15">
      <c r="A208" s="36">
        <v>57</v>
      </c>
      <c r="B208" s="54">
        <f t="shared" si="7"/>
        <v>6909.1152521264676</v>
      </c>
      <c r="C208" s="54">
        <f t="shared" si="8"/>
        <v>5151.096734993368</v>
      </c>
      <c r="D208" s="54">
        <f t="shared" si="9"/>
        <v>1758.0185171330997</v>
      </c>
      <c r="E208" s="54">
        <f t="shared" si="10"/>
        <v>913992.51214835444</v>
      </c>
    </row>
    <row r="209" spans="1:5" x14ac:dyDescent="0.15">
      <c r="A209" s="36">
        <v>58</v>
      </c>
      <c r="B209" s="54">
        <f t="shared" si="7"/>
        <v>6909.1152521264676</v>
      </c>
      <c r="C209" s="54">
        <f t="shared" si="8"/>
        <v>5141.2078808344941</v>
      </c>
      <c r="D209" s="54">
        <f t="shared" si="9"/>
        <v>1767.9073712919737</v>
      </c>
      <c r="E209" s="54">
        <f t="shared" si="10"/>
        <v>912224.60477706243</v>
      </c>
    </row>
    <row r="210" spans="1:5" x14ac:dyDescent="0.15">
      <c r="A210" s="36">
        <v>59</v>
      </c>
      <c r="B210" s="54">
        <f t="shared" si="7"/>
        <v>6909.1152521264676</v>
      </c>
      <c r="C210" s="54">
        <f t="shared" si="8"/>
        <v>5131.2634018709768</v>
      </c>
      <c r="D210" s="54">
        <f t="shared" si="9"/>
        <v>1777.8518502554909</v>
      </c>
      <c r="E210" s="54">
        <f t="shared" si="10"/>
        <v>910446.75292680692</v>
      </c>
    </row>
    <row r="211" spans="1:5" x14ac:dyDescent="0.15">
      <c r="A211" s="36">
        <v>60</v>
      </c>
      <c r="B211" s="54">
        <f t="shared" si="7"/>
        <v>6909.1152521264676</v>
      </c>
      <c r="C211" s="54">
        <f t="shared" si="8"/>
        <v>5121.2629852132904</v>
      </c>
      <c r="D211" s="54">
        <f t="shared" si="9"/>
        <v>1787.852266913178</v>
      </c>
      <c r="E211" s="54">
        <f t="shared" si="10"/>
        <v>908658.90065989376</v>
      </c>
    </row>
    <row r="212" spans="1:5" x14ac:dyDescent="0.15">
      <c r="A212" s="36">
        <v>61</v>
      </c>
      <c r="B212" s="54">
        <f t="shared" si="7"/>
        <v>6909.1152521264676</v>
      </c>
      <c r="C212" s="54">
        <f t="shared" si="8"/>
        <v>5111.206316211903</v>
      </c>
      <c r="D212" s="54">
        <f t="shared" si="9"/>
        <v>1797.9089359145651</v>
      </c>
      <c r="E212" s="54">
        <f t="shared" si="10"/>
        <v>906860.99172397924</v>
      </c>
    </row>
    <row r="213" spans="1:5" x14ac:dyDescent="0.15">
      <c r="A213" s="36">
        <v>62</v>
      </c>
      <c r="B213" s="54">
        <f t="shared" si="7"/>
        <v>6909.1152521264676</v>
      </c>
      <c r="C213" s="54">
        <f t="shared" si="8"/>
        <v>5101.093078447384</v>
      </c>
      <c r="D213" s="54">
        <f t="shared" si="9"/>
        <v>1808.0221736790841</v>
      </c>
      <c r="E213" s="54">
        <f t="shared" si="10"/>
        <v>905052.96955030016</v>
      </c>
    </row>
    <row r="214" spans="1:5" x14ac:dyDescent="0.15">
      <c r="A214" s="36">
        <v>63</v>
      </c>
      <c r="B214" s="54">
        <f t="shared" si="7"/>
        <v>6909.1152521264676</v>
      </c>
      <c r="C214" s="54">
        <f t="shared" si="8"/>
        <v>5090.9229537204392</v>
      </c>
      <c r="D214" s="54">
        <f t="shared" si="9"/>
        <v>1818.1922984060291</v>
      </c>
      <c r="E214" s="54">
        <f t="shared" si="10"/>
        <v>903234.77725189412</v>
      </c>
    </row>
    <row r="215" spans="1:5" x14ac:dyDescent="0.15">
      <c r="A215" s="36">
        <v>64</v>
      </c>
      <c r="B215" s="54">
        <f t="shared" si="7"/>
        <v>6909.1152521264676</v>
      </c>
      <c r="C215" s="54">
        <f t="shared" si="8"/>
        <v>5080.6956220419052</v>
      </c>
      <c r="D215" s="54">
        <f t="shared" si="9"/>
        <v>1828.4196300845629</v>
      </c>
      <c r="E215" s="54">
        <f t="shared" si="10"/>
        <v>901406.35762180958</v>
      </c>
    </row>
    <row r="216" spans="1:5" x14ac:dyDescent="0.15">
      <c r="A216" s="36">
        <v>65</v>
      </c>
      <c r="B216" s="54">
        <f t="shared" si="7"/>
        <v>6909.1152521264676</v>
      </c>
      <c r="C216" s="54">
        <f t="shared" si="8"/>
        <v>5070.4107616226793</v>
      </c>
      <c r="D216" s="54">
        <f t="shared" si="9"/>
        <v>1838.7044905037885</v>
      </c>
      <c r="E216" s="54">
        <f t="shared" si="10"/>
        <v>899567.65313130582</v>
      </c>
    </row>
    <row r="217" spans="1:5" x14ac:dyDescent="0.15">
      <c r="A217" s="36">
        <v>66</v>
      </c>
      <c r="B217" s="54">
        <f t="shared" ref="B217:B280" si="11">$B$148</f>
        <v>6909.1152521264676</v>
      </c>
      <c r="C217" s="54">
        <f t="shared" ref="C217:C280" si="12">ABS(IPMT($B$146/$B$147,A217,$B$145*$B$147,$B$144,0,0))</f>
        <v>5060.0680488635953</v>
      </c>
      <c r="D217" s="54">
        <f t="shared" ref="D217:D280" si="13">ABS(PPMT($B$146/$B$147,A217,$B$145*$B$147,$B$144,0,0))</f>
        <v>1849.0472032628725</v>
      </c>
      <c r="E217" s="54">
        <f t="shared" ref="E217:E280" si="14">E216-D217</f>
        <v>897718.6059280429</v>
      </c>
    </row>
    <row r="218" spans="1:5" x14ac:dyDescent="0.15">
      <c r="A218" s="36">
        <v>67</v>
      </c>
      <c r="B218" s="54">
        <f t="shared" si="11"/>
        <v>6909.1152521264676</v>
      </c>
      <c r="C218" s="54">
        <f t="shared" si="12"/>
        <v>5049.6671583452417</v>
      </c>
      <c r="D218" s="54">
        <f t="shared" si="13"/>
        <v>1859.4480937812257</v>
      </c>
      <c r="E218" s="54">
        <f t="shared" si="14"/>
        <v>895859.15783426166</v>
      </c>
    </row>
    <row r="219" spans="1:5" x14ac:dyDescent="0.15">
      <c r="A219" s="36">
        <v>68</v>
      </c>
      <c r="B219" s="54">
        <f t="shared" si="11"/>
        <v>6909.1152521264676</v>
      </c>
      <c r="C219" s="54">
        <f t="shared" si="12"/>
        <v>5039.2077628177221</v>
      </c>
      <c r="D219" s="54">
        <f t="shared" si="13"/>
        <v>1869.9074893087452</v>
      </c>
      <c r="E219" s="54">
        <f t="shared" si="14"/>
        <v>893989.25034495292</v>
      </c>
    </row>
    <row r="220" spans="1:5" x14ac:dyDescent="0.15">
      <c r="A220" s="36">
        <v>69</v>
      </c>
      <c r="B220" s="54">
        <f t="shared" si="11"/>
        <v>6909.1152521264676</v>
      </c>
      <c r="C220" s="54">
        <f t="shared" si="12"/>
        <v>5028.6895331903606</v>
      </c>
      <c r="D220" s="54">
        <f t="shared" si="13"/>
        <v>1880.4257189361072</v>
      </c>
      <c r="E220" s="54">
        <f t="shared" si="14"/>
        <v>892108.82462601678</v>
      </c>
    </row>
    <row r="221" spans="1:5" x14ac:dyDescent="0.15">
      <c r="A221" s="36">
        <v>70</v>
      </c>
      <c r="B221" s="54">
        <f t="shared" si="11"/>
        <v>6909.1152521264676</v>
      </c>
      <c r="C221" s="54">
        <f t="shared" si="12"/>
        <v>5018.1121385213446</v>
      </c>
      <c r="D221" s="54">
        <f t="shared" si="13"/>
        <v>1891.0031136051227</v>
      </c>
      <c r="E221" s="54">
        <f t="shared" si="14"/>
        <v>890217.8215124117</v>
      </c>
    </row>
    <row r="222" spans="1:5" x14ac:dyDescent="0.15">
      <c r="A222" s="36">
        <v>71</v>
      </c>
      <c r="B222" s="54">
        <f t="shared" si="11"/>
        <v>6909.1152521264676</v>
      </c>
      <c r="C222" s="54">
        <f t="shared" si="12"/>
        <v>5007.4752460073159</v>
      </c>
      <c r="D222" s="54">
        <f t="shared" si="13"/>
        <v>1901.6400061191516</v>
      </c>
      <c r="E222" s="54">
        <f t="shared" si="14"/>
        <v>888316.18150629255</v>
      </c>
    </row>
    <row r="223" spans="1:5" x14ac:dyDescent="0.15">
      <c r="A223" s="36">
        <v>72</v>
      </c>
      <c r="B223" s="54">
        <f t="shared" si="11"/>
        <v>6909.1152521264676</v>
      </c>
      <c r="C223" s="54">
        <f t="shared" si="12"/>
        <v>4996.7785209728954</v>
      </c>
      <c r="D223" s="54">
        <f t="shared" si="13"/>
        <v>1912.3367311535717</v>
      </c>
      <c r="E223" s="54">
        <f t="shared" si="14"/>
        <v>886403.844775139</v>
      </c>
    </row>
    <row r="224" spans="1:5" x14ac:dyDescent="0.15">
      <c r="A224" s="36">
        <v>73</v>
      </c>
      <c r="B224" s="54">
        <f t="shared" si="11"/>
        <v>6909.1152521264676</v>
      </c>
      <c r="C224" s="54">
        <f t="shared" si="12"/>
        <v>4986.0216268601571</v>
      </c>
      <c r="D224" s="54">
        <f t="shared" si="13"/>
        <v>1923.0936252663105</v>
      </c>
      <c r="E224" s="54">
        <f t="shared" si="14"/>
        <v>884480.75114987267</v>
      </c>
    </row>
    <row r="225" spans="1:5" x14ac:dyDescent="0.15">
      <c r="A225" s="36">
        <v>74</v>
      </c>
      <c r="B225" s="54">
        <f t="shared" si="11"/>
        <v>6909.1152521264676</v>
      </c>
      <c r="C225" s="54">
        <f t="shared" si="12"/>
        <v>4975.2042252180336</v>
      </c>
      <c r="D225" s="54">
        <f t="shared" si="13"/>
        <v>1933.9110269084335</v>
      </c>
      <c r="E225" s="54">
        <f t="shared" si="14"/>
        <v>882546.84012296423</v>
      </c>
    </row>
    <row r="226" spans="1:5" x14ac:dyDescent="0.15">
      <c r="A226" s="36">
        <v>75</v>
      </c>
      <c r="B226" s="54">
        <f t="shared" si="11"/>
        <v>6909.1152521264676</v>
      </c>
      <c r="C226" s="54">
        <f t="shared" si="12"/>
        <v>4964.3259756916741</v>
      </c>
      <c r="D226" s="54">
        <f t="shared" si="13"/>
        <v>1944.7892764347935</v>
      </c>
      <c r="E226" s="54">
        <f t="shared" si="14"/>
        <v>880602.05084652943</v>
      </c>
    </row>
    <row r="227" spans="1:5" x14ac:dyDescent="0.15">
      <c r="A227" s="36">
        <v>76</v>
      </c>
      <c r="B227" s="54">
        <f t="shared" si="11"/>
        <v>6909.1152521264676</v>
      </c>
      <c r="C227" s="54">
        <f t="shared" si="12"/>
        <v>4953.3865360117288</v>
      </c>
      <c r="D227" s="54">
        <f t="shared" si="13"/>
        <v>1955.7287161147394</v>
      </c>
      <c r="E227" s="54">
        <f t="shared" si="14"/>
        <v>878646.32213041466</v>
      </c>
    </row>
    <row r="228" spans="1:5" x14ac:dyDescent="0.15">
      <c r="A228" s="36">
        <v>77</v>
      </c>
      <c r="B228" s="54">
        <f t="shared" si="11"/>
        <v>6909.1152521264676</v>
      </c>
      <c r="C228" s="54">
        <f t="shared" si="12"/>
        <v>4942.385561983584</v>
      </c>
      <c r="D228" s="54">
        <f t="shared" si="13"/>
        <v>1966.7296901428847</v>
      </c>
      <c r="E228" s="54">
        <f t="shared" si="14"/>
        <v>876679.59244027175</v>
      </c>
    </row>
    <row r="229" spans="1:5" x14ac:dyDescent="0.15">
      <c r="A229" s="36">
        <v>78</v>
      </c>
      <c r="B229" s="54">
        <f t="shared" si="11"/>
        <v>6909.1152521264676</v>
      </c>
      <c r="C229" s="54">
        <f t="shared" si="12"/>
        <v>4931.3227074765282</v>
      </c>
      <c r="D229" s="54">
        <f t="shared" si="13"/>
        <v>1977.7925446499385</v>
      </c>
      <c r="E229" s="54">
        <f t="shared" si="14"/>
        <v>874701.79989562184</v>
      </c>
    </row>
    <row r="230" spans="1:5" x14ac:dyDescent="0.15">
      <c r="A230" s="36">
        <v>79</v>
      </c>
      <c r="B230" s="54">
        <f t="shared" si="11"/>
        <v>6909.1152521264676</v>
      </c>
      <c r="C230" s="54">
        <f t="shared" si="12"/>
        <v>4920.1976244128737</v>
      </c>
      <c r="D230" s="54">
        <f t="shared" si="13"/>
        <v>1988.9176277135939</v>
      </c>
      <c r="E230" s="54">
        <f t="shared" si="14"/>
        <v>872712.88226790819</v>
      </c>
    </row>
    <row r="231" spans="1:5" x14ac:dyDescent="0.15">
      <c r="A231" s="36">
        <v>80</v>
      </c>
      <c r="B231" s="54">
        <f t="shared" si="11"/>
        <v>6909.1152521264676</v>
      </c>
      <c r="C231" s="54">
        <f t="shared" si="12"/>
        <v>4909.0099627569853</v>
      </c>
      <c r="D231" s="54">
        <f t="shared" si="13"/>
        <v>2000.1052893694832</v>
      </c>
      <c r="E231" s="54">
        <f t="shared" si="14"/>
        <v>870712.77697853872</v>
      </c>
    </row>
    <row r="232" spans="1:5" x14ac:dyDescent="0.15">
      <c r="A232" s="36">
        <v>81</v>
      </c>
      <c r="B232" s="54">
        <f t="shared" si="11"/>
        <v>6909.1152521264676</v>
      </c>
      <c r="C232" s="54">
        <f t="shared" si="12"/>
        <v>4897.7593705042809</v>
      </c>
      <c r="D232" s="54">
        <f t="shared" si="13"/>
        <v>2011.3558816221866</v>
      </c>
      <c r="E232" s="54">
        <f t="shared" si="14"/>
        <v>868701.42109691654</v>
      </c>
    </row>
    <row r="233" spans="1:5" x14ac:dyDescent="0.15">
      <c r="A233" s="36">
        <v>82</v>
      </c>
      <c r="B233" s="54">
        <f t="shared" si="11"/>
        <v>6909.1152521264676</v>
      </c>
      <c r="C233" s="54">
        <f t="shared" si="12"/>
        <v>4886.4454936701559</v>
      </c>
      <c r="D233" s="54">
        <f t="shared" si="13"/>
        <v>2022.6697584563115</v>
      </c>
      <c r="E233" s="54">
        <f t="shared" si="14"/>
        <v>866678.75133846025</v>
      </c>
    </row>
    <row r="234" spans="1:5" x14ac:dyDescent="0.15">
      <c r="A234" s="36">
        <v>83</v>
      </c>
      <c r="B234" s="54">
        <f t="shared" si="11"/>
        <v>6909.1152521264676</v>
      </c>
      <c r="C234" s="54">
        <f t="shared" si="12"/>
        <v>4875.0679762788386</v>
      </c>
      <c r="D234" s="54">
        <f t="shared" si="13"/>
        <v>2034.0472758476285</v>
      </c>
      <c r="E234" s="54">
        <f t="shared" si="14"/>
        <v>864644.70406261261</v>
      </c>
    </row>
    <row r="235" spans="1:5" x14ac:dyDescent="0.15">
      <c r="A235" s="36">
        <v>84</v>
      </c>
      <c r="B235" s="54">
        <f t="shared" si="11"/>
        <v>6909.1152521264676</v>
      </c>
      <c r="C235" s="54">
        <f t="shared" si="12"/>
        <v>4863.6264603521968</v>
      </c>
      <c r="D235" s="54">
        <f t="shared" si="13"/>
        <v>2045.488791774271</v>
      </c>
      <c r="E235" s="54">
        <f t="shared" si="14"/>
        <v>862599.21527083835</v>
      </c>
    </row>
    <row r="236" spans="1:5" x14ac:dyDescent="0.15">
      <c r="A236" s="36">
        <v>85</v>
      </c>
      <c r="B236" s="54">
        <f t="shared" si="11"/>
        <v>6909.1152521264676</v>
      </c>
      <c r="C236" s="54">
        <f t="shared" si="12"/>
        <v>4852.1205858984667</v>
      </c>
      <c r="D236" s="54">
        <f t="shared" si="13"/>
        <v>2056.9946662280013</v>
      </c>
      <c r="E236" s="54">
        <f t="shared" si="14"/>
        <v>860542.2206046104</v>
      </c>
    </row>
    <row r="237" spans="1:5" x14ac:dyDescent="0.15">
      <c r="A237" s="36">
        <v>86</v>
      </c>
      <c r="B237" s="54">
        <f t="shared" si="11"/>
        <v>6909.1152521264676</v>
      </c>
      <c r="C237" s="54">
        <f t="shared" si="12"/>
        <v>4840.5499909009332</v>
      </c>
      <c r="D237" s="54">
        <f t="shared" si="13"/>
        <v>2068.565261225534</v>
      </c>
      <c r="E237" s="54">
        <f t="shared" si="14"/>
        <v>858473.65534338483</v>
      </c>
    </row>
    <row r="238" spans="1:5" x14ac:dyDescent="0.15">
      <c r="A238" s="36">
        <v>87</v>
      </c>
      <c r="B238" s="54">
        <f t="shared" si="11"/>
        <v>6909.1152521264676</v>
      </c>
      <c r="C238" s="54">
        <f t="shared" si="12"/>
        <v>4828.9143113065402</v>
      </c>
      <c r="D238" s="54">
        <f t="shared" si="13"/>
        <v>2080.2009408199274</v>
      </c>
      <c r="E238" s="54">
        <f t="shared" si="14"/>
        <v>856393.45440256491</v>
      </c>
    </row>
    <row r="239" spans="1:5" x14ac:dyDescent="0.15">
      <c r="A239" s="36">
        <v>88</v>
      </c>
      <c r="B239" s="54">
        <f t="shared" si="11"/>
        <v>6909.1152521264676</v>
      </c>
      <c r="C239" s="54">
        <f t="shared" si="12"/>
        <v>4817.2131810144283</v>
      </c>
      <c r="D239" s="54">
        <f t="shared" si="13"/>
        <v>2091.9020711120393</v>
      </c>
      <c r="E239" s="54">
        <f t="shared" si="14"/>
        <v>854301.55233145284</v>
      </c>
    </row>
    <row r="240" spans="1:5" x14ac:dyDescent="0.15">
      <c r="A240" s="36">
        <v>89</v>
      </c>
      <c r="B240" s="54">
        <f t="shared" si="11"/>
        <v>6909.1152521264676</v>
      </c>
      <c r="C240" s="54">
        <f t="shared" si="12"/>
        <v>4805.4462318644237</v>
      </c>
      <c r="D240" s="54">
        <f t="shared" si="13"/>
        <v>2103.6690202620443</v>
      </c>
      <c r="E240" s="54">
        <f t="shared" si="14"/>
        <v>852197.88331119076</v>
      </c>
    </row>
    <row r="241" spans="1:5" x14ac:dyDescent="0.15">
      <c r="A241" s="36">
        <v>90</v>
      </c>
      <c r="B241" s="54">
        <f t="shared" si="11"/>
        <v>6909.1152521264676</v>
      </c>
      <c r="C241" s="54">
        <f t="shared" si="12"/>
        <v>4793.6130936254494</v>
      </c>
      <c r="D241" s="54">
        <f t="shared" si="13"/>
        <v>2115.5021585010186</v>
      </c>
      <c r="E241" s="54">
        <f t="shared" si="14"/>
        <v>850082.38115268969</v>
      </c>
    </row>
    <row r="242" spans="1:5" x14ac:dyDescent="0.15">
      <c r="A242" s="36">
        <v>91</v>
      </c>
      <c r="B242" s="54">
        <f t="shared" si="11"/>
        <v>6909.1152521264676</v>
      </c>
      <c r="C242" s="54">
        <f t="shared" si="12"/>
        <v>4781.7133939838805</v>
      </c>
      <c r="D242" s="54">
        <f t="shared" si="13"/>
        <v>2127.4018581425867</v>
      </c>
      <c r="E242" s="54">
        <f t="shared" si="14"/>
        <v>847954.97929454711</v>
      </c>
    </row>
    <row r="243" spans="1:5" x14ac:dyDescent="0.15">
      <c r="A243" s="36">
        <v>92</v>
      </c>
      <c r="B243" s="54">
        <f t="shared" si="11"/>
        <v>6909.1152521264676</v>
      </c>
      <c r="C243" s="54">
        <f t="shared" si="12"/>
        <v>4769.7467585318291</v>
      </c>
      <c r="D243" s="54">
        <f t="shared" si="13"/>
        <v>2139.3684935946394</v>
      </c>
      <c r="E243" s="54">
        <f t="shared" si="14"/>
        <v>845815.61080095242</v>
      </c>
    </row>
    <row r="244" spans="1:5" x14ac:dyDescent="0.15">
      <c r="A244" s="36">
        <v>93</v>
      </c>
      <c r="B244" s="54">
        <f t="shared" si="11"/>
        <v>6909.1152521264676</v>
      </c>
      <c r="C244" s="54">
        <f t="shared" si="12"/>
        <v>4757.7128107553581</v>
      </c>
      <c r="D244" s="54">
        <f t="shared" si="13"/>
        <v>2151.402441371109</v>
      </c>
      <c r="E244" s="54">
        <f t="shared" si="14"/>
        <v>843664.2083595813</v>
      </c>
    </row>
    <row r="245" spans="1:5" x14ac:dyDescent="0.15">
      <c r="A245" s="36">
        <v>94</v>
      </c>
      <c r="B245" s="54">
        <f t="shared" si="11"/>
        <v>6909.1152521264676</v>
      </c>
      <c r="C245" s="54">
        <f t="shared" si="12"/>
        <v>4745.6111720226463</v>
      </c>
      <c r="D245" s="54">
        <f t="shared" si="13"/>
        <v>2163.5040801038217</v>
      </c>
      <c r="E245" s="54">
        <f t="shared" si="14"/>
        <v>841500.70427947748</v>
      </c>
    </row>
    <row r="246" spans="1:5" x14ac:dyDescent="0.15">
      <c r="A246" s="36">
        <v>95</v>
      </c>
      <c r="B246" s="54">
        <f t="shared" si="11"/>
        <v>6909.1152521264676</v>
      </c>
      <c r="C246" s="54">
        <f t="shared" si="12"/>
        <v>4733.4414615720616</v>
      </c>
      <c r="D246" s="54">
        <f t="shared" si="13"/>
        <v>2175.6737905544055</v>
      </c>
      <c r="E246" s="54">
        <f t="shared" si="14"/>
        <v>839325.03048892308</v>
      </c>
    </row>
    <row r="247" spans="1:5" x14ac:dyDescent="0.15">
      <c r="A247" s="36">
        <v>96</v>
      </c>
      <c r="B247" s="54">
        <f t="shared" si="11"/>
        <v>6909.1152521264676</v>
      </c>
      <c r="C247" s="54">
        <f t="shared" si="12"/>
        <v>4721.2032965001936</v>
      </c>
      <c r="D247" s="54">
        <f t="shared" si="13"/>
        <v>2187.911955626274</v>
      </c>
      <c r="E247" s="54">
        <f t="shared" si="14"/>
        <v>837137.11853329674</v>
      </c>
    </row>
    <row r="248" spans="1:5" x14ac:dyDescent="0.15">
      <c r="A248" s="36">
        <v>97</v>
      </c>
      <c r="B248" s="54">
        <f t="shared" si="11"/>
        <v>6909.1152521264676</v>
      </c>
      <c r="C248" s="54">
        <f t="shared" si="12"/>
        <v>4708.8962917497956</v>
      </c>
      <c r="D248" s="54">
        <f t="shared" si="13"/>
        <v>2200.2189603766715</v>
      </c>
      <c r="E248" s="54">
        <f t="shared" si="14"/>
        <v>834936.89957292005</v>
      </c>
    </row>
    <row r="249" spans="1:5" x14ac:dyDescent="0.15">
      <c r="A249" s="36">
        <v>98</v>
      </c>
      <c r="B249" s="54">
        <f t="shared" si="11"/>
        <v>6909.1152521264676</v>
      </c>
      <c r="C249" s="54">
        <f t="shared" si="12"/>
        <v>4696.5200600976768</v>
      </c>
      <c r="D249" s="54">
        <f t="shared" si="13"/>
        <v>2212.5951920287903</v>
      </c>
      <c r="E249" s="54">
        <f t="shared" si="14"/>
        <v>832724.30438089126</v>
      </c>
    </row>
    <row r="250" spans="1:5" x14ac:dyDescent="0.15">
      <c r="A250" s="36">
        <v>99</v>
      </c>
      <c r="B250" s="54">
        <f t="shared" si="11"/>
        <v>6909.1152521264676</v>
      </c>
      <c r="C250" s="54">
        <f t="shared" si="12"/>
        <v>4684.0742121425155</v>
      </c>
      <c r="D250" s="54">
        <f t="shared" si="13"/>
        <v>2225.0410399839525</v>
      </c>
      <c r="E250" s="54">
        <f t="shared" si="14"/>
        <v>830499.26334090729</v>
      </c>
    </row>
    <row r="251" spans="1:5" x14ac:dyDescent="0.15">
      <c r="A251" s="36">
        <v>100</v>
      </c>
      <c r="B251" s="54">
        <f t="shared" si="11"/>
        <v>6909.1152521264676</v>
      </c>
      <c r="C251" s="54">
        <f t="shared" si="12"/>
        <v>4671.5583562926058</v>
      </c>
      <c r="D251" s="54">
        <f t="shared" si="13"/>
        <v>2237.5568958338617</v>
      </c>
      <c r="E251" s="54">
        <f t="shared" si="14"/>
        <v>828261.70644507348</v>
      </c>
    </row>
    <row r="252" spans="1:5" x14ac:dyDescent="0.15">
      <c r="A252" s="36">
        <v>101</v>
      </c>
      <c r="B252" s="54">
        <f t="shared" si="11"/>
        <v>6909.1152521264676</v>
      </c>
      <c r="C252" s="54">
        <f t="shared" si="12"/>
        <v>4658.9720987535402</v>
      </c>
      <c r="D252" s="54">
        <f t="shared" si="13"/>
        <v>2250.1431533729269</v>
      </c>
      <c r="E252" s="54">
        <f t="shared" si="14"/>
        <v>826011.56329170056</v>
      </c>
    </row>
    <row r="253" spans="1:5" x14ac:dyDescent="0.15">
      <c r="A253" s="36">
        <v>102</v>
      </c>
      <c r="B253" s="54">
        <f t="shared" si="11"/>
        <v>6909.1152521264676</v>
      </c>
      <c r="C253" s="54">
        <f t="shared" si="12"/>
        <v>4646.3150435158168</v>
      </c>
      <c r="D253" s="54">
        <f t="shared" si="13"/>
        <v>2262.8002086106503</v>
      </c>
      <c r="E253" s="54">
        <f t="shared" si="14"/>
        <v>823748.76308308996</v>
      </c>
    </row>
    <row r="254" spans="1:5" x14ac:dyDescent="0.15">
      <c r="A254" s="36">
        <v>103</v>
      </c>
      <c r="B254" s="54">
        <f t="shared" si="11"/>
        <v>6909.1152521264676</v>
      </c>
      <c r="C254" s="54">
        <f t="shared" si="12"/>
        <v>4633.586792342383</v>
      </c>
      <c r="D254" s="54">
        <f t="shared" si="13"/>
        <v>2275.5284597840855</v>
      </c>
      <c r="E254" s="54">
        <f t="shared" si="14"/>
        <v>821473.23462330585</v>
      </c>
    </row>
    <row r="255" spans="1:5" x14ac:dyDescent="0.15">
      <c r="A255" s="36">
        <v>104</v>
      </c>
      <c r="B255" s="54">
        <f t="shared" si="11"/>
        <v>6909.1152521264676</v>
      </c>
      <c r="C255" s="54">
        <f t="shared" si="12"/>
        <v>4620.786944756097</v>
      </c>
      <c r="D255" s="54">
        <f t="shared" si="13"/>
        <v>2288.3283073703706</v>
      </c>
      <c r="E255" s="54">
        <f t="shared" si="14"/>
        <v>819184.90631593543</v>
      </c>
    </row>
    <row r="256" spans="1:5" x14ac:dyDescent="0.15">
      <c r="A256" s="36">
        <v>105</v>
      </c>
      <c r="B256" s="54">
        <f t="shared" si="11"/>
        <v>6909.1152521264676</v>
      </c>
      <c r="C256" s="54">
        <f t="shared" si="12"/>
        <v>4607.9150980271397</v>
      </c>
      <c r="D256" s="54">
        <f t="shared" si="13"/>
        <v>2301.2001540993292</v>
      </c>
      <c r="E256" s="54">
        <f t="shared" si="14"/>
        <v>816883.70616183605</v>
      </c>
    </row>
    <row r="257" spans="1:5" x14ac:dyDescent="0.15">
      <c r="A257" s="36">
        <v>106</v>
      </c>
      <c r="B257" s="54">
        <f t="shared" si="11"/>
        <v>6909.1152521264676</v>
      </c>
      <c r="C257" s="54">
        <f t="shared" si="12"/>
        <v>4594.9708471603299</v>
      </c>
      <c r="D257" s="54">
        <f t="shared" si="13"/>
        <v>2314.1444049661377</v>
      </c>
      <c r="E257" s="54">
        <f t="shared" si="14"/>
        <v>814569.56175686989</v>
      </c>
    </row>
    <row r="258" spans="1:5" x14ac:dyDescent="0.15">
      <c r="A258" s="36">
        <v>107</v>
      </c>
      <c r="B258" s="54">
        <f t="shared" si="11"/>
        <v>6909.1152521264676</v>
      </c>
      <c r="C258" s="54">
        <f t="shared" si="12"/>
        <v>4581.9537848823957</v>
      </c>
      <c r="D258" s="54">
        <f t="shared" si="13"/>
        <v>2327.1614672440724</v>
      </c>
      <c r="E258" s="54">
        <f t="shared" si="14"/>
        <v>812242.40028962586</v>
      </c>
    </row>
    <row r="259" spans="1:5" x14ac:dyDescent="0.15">
      <c r="A259" s="36">
        <v>108</v>
      </c>
      <c r="B259" s="54">
        <f t="shared" si="11"/>
        <v>6909.1152521264676</v>
      </c>
      <c r="C259" s="54">
        <f t="shared" si="12"/>
        <v>4568.8635016291482</v>
      </c>
      <c r="D259" s="54">
        <f t="shared" si="13"/>
        <v>2340.2517504973202</v>
      </c>
      <c r="E259" s="54">
        <f t="shared" si="14"/>
        <v>809902.1485391286</v>
      </c>
    </row>
    <row r="260" spans="1:5" x14ac:dyDescent="0.15">
      <c r="A260" s="36">
        <v>109</v>
      </c>
      <c r="B260" s="54">
        <f t="shared" si="11"/>
        <v>6909.1152521264676</v>
      </c>
      <c r="C260" s="54">
        <f t="shared" si="12"/>
        <v>4555.6995855326004</v>
      </c>
      <c r="D260" s="54">
        <f t="shared" si="13"/>
        <v>2353.4156665938676</v>
      </c>
      <c r="E260" s="54">
        <f t="shared" si="14"/>
        <v>807548.73287253478</v>
      </c>
    </row>
    <row r="261" spans="1:5" x14ac:dyDescent="0.15">
      <c r="A261" s="36">
        <v>110</v>
      </c>
      <c r="B261" s="54">
        <f t="shared" si="11"/>
        <v>6909.1152521264676</v>
      </c>
      <c r="C261" s="54">
        <f t="shared" si="12"/>
        <v>4542.4616224080091</v>
      </c>
      <c r="D261" s="54">
        <f t="shared" si="13"/>
        <v>2366.6536297184575</v>
      </c>
      <c r="E261" s="54">
        <f t="shared" si="14"/>
        <v>805182.07924281631</v>
      </c>
    </row>
    <row r="262" spans="1:5" x14ac:dyDescent="0.15">
      <c r="A262" s="36">
        <v>111</v>
      </c>
      <c r="B262" s="54">
        <f t="shared" si="11"/>
        <v>6909.1152521264676</v>
      </c>
      <c r="C262" s="54">
        <f t="shared" si="12"/>
        <v>4529.1491957408425</v>
      </c>
      <c r="D262" s="54">
        <f t="shared" si="13"/>
        <v>2379.9660563856241</v>
      </c>
      <c r="E262" s="54">
        <f t="shared" si="14"/>
        <v>802802.11318643065</v>
      </c>
    </row>
    <row r="263" spans="1:5" x14ac:dyDescent="0.15">
      <c r="A263" s="36">
        <v>112</v>
      </c>
      <c r="B263" s="54">
        <f t="shared" si="11"/>
        <v>6909.1152521264676</v>
      </c>
      <c r="C263" s="54">
        <f t="shared" si="12"/>
        <v>4515.7618866736739</v>
      </c>
      <c r="D263" s="54">
        <f t="shared" si="13"/>
        <v>2393.3533654527937</v>
      </c>
      <c r="E263" s="54">
        <f t="shared" si="14"/>
        <v>800408.75982097781</v>
      </c>
    </row>
    <row r="264" spans="1:5" x14ac:dyDescent="0.15">
      <c r="A264" s="36">
        <v>113</v>
      </c>
      <c r="B264" s="54">
        <f t="shared" si="11"/>
        <v>6909.1152521264676</v>
      </c>
      <c r="C264" s="54">
        <f t="shared" si="12"/>
        <v>4502.2992739930023</v>
      </c>
      <c r="D264" s="54">
        <f t="shared" si="13"/>
        <v>2406.8159781334657</v>
      </c>
      <c r="E264" s="54">
        <f t="shared" si="14"/>
        <v>798001.94384284434</v>
      </c>
    </row>
    <row r="265" spans="1:5" x14ac:dyDescent="0.15">
      <c r="A265" s="36">
        <v>114</v>
      </c>
      <c r="B265" s="54">
        <f t="shared" si="11"/>
        <v>6909.1152521264676</v>
      </c>
      <c r="C265" s="54">
        <f t="shared" si="12"/>
        <v>4488.7609341160014</v>
      </c>
      <c r="D265" s="54">
        <f t="shared" si="13"/>
        <v>2420.3543180104666</v>
      </c>
      <c r="E265" s="54">
        <f t="shared" si="14"/>
        <v>795581.58952483383</v>
      </c>
    </row>
    <row r="266" spans="1:5" x14ac:dyDescent="0.15">
      <c r="A266" s="36">
        <v>115</v>
      </c>
      <c r="B266" s="54">
        <f t="shared" si="11"/>
        <v>6909.1152521264676</v>
      </c>
      <c r="C266" s="54">
        <f t="shared" si="12"/>
        <v>4475.1464410771923</v>
      </c>
      <c r="D266" s="54">
        <f t="shared" si="13"/>
        <v>2433.9688110492752</v>
      </c>
      <c r="E266" s="54">
        <f t="shared" si="14"/>
        <v>793147.62071378459</v>
      </c>
    </row>
    <row r="267" spans="1:5" x14ac:dyDescent="0.15">
      <c r="A267" s="36">
        <v>116</v>
      </c>
      <c r="B267" s="54">
        <f t="shared" si="11"/>
        <v>6909.1152521264676</v>
      </c>
      <c r="C267" s="54">
        <f t="shared" si="12"/>
        <v>4461.4553665150397</v>
      </c>
      <c r="D267" s="54">
        <f t="shared" si="13"/>
        <v>2447.6598856114274</v>
      </c>
      <c r="E267" s="54">
        <f t="shared" si="14"/>
        <v>790699.96082817321</v>
      </c>
    </row>
    <row r="268" spans="1:5" x14ac:dyDescent="0.15">
      <c r="A268" s="36">
        <v>117</v>
      </c>
      <c r="B268" s="54">
        <f t="shared" si="11"/>
        <v>6909.1152521264676</v>
      </c>
      <c r="C268" s="54">
        <f t="shared" si="12"/>
        <v>4447.6872796584757</v>
      </c>
      <c r="D268" s="54">
        <f t="shared" si="13"/>
        <v>2461.4279724679914</v>
      </c>
      <c r="E268" s="54">
        <f t="shared" si="14"/>
        <v>788238.53285570524</v>
      </c>
    </row>
    <row r="269" spans="1:5" x14ac:dyDescent="0.15">
      <c r="A269" s="36">
        <v>118</v>
      </c>
      <c r="B269" s="54">
        <f t="shared" si="11"/>
        <v>6909.1152521264676</v>
      </c>
      <c r="C269" s="54">
        <f t="shared" si="12"/>
        <v>4433.8417473133441</v>
      </c>
      <c r="D269" s="54">
        <f t="shared" si="13"/>
        <v>2475.273504813124</v>
      </c>
      <c r="E269" s="54">
        <f t="shared" si="14"/>
        <v>785763.25935089216</v>
      </c>
    </row>
    <row r="270" spans="1:5" x14ac:dyDescent="0.15">
      <c r="A270" s="36">
        <v>119</v>
      </c>
      <c r="B270" s="54">
        <f t="shared" si="11"/>
        <v>6909.1152521264676</v>
      </c>
      <c r="C270" s="54">
        <f t="shared" si="12"/>
        <v>4419.9183338487692</v>
      </c>
      <c r="D270" s="54">
        <f t="shared" si="13"/>
        <v>2489.1969182776979</v>
      </c>
      <c r="E270" s="54">
        <f t="shared" si="14"/>
        <v>783274.0624326145</v>
      </c>
    </row>
    <row r="271" spans="1:5" x14ac:dyDescent="0.15">
      <c r="A271" s="36">
        <v>120</v>
      </c>
      <c r="B271" s="54">
        <f t="shared" si="11"/>
        <v>6909.1152521264676</v>
      </c>
      <c r="C271" s="54">
        <f t="shared" si="12"/>
        <v>4405.9166011834577</v>
      </c>
      <c r="D271" s="54">
        <f t="shared" si="13"/>
        <v>2503.1986509430099</v>
      </c>
      <c r="E271" s="54">
        <f t="shared" si="14"/>
        <v>780770.86378167151</v>
      </c>
    </row>
    <row r="272" spans="1:5" x14ac:dyDescent="0.15">
      <c r="A272" s="36">
        <v>121</v>
      </c>
      <c r="B272" s="54">
        <f t="shared" si="11"/>
        <v>6909.1152521264676</v>
      </c>
      <c r="C272" s="54">
        <f t="shared" si="12"/>
        <v>4391.8361087719031</v>
      </c>
      <c r="D272" s="54">
        <f t="shared" si="13"/>
        <v>2517.2791433545644</v>
      </c>
      <c r="E272" s="54">
        <f t="shared" si="14"/>
        <v>778253.58463831688</v>
      </c>
    </row>
    <row r="273" spans="1:5" x14ac:dyDescent="0.15">
      <c r="A273" s="36">
        <v>122</v>
      </c>
      <c r="B273" s="54">
        <f t="shared" si="11"/>
        <v>6909.1152521264676</v>
      </c>
      <c r="C273" s="54">
        <f t="shared" si="12"/>
        <v>4377.6764135905332</v>
      </c>
      <c r="D273" s="54">
        <f t="shared" si="13"/>
        <v>2531.4388385359343</v>
      </c>
      <c r="E273" s="54">
        <f t="shared" si="14"/>
        <v>775722.14579978096</v>
      </c>
    </row>
    <row r="274" spans="1:5" x14ac:dyDescent="0.15">
      <c r="A274" s="36">
        <v>123</v>
      </c>
      <c r="B274" s="54">
        <f t="shared" si="11"/>
        <v>6909.1152521264676</v>
      </c>
      <c r="C274" s="54">
        <f t="shared" si="12"/>
        <v>4363.4370701237694</v>
      </c>
      <c r="D274" s="54">
        <f t="shared" si="13"/>
        <v>2545.6781820026986</v>
      </c>
      <c r="E274" s="54">
        <f t="shared" si="14"/>
        <v>773176.46761777822</v>
      </c>
    </row>
    <row r="275" spans="1:5" x14ac:dyDescent="0.15">
      <c r="A275" s="36">
        <v>124</v>
      </c>
      <c r="B275" s="54">
        <f t="shared" si="11"/>
        <v>6909.1152521264676</v>
      </c>
      <c r="C275" s="54">
        <f t="shared" si="12"/>
        <v>4349.1176303500042</v>
      </c>
      <c r="D275" s="54">
        <f t="shared" si="13"/>
        <v>2559.9976217764638</v>
      </c>
      <c r="E275" s="54">
        <f t="shared" si="14"/>
        <v>770616.4699960018</v>
      </c>
    </row>
    <row r="276" spans="1:5" x14ac:dyDescent="0.15">
      <c r="A276" s="36">
        <v>125</v>
      </c>
      <c r="B276" s="54">
        <f t="shared" si="11"/>
        <v>6909.1152521264676</v>
      </c>
      <c r="C276" s="54">
        <f t="shared" si="12"/>
        <v>4334.7176437275111</v>
      </c>
      <c r="D276" s="54">
        <f t="shared" si="13"/>
        <v>2574.3976083989564</v>
      </c>
      <c r="E276" s="54">
        <f t="shared" si="14"/>
        <v>768042.07238760288</v>
      </c>
    </row>
    <row r="277" spans="1:5" x14ac:dyDescent="0.15">
      <c r="A277" s="36">
        <v>126</v>
      </c>
      <c r="B277" s="54">
        <f t="shared" si="11"/>
        <v>6909.1152521264676</v>
      </c>
      <c r="C277" s="54">
        <f t="shared" si="12"/>
        <v>4320.2366571802677</v>
      </c>
      <c r="D277" s="54">
        <f t="shared" si="13"/>
        <v>2588.8785949462003</v>
      </c>
      <c r="E277" s="54">
        <f t="shared" si="14"/>
        <v>765453.19379265665</v>
      </c>
    </row>
    <row r="278" spans="1:5" x14ac:dyDescent="0.15">
      <c r="A278" s="36">
        <v>127</v>
      </c>
      <c r="B278" s="54">
        <f t="shared" si="11"/>
        <v>6909.1152521264676</v>
      </c>
      <c r="C278" s="54">
        <f t="shared" si="12"/>
        <v>4305.6742150836944</v>
      </c>
      <c r="D278" s="54">
        <f t="shared" si="13"/>
        <v>2603.4410370427727</v>
      </c>
      <c r="E278" s="54">
        <f t="shared" si="14"/>
        <v>762849.75275561388</v>
      </c>
    </row>
    <row r="279" spans="1:5" x14ac:dyDescent="0.15">
      <c r="A279" s="36">
        <v>128</v>
      </c>
      <c r="B279" s="54">
        <f t="shared" si="11"/>
        <v>6909.1152521264676</v>
      </c>
      <c r="C279" s="54">
        <f t="shared" si="12"/>
        <v>4291.0298592503295</v>
      </c>
      <c r="D279" s="54">
        <f t="shared" si="13"/>
        <v>2618.0853928761385</v>
      </c>
      <c r="E279" s="54">
        <f t="shared" si="14"/>
        <v>760231.6673627377</v>
      </c>
    </row>
    <row r="280" spans="1:5" x14ac:dyDescent="0.15">
      <c r="A280" s="36">
        <v>129</v>
      </c>
      <c r="B280" s="54">
        <f t="shared" si="11"/>
        <v>6909.1152521264676</v>
      </c>
      <c r="C280" s="54">
        <f t="shared" si="12"/>
        <v>4276.3031289154023</v>
      </c>
      <c r="D280" s="54">
        <f t="shared" si="13"/>
        <v>2632.8121232110666</v>
      </c>
      <c r="E280" s="54">
        <f t="shared" si="14"/>
        <v>757598.8552395266</v>
      </c>
    </row>
    <row r="281" spans="1:5" x14ac:dyDescent="0.15">
      <c r="A281" s="36">
        <v>130</v>
      </c>
      <c r="B281" s="54">
        <f t="shared" ref="B281:B344" si="15">$B$148</f>
        <v>6909.1152521264676</v>
      </c>
      <c r="C281" s="54">
        <f t="shared" ref="C281:C344" si="16">ABS(IPMT($B$146/$B$147,A281,$B$145*$B$147,$B$144,0,0))</f>
        <v>4261.4935607223388</v>
      </c>
      <c r="D281" s="54">
        <f t="shared" ref="D281:D344" si="17">ABS(PPMT($B$146/$B$147,A281,$B$145*$B$147,$B$144,0,0))</f>
        <v>2647.6216914041288</v>
      </c>
      <c r="E281" s="54">
        <f t="shared" ref="E281:E344" si="18">E280-D281</f>
        <v>754951.23354812246</v>
      </c>
    </row>
    <row r="282" spans="1:5" x14ac:dyDescent="0.15">
      <c r="A282" s="36">
        <v>131</v>
      </c>
      <c r="B282" s="54">
        <f t="shared" si="15"/>
        <v>6909.1152521264676</v>
      </c>
      <c r="C282" s="54">
        <f t="shared" si="16"/>
        <v>4246.6006887081903</v>
      </c>
      <c r="D282" s="54">
        <f t="shared" si="17"/>
        <v>2662.5145634182772</v>
      </c>
      <c r="E282" s="54">
        <f t="shared" si="18"/>
        <v>752288.71898470423</v>
      </c>
    </row>
    <row r="283" spans="1:5" x14ac:dyDescent="0.15">
      <c r="A283" s="36">
        <v>132</v>
      </c>
      <c r="B283" s="54">
        <f t="shared" si="15"/>
        <v>6909.1152521264676</v>
      </c>
      <c r="C283" s="54">
        <f t="shared" si="16"/>
        <v>4231.6240442889621</v>
      </c>
      <c r="D283" s="54">
        <f t="shared" si="17"/>
        <v>2677.491207837505</v>
      </c>
      <c r="E283" s="54">
        <f t="shared" si="18"/>
        <v>749611.22777686676</v>
      </c>
    </row>
    <row r="284" spans="1:5" x14ac:dyDescent="0.15">
      <c r="A284" s="36">
        <v>133</v>
      </c>
      <c r="B284" s="54">
        <f t="shared" si="15"/>
        <v>6909.1152521264676</v>
      </c>
      <c r="C284" s="54">
        <f t="shared" si="16"/>
        <v>4216.5631562448771</v>
      </c>
      <c r="D284" s="54">
        <f t="shared" si="17"/>
        <v>2692.552095881591</v>
      </c>
      <c r="E284" s="54">
        <f t="shared" si="18"/>
        <v>746918.67568098521</v>
      </c>
    </row>
    <row r="285" spans="1:5" x14ac:dyDescent="0.15">
      <c r="A285" s="36">
        <v>134</v>
      </c>
      <c r="B285" s="54">
        <f t="shared" si="15"/>
        <v>6909.1152521264676</v>
      </c>
      <c r="C285" s="54">
        <f t="shared" si="16"/>
        <v>4201.4175507055434</v>
      </c>
      <c r="D285" s="54">
        <f t="shared" si="17"/>
        <v>2707.6977014209251</v>
      </c>
      <c r="E285" s="54">
        <f t="shared" si="18"/>
        <v>744210.97797956434</v>
      </c>
    </row>
    <row r="286" spans="1:5" x14ac:dyDescent="0.15">
      <c r="A286" s="36">
        <v>135</v>
      </c>
      <c r="B286" s="54">
        <f t="shared" si="15"/>
        <v>6909.1152521264676</v>
      </c>
      <c r="C286" s="54">
        <f t="shared" si="16"/>
        <v>4186.1867511350501</v>
      </c>
      <c r="D286" s="54">
        <f t="shared" si="17"/>
        <v>2722.9285009914179</v>
      </c>
      <c r="E286" s="54">
        <f t="shared" si="18"/>
        <v>741488.04947857291</v>
      </c>
    </row>
    <row r="287" spans="1:5" x14ac:dyDescent="0.15">
      <c r="A287" s="36">
        <v>136</v>
      </c>
      <c r="B287" s="54">
        <f t="shared" si="15"/>
        <v>6909.1152521264676</v>
      </c>
      <c r="C287" s="54">
        <f t="shared" si="16"/>
        <v>4170.8702783169738</v>
      </c>
      <c r="D287" s="54">
        <f t="shared" si="17"/>
        <v>2738.2449738094942</v>
      </c>
      <c r="E287" s="54">
        <f t="shared" si="18"/>
        <v>738749.80450476345</v>
      </c>
    </row>
    <row r="288" spans="1:5" x14ac:dyDescent="0.15">
      <c r="A288" s="36">
        <v>137</v>
      </c>
      <c r="B288" s="54">
        <f t="shared" si="15"/>
        <v>6909.1152521264676</v>
      </c>
      <c r="C288" s="54">
        <f t="shared" si="16"/>
        <v>4155.4676503392948</v>
      </c>
      <c r="D288" s="54">
        <f t="shared" si="17"/>
        <v>2753.6476017871728</v>
      </c>
      <c r="E288" s="54">
        <f t="shared" si="18"/>
        <v>735996.15690297633</v>
      </c>
    </row>
    <row r="289" spans="1:5" x14ac:dyDescent="0.15">
      <c r="A289" s="36">
        <v>138</v>
      </c>
      <c r="B289" s="54">
        <f t="shared" si="15"/>
        <v>6909.1152521264676</v>
      </c>
      <c r="C289" s="54">
        <f t="shared" si="16"/>
        <v>4139.9783825792429</v>
      </c>
      <c r="D289" s="54">
        <f t="shared" si="17"/>
        <v>2769.1368695472256</v>
      </c>
      <c r="E289" s="54">
        <f t="shared" si="18"/>
        <v>733227.02003342914</v>
      </c>
    </row>
    <row r="290" spans="1:5" x14ac:dyDescent="0.15">
      <c r="A290" s="36">
        <v>139</v>
      </c>
      <c r="B290" s="54">
        <f t="shared" si="15"/>
        <v>6909.1152521264676</v>
      </c>
      <c r="C290" s="54">
        <f t="shared" si="16"/>
        <v>4124.4019876880384</v>
      </c>
      <c r="D290" s="54">
        <f t="shared" si="17"/>
        <v>2784.7132644384287</v>
      </c>
      <c r="E290" s="54">
        <f t="shared" si="18"/>
        <v>730442.3067689907</v>
      </c>
    </row>
    <row r="291" spans="1:5" x14ac:dyDescent="0.15">
      <c r="A291" s="36">
        <v>140</v>
      </c>
      <c r="B291" s="54">
        <f t="shared" si="15"/>
        <v>6909.1152521264676</v>
      </c>
      <c r="C291" s="54">
        <f t="shared" si="16"/>
        <v>4108.7379755755719</v>
      </c>
      <c r="D291" s="54">
        <f t="shared" si="17"/>
        <v>2800.3772765508947</v>
      </c>
      <c r="E291" s="54">
        <f t="shared" si="18"/>
        <v>727641.92949243984</v>
      </c>
    </row>
    <row r="292" spans="1:5" x14ac:dyDescent="0.15">
      <c r="A292" s="36">
        <v>141</v>
      </c>
      <c r="B292" s="54">
        <f t="shared" si="15"/>
        <v>6909.1152521264676</v>
      </c>
      <c r="C292" s="54">
        <f t="shared" si="16"/>
        <v>4092.9858533949741</v>
      </c>
      <c r="D292" s="54">
        <f t="shared" si="17"/>
        <v>2816.1293987314939</v>
      </c>
      <c r="E292" s="54">
        <f t="shared" si="18"/>
        <v>724825.80009370833</v>
      </c>
    </row>
    <row r="293" spans="1:5" x14ac:dyDescent="0.15">
      <c r="A293" s="36">
        <v>142</v>
      </c>
      <c r="B293" s="54">
        <f t="shared" si="15"/>
        <v>6909.1152521264676</v>
      </c>
      <c r="C293" s="54">
        <f t="shared" si="16"/>
        <v>4077.1451255271099</v>
      </c>
      <c r="D293" s="54">
        <f t="shared" si="17"/>
        <v>2831.9701265993581</v>
      </c>
      <c r="E293" s="54">
        <f t="shared" si="18"/>
        <v>721993.82996710902</v>
      </c>
    </row>
    <row r="294" spans="1:5" x14ac:dyDescent="0.15">
      <c r="A294" s="36">
        <v>143</v>
      </c>
      <c r="B294" s="54">
        <f t="shared" si="15"/>
        <v>6909.1152521264676</v>
      </c>
      <c r="C294" s="54">
        <f t="shared" si="16"/>
        <v>4061.2152935649879</v>
      </c>
      <c r="D294" s="54">
        <f t="shared" si="17"/>
        <v>2847.8999585614797</v>
      </c>
      <c r="E294" s="54">
        <f t="shared" si="18"/>
        <v>719145.9300085475</v>
      </c>
    </row>
    <row r="295" spans="1:5" x14ac:dyDescent="0.15">
      <c r="A295" s="36">
        <v>144</v>
      </c>
      <c r="B295" s="54">
        <f t="shared" si="15"/>
        <v>6909.1152521264676</v>
      </c>
      <c r="C295" s="54">
        <f t="shared" si="16"/>
        <v>4045.1958562980794</v>
      </c>
      <c r="D295" s="54">
        <f t="shared" si="17"/>
        <v>2863.9193958283877</v>
      </c>
      <c r="E295" s="54">
        <f t="shared" si="18"/>
        <v>716282.01061271911</v>
      </c>
    </row>
    <row r="296" spans="1:5" x14ac:dyDescent="0.15">
      <c r="A296" s="36">
        <v>145</v>
      </c>
      <c r="B296" s="54">
        <f t="shared" si="15"/>
        <v>6909.1152521264676</v>
      </c>
      <c r="C296" s="54">
        <f t="shared" si="16"/>
        <v>4029.086309696544</v>
      </c>
      <c r="D296" s="54">
        <f t="shared" si="17"/>
        <v>2880.0289424299226</v>
      </c>
      <c r="E296" s="54">
        <f t="shared" si="18"/>
        <v>713401.98167028918</v>
      </c>
    </row>
    <row r="297" spans="1:5" x14ac:dyDescent="0.15">
      <c r="A297" s="36">
        <v>146</v>
      </c>
      <c r="B297" s="54">
        <f t="shared" si="15"/>
        <v>6909.1152521264676</v>
      </c>
      <c r="C297" s="54">
        <f t="shared" si="16"/>
        <v>4012.8861468953764</v>
      </c>
      <c r="D297" s="54">
        <f t="shared" si="17"/>
        <v>2896.2291052310907</v>
      </c>
      <c r="E297" s="54">
        <f t="shared" si="18"/>
        <v>710505.75256505806</v>
      </c>
    </row>
    <row r="298" spans="1:5" x14ac:dyDescent="0.15">
      <c r="A298" s="36">
        <v>147</v>
      </c>
      <c r="B298" s="54">
        <f t="shared" si="15"/>
        <v>6909.1152521264676</v>
      </c>
      <c r="C298" s="54">
        <f t="shared" si="16"/>
        <v>3996.5948581784514</v>
      </c>
      <c r="D298" s="54">
        <f t="shared" si="17"/>
        <v>2912.5203939480157</v>
      </c>
      <c r="E298" s="54">
        <f t="shared" si="18"/>
        <v>707593.23217110999</v>
      </c>
    </row>
    <row r="299" spans="1:5" x14ac:dyDescent="0.15">
      <c r="A299" s="36">
        <v>148</v>
      </c>
      <c r="B299" s="54">
        <f t="shared" si="15"/>
        <v>6909.1152521264676</v>
      </c>
      <c r="C299" s="54">
        <f t="shared" si="16"/>
        <v>3980.2119309624936</v>
      </c>
      <c r="D299" s="54">
        <f t="shared" si="17"/>
        <v>2928.9033211639735</v>
      </c>
      <c r="E299" s="54">
        <f t="shared" si="18"/>
        <v>704664.32884994603</v>
      </c>
    </row>
    <row r="300" spans="1:5" x14ac:dyDescent="0.15">
      <c r="A300" s="36">
        <v>149</v>
      </c>
      <c r="B300" s="54">
        <f t="shared" si="15"/>
        <v>6909.1152521264676</v>
      </c>
      <c r="C300" s="54">
        <f t="shared" si="16"/>
        <v>3963.7368497809475</v>
      </c>
      <c r="D300" s="54">
        <f t="shared" si="17"/>
        <v>2945.3784023455205</v>
      </c>
      <c r="E300" s="54">
        <f t="shared" si="18"/>
        <v>701718.95044760057</v>
      </c>
    </row>
    <row r="301" spans="1:5" x14ac:dyDescent="0.15">
      <c r="A301" s="36">
        <v>150</v>
      </c>
      <c r="B301" s="54">
        <f t="shared" si="15"/>
        <v>6909.1152521264676</v>
      </c>
      <c r="C301" s="54">
        <f t="shared" si="16"/>
        <v>3947.169096267753</v>
      </c>
      <c r="D301" s="54">
        <f t="shared" si="17"/>
        <v>2961.9461558587145</v>
      </c>
      <c r="E301" s="54">
        <f t="shared" si="18"/>
        <v>698757.00429174188</v>
      </c>
    </row>
    <row r="302" spans="1:5" x14ac:dyDescent="0.15">
      <c r="A302" s="36">
        <v>151</v>
      </c>
      <c r="B302" s="54">
        <f t="shared" si="15"/>
        <v>6909.1152521264676</v>
      </c>
      <c r="C302" s="54">
        <f t="shared" si="16"/>
        <v>3930.5081491410479</v>
      </c>
      <c r="D302" s="54">
        <f t="shared" si="17"/>
        <v>2978.6071029854197</v>
      </c>
      <c r="E302" s="54">
        <f t="shared" si="18"/>
        <v>695778.3971887565</v>
      </c>
    </row>
    <row r="303" spans="1:5" x14ac:dyDescent="0.15">
      <c r="A303" s="36">
        <v>152</v>
      </c>
      <c r="B303" s="54">
        <f t="shared" si="15"/>
        <v>6909.1152521264676</v>
      </c>
      <c r="C303" s="54">
        <f t="shared" si="16"/>
        <v>3913.753484186755</v>
      </c>
      <c r="D303" s="54">
        <f t="shared" si="17"/>
        <v>2995.3617679397125</v>
      </c>
      <c r="E303" s="54">
        <f t="shared" si="18"/>
        <v>692783.03542081674</v>
      </c>
    </row>
    <row r="304" spans="1:5" x14ac:dyDescent="0.15">
      <c r="A304" s="36">
        <v>153</v>
      </c>
      <c r="B304" s="54">
        <f t="shared" si="15"/>
        <v>6909.1152521264676</v>
      </c>
      <c r="C304" s="54">
        <f t="shared" si="16"/>
        <v>3896.9045742420944</v>
      </c>
      <c r="D304" s="54">
        <f t="shared" si="17"/>
        <v>3012.2106778843736</v>
      </c>
      <c r="E304" s="54">
        <f t="shared" si="18"/>
        <v>689770.82474293234</v>
      </c>
    </row>
    <row r="305" spans="1:5" x14ac:dyDescent="0.15">
      <c r="A305" s="36">
        <v>154</v>
      </c>
      <c r="B305" s="54">
        <f t="shared" si="15"/>
        <v>6909.1152521264676</v>
      </c>
      <c r="C305" s="54">
        <f t="shared" si="16"/>
        <v>3879.9608891789949</v>
      </c>
      <c r="D305" s="54">
        <f t="shared" si="17"/>
        <v>3029.1543629474727</v>
      </c>
      <c r="E305" s="54">
        <f t="shared" si="18"/>
        <v>686741.67037998489</v>
      </c>
    </row>
    <row r="306" spans="1:5" x14ac:dyDescent="0.15">
      <c r="A306" s="36">
        <v>155</v>
      </c>
      <c r="B306" s="54">
        <f t="shared" si="15"/>
        <v>6909.1152521264676</v>
      </c>
      <c r="C306" s="54">
        <f t="shared" si="16"/>
        <v>3862.9218958874148</v>
      </c>
      <c r="D306" s="54">
        <f t="shared" si="17"/>
        <v>3046.1933562390527</v>
      </c>
      <c r="E306" s="54">
        <f t="shared" si="18"/>
        <v>683695.47702374589</v>
      </c>
    </row>
    <row r="307" spans="1:5" x14ac:dyDescent="0.15">
      <c r="A307" s="36">
        <v>156</v>
      </c>
      <c r="B307" s="54">
        <f t="shared" si="15"/>
        <v>6909.1152521264676</v>
      </c>
      <c r="C307" s="54">
        <f t="shared" si="16"/>
        <v>3845.7870582585697</v>
      </c>
      <c r="D307" s="54">
        <f t="shared" si="17"/>
        <v>3063.3281938678974</v>
      </c>
      <c r="E307" s="54">
        <f t="shared" si="18"/>
        <v>680632.14882987796</v>
      </c>
    </row>
    <row r="308" spans="1:5" x14ac:dyDescent="0.15">
      <c r="A308" s="36">
        <v>157</v>
      </c>
      <c r="B308" s="54">
        <f t="shared" si="15"/>
        <v>6909.1152521264676</v>
      </c>
      <c r="C308" s="54">
        <f t="shared" si="16"/>
        <v>3828.5558371680631</v>
      </c>
      <c r="D308" s="54">
        <f t="shared" si="17"/>
        <v>3080.5594149584044</v>
      </c>
      <c r="E308" s="54">
        <f t="shared" si="18"/>
        <v>677551.58941491961</v>
      </c>
    </row>
    <row r="309" spans="1:5" x14ac:dyDescent="0.15">
      <c r="A309" s="36">
        <v>158</v>
      </c>
      <c r="B309" s="54">
        <f t="shared" si="15"/>
        <v>6909.1152521264676</v>
      </c>
      <c r="C309" s="54">
        <f t="shared" si="16"/>
        <v>3811.2276904589226</v>
      </c>
      <c r="D309" s="54">
        <f t="shared" si="17"/>
        <v>3097.887561667545</v>
      </c>
      <c r="E309" s="54">
        <f t="shared" si="18"/>
        <v>674453.70185325202</v>
      </c>
    </row>
    <row r="310" spans="1:5" x14ac:dyDescent="0.15">
      <c r="A310" s="36">
        <v>159</v>
      </c>
      <c r="B310" s="54">
        <f t="shared" si="15"/>
        <v>6909.1152521264676</v>
      </c>
      <c r="C310" s="54">
        <f t="shared" si="16"/>
        <v>3793.8020729245418</v>
      </c>
      <c r="D310" s="54">
        <f t="shared" si="17"/>
        <v>3115.3131792019253</v>
      </c>
      <c r="E310" s="54">
        <f t="shared" si="18"/>
        <v>671338.3886740501</v>
      </c>
    </row>
    <row r="311" spans="1:5" x14ac:dyDescent="0.15">
      <c r="A311" s="36">
        <v>160</v>
      </c>
      <c r="B311" s="54">
        <f t="shared" si="15"/>
        <v>6909.1152521264676</v>
      </c>
      <c r="C311" s="54">
        <f t="shared" si="16"/>
        <v>3776.2784362915318</v>
      </c>
      <c r="D311" s="54">
        <f t="shared" si="17"/>
        <v>3132.8368158349358</v>
      </c>
      <c r="E311" s="54">
        <f t="shared" si="18"/>
        <v>668205.55185821513</v>
      </c>
    </row>
    <row r="312" spans="1:5" x14ac:dyDescent="0.15">
      <c r="A312" s="36">
        <v>161</v>
      </c>
      <c r="B312" s="54">
        <f t="shared" si="15"/>
        <v>6909.1152521264676</v>
      </c>
      <c r="C312" s="54">
        <f t="shared" si="16"/>
        <v>3758.6562292024601</v>
      </c>
      <c r="D312" s="54">
        <f t="shared" si="17"/>
        <v>3150.4590229240075</v>
      </c>
      <c r="E312" s="54">
        <f t="shared" si="18"/>
        <v>665055.09283529117</v>
      </c>
    </row>
    <row r="313" spans="1:5" x14ac:dyDescent="0.15">
      <c r="A313" s="36">
        <v>162</v>
      </c>
      <c r="B313" s="54">
        <f t="shared" si="15"/>
        <v>6909.1152521264676</v>
      </c>
      <c r="C313" s="54">
        <f t="shared" si="16"/>
        <v>3740.9348971985128</v>
      </c>
      <c r="D313" s="54">
        <f t="shared" si="17"/>
        <v>3168.1803549279548</v>
      </c>
      <c r="E313" s="54">
        <f t="shared" si="18"/>
        <v>661886.91248036327</v>
      </c>
    </row>
    <row r="314" spans="1:5" x14ac:dyDescent="0.15">
      <c r="A314" s="36">
        <v>163</v>
      </c>
      <c r="B314" s="54">
        <f t="shared" si="15"/>
        <v>6909.1152521264676</v>
      </c>
      <c r="C314" s="54">
        <f t="shared" si="16"/>
        <v>3723.1138827020432</v>
      </c>
      <c r="D314" s="54">
        <f t="shared" si="17"/>
        <v>3186.0013694244244</v>
      </c>
      <c r="E314" s="54">
        <f t="shared" si="18"/>
        <v>658700.91111093888</v>
      </c>
    </row>
    <row r="315" spans="1:5" x14ac:dyDescent="0.15">
      <c r="A315" s="36">
        <v>164</v>
      </c>
      <c r="B315" s="54">
        <f t="shared" si="15"/>
        <v>6909.1152521264676</v>
      </c>
      <c r="C315" s="54">
        <f t="shared" si="16"/>
        <v>3705.1926249990311</v>
      </c>
      <c r="D315" s="54">
        <f t="shared" si="17"/>
        <v>3203.9226271274374</v>
      </c>
      <c r="E315" s="54">
        <f t="shared" si="18"/>
        <v>655496.9884838115</v>
      </c>
    </row>
    <row r="316" spans="1:5" x14ac:dyDescent="0.15">
      <c r="A316" s="36">
        <v>165</v>
      </c>
      <c r="B316" s="54">
        <f t="shared" si="15"/>
        <v>6909.1152521264676</v>
      </c>
      <c r="C316" s="54">
        <f t="shared" si="16"/>
        <v>3687.1705602214388</v>
      </c>
      <c r="D316" s="54">
        <f t="shared" si="17"/>
        <v>3221.9446919050288</v>
      </c>
      <c r="E316" s="54">
        <f t="shared" si="18"/>
        <v>652275.04379190644</v>
      </c>
    </row>
    <row r="317" spans="1:5" x14ac:dyDescent="0.15">
      <c r="A317" s="36">
        <v>166</v>
      </c>
      <c r="B317" s="54">
        <f t="shared" si="15"/>
        <v>6909.1152521264676</v>
      </c>
      <c r="C317" s="54">
        <f t="shared" si="16"/>
        <v>3669.0471213294722</v>
      </c>
      <c r="D317" s="54">
        <f t="shared" si="17"/>
        <v>3240.0681307969949</v>
      </c>
      <c r="E317" s="54">
        <f t="shared" si="18"/>
        <v>649034.97566110943</v>
      </c>
    </row>
    <row r="318" spans="1:5" x14ac:dyDescent="0.15">
      <c r="A318" s="36">
        <v>167</v>
      </c>
      <c r="B318" s="54">
        <f t="shared" si="15"/>
        <v>6909.1152521264676</v>
      </c>
      <c r="C318" s="54">
        <f t="shared" si="16"/>
        <v>3650.8217380937399</v>
      </c>
      <c r="D318" s="54">
        <f t="shared" si="17"/>
        <v>3258.2935140327281</v>
      </c>
      <c r="E318" s="54">
        <f t="shared" si="18"/>
        <v>645776.6821470767</v>
      </c>
    </row>
    <row r="319" spans="1:5" x14ac:dyDescent="0.15">
      <c r="A319" s="36">
        <v>168</v>
      </c>
      <c r="B319" s="54">
        <f t="shared" si="15"/>
        <v>6909.1152521264676</v>
      </c>
      <c r="C319" s="54">
        <f t="shared" si="16"/>
        <v>3632.4938370773048</v>
      </c>
      <c r="D319" s="54">
        <f t="shared" si="17"/>
        <v>3276.6214150491619</v>
      </c>
      <c r="E319" s="54">
        <f t="shared" si="18"/>
        <v>642500.06073202752</v>
      </c>
    </row>
    <row r="320" spans="1:5" x14ac:dyDescent="0.15">
      <c r="A320" s="36">
        <v>169</v>
      </c>
      <c r="B320" s="54">
        <f t="shared" si="15"/>
        <v>6909.1152521264676</v>
      </c>
      <c r="C320" s="54">
        <f t="shared" si="16"/>
        <v>3614.0628416176537</v>
      </c>
      <c r="D320" s="54">
        <f t="shared" si="17"/>
        <v>3295.0524105088139</v>
      </c>
      <c r="E320" s="54">
        <f t="shared" si="18"/>
        <v>639205.00832151866</v>
      </c>
    </row>
    <row r="321" spans="1:5" x14ac:dyDescent="0.15">
      <c r="A321" s="36">
        <v>170</v>
      </c>
      <c r="B321" s="54">
        <f t="shared" si="15"/>
        <v>6909.1152521264676</v>
      </c>
      <c r="C321" s="54">
        <f t="shared" si="16"/>
        <v>3595.5281718085421</v>
      </c>
      <c r="D321" s="54">
        <f t="shared" si="17"/>
        <v>3313.5870803179255</v>
      </c>
      <c r="E321" s="54">
        <f t="shared" si="18"/>
        <v>635891.42124120076</v>
      </c>
    </row>
    <row r="322" spans="1:5" x14ac:dyDescent="0.15">
      <c r="A322" s="36">
        <v>171</v>
      </c>
      <c r="B322" s="54">
        <f t="shared" si="15"/>
        <v>6909.1152521264676</v>
      </c>
      <c r="C322" s="54">
        <f t="shared" si="16"/>
        <v>3576.8892444817534</v>
      </c>
      <c r="D322" s="54">
        <f t="shared" si="17"/>
        <v>3332.2260076447142</v>
      </c>
      <c r="E322" s="54">
        <f t="shared" si="18"/>
        <v>632559.19523355609</v>
      </c>
    </row>
    <row r="323" spans="1:5" x14ac:dyDescent="0.15">
      <c r="A323" s="36">
        <v>172</v>
      </c>
      <c r="B323" s="54">
        <f t="shared" si="15"/>
        <v>6909.1152521264676</v>
      </c>
      <c r="C323" s="54">
        <f t="shared" si="16"/>
        <v>3558.145473188752</v>
      </c>
      <c r="D323" s="54">
        <f t="shared" si="17"/>
        <v>3350.9697789377155</v>
      </c>
      <c r="E323" s="54">
        <f t="shared" si="18"/>
        <v>629208.22545461834</v>
      </c>
    </row>
    <row r="324" spans="1:5" x14ac:dyDescent="0.15">
      <c r="A324" s="36">
        <v>173</v>
      </c>
      <c r="B324" s="54">
        <f t="shared" si="15"/>
        <v>6909.1152521264676</v>
      </c>
      <c r="C324" s="54">
        <f t="shared" si="16"/>
        <v>3539.2962681822273</v>
      </c>
      <c r="D324" s="54">
        <f t="shared" si="17"/>
        <v>3369.8189839442402</v>
      </c>
      <c r="E324" s="54">
        <f t="shared" si="18"/>
        <v>625838.40647067409</v>
      </c>
    </row>
    <row r="325" spans="1:5" x14ac:dyDescent="0.15">
      <c r="A325" s="36">
        <v>174</v>
      </c>
      <c r="B325" s="54">
        <f t="shared" si="15"/>
        <v>6909.1152521264676</v>
      </c>
      <c r="C325" s="54">
        <f t="shared" si="16"/>
        <v>3520.3410363975413</v>
      </c>
      <c r="D325" s="54">
        <f t="shared" si="17"/>
        <v>3388.7742157289267</v>
      </c>
      <c r="E325" s="54">
        <f t="shared" si="18"/>
        <v>622449.63225494511</v>
      </c>
    </row>
    <row r="326" spans="1:5" x14ac:dyDescent="0.15">
      <c r="A326" s="36">
        <v>175</v>
      </c>
      <c r="B326" s="54">
        <f t="shared" si="15"/>
        <v>6909.1152521264676</v>
      </c>
      <c r="C326" s="54">
        <f t="shared" si="16"/>
        <v>3501.2791814340662</v>
      </c>
      <c r="D326" s="54">
        <f t="shared" si="17"/>
        <v>3407.8360706924018</v>
      </c>
      <c r="E326" s="54">
        <f t="shared" si="18"/>
        <v>619041.79618425271</v>
      </c>
    </row>
    <row r="327" spans="1:5" x14ac:dyDescent="0.15">
      <c r="A327" s="36">
        <v>176</v>
      </c>
      <c r="B327" s="54">
        <f t="shared" si="15"/>
        <v>6909.1152521264676</v>
      </c>
      <c r="C327" s="54">
        <f t="shared" si="16"/>
        <v>3482.1101035364213</v>
      </c>
      <c r="D327" s="54">
        <f t="shared" si="17"/>
        <v>3427.0051485900462</v>
      </c>
      <c r="E327" s="54">
        <f t="shared" si="18"/>
        <v>615614.79103566264</v>
      </c>
    </row>
    <row r="328" spans="1:5" x14ac:dyDescent="0.15">
      <c r="A328" s="36">
        <v>177</v>
      </c>
      <c r="B328" s="54">
        <f t="shared" si="15"/>
        <v>6909.1152521264676</v>
      </c>
      <c r="C328" s="54">
        <f t="shared" si="16"/>
        <v>3462.8331995756025</v>
      </c>
      <c r="D328" s="54">
        <f t="shared" si="17"/>
        <v>3446.2820525508655</v>
      </c>
      <c r="E328" s="54">
        <f t="shared" si="18"/>
        <v>612168.50898311182</v>
      </c>
    </row>
    <row r="329" spans="1:5" x14ac:dyDescent="0.15">
      <c r="A329" s="36">
        <v>178</v>
      </c>
      <c r="B329" s="54">
        <f t="shared" si="15"/>
        <v>6909.1152521264676</v>
      </c>
      <c r="C329" s="54">
        <f t="shared" si="16"/>
        <v>3443.4478630300032</v>
      </c>
      <c r="D329" s="54">
        <f t="shared" si="17"/>
        <v>3465.6673890964639</v>
      </c>
      <c r="E329" s="54">
        <f t="shared" si="18"/>
        <v>608702.84159401536</v>
      </c>
    </row>
    <row r="330" spans="1:5" x14ac:dyDescent="0.15">
      <c r="A330" s="36">
        <v>179</v>
      </c>
      <c r="B330" s="54">
        <f t="shared" si="15"/>
        <v>6909.1152521264676</v>
      </c>
      <c r="C330" s="54">
        <f t="shared" si="16"/>
        <v>3423.953483966337</v>
      </c>
      <c r="D330" s="54">
        <f t="shared" si="17"/>
        <v>3485.1617681601319</v>
      </c>
      <c r="E330" s="54">
        <f t="shared" si="18"/>
        <v>605217.67982585519</v>
      </c>
    </row>
    <row r="331" spans="1:5" x14ac:dyDescent="0.15">
      <c r="A331" s="36">
        <v>180</v>
      </c>
      <c r="B331" s="54">
        <f t="shared" si="15"/>
        <v>6909.1152521264676</v>
      </c>
      <c r="C331" s="54">
        <f t="shared" si="16"/>
        <v>3404.3494490204353</v>
      </c>
      <c r="D331" s="54">
        <f t="shared" si="17"/>
        <v>3504.7658031060323</v>
      </c>
      <c r="E331" s="54">
        <f t="shared" si="18"/>
        <v>601712.91402274917</v>
      </c>
    </row>
    <row r="332" spans="1:5" x14ac:dyDescent="0.15">
      <c r="A332" s="36">
        <v>181</v>
      </c>
      <c r="B332" s="54">
        <f t="shared" si="15"/>
        <v>6909.1152521264676</v>
      </c>
      <c r="C332" s="54">
        <f t="shared" si="16"/>
        <v>3384.6351413779639</v>
      </c>
      <c r="D332" s="54">
        <f t="shared" si="17"/>
        <v>3524.4801107485036</v>
      </c>
      <c r="E332" s="54">
        <f t="shared" si="18"/>
        <v>598188.43391200062</v>
      </c>
    </row>
    <row r="333" spans="1:5" x14ac:dyDescent="0.15">
      <c r="A333" s="36">
        <v>182</v>
      </c>
      <c r="B333" s="54">
        <f t="shared" si="15"/>
        <v>6909.1152521264676</v>
      </c>
      <c r="C333" s="54">
        <f t="shared" si="16"/>
        <v>3364.8099407550026</v>
      </c>
      <c r="D333" s="54">
        <f t="shared" si="17"/>
        <v>3544.3053113714636</v>
      </c>
      <c r="E333" s="54">
        <f t="shared" si="18"/>
        <v>594644.12860062916</v>
      </c>
    </row>
    <row r="334" spans="1:5" x14ac:dyDescent="0.15">
      <c r="A334" s="36">
        <v>183</v>
      </c>
      <c r="B334" s="54">
        <f t="shared" si="15"/>
        <v>6909.1152521264676</v>
      </c>
      <c r="C334" s="54">
        <f t="shared" si="16"/>
        <v>3344.8732233785386</v>
      </c>
      <c r="D334" s="54">
        <f t="shared" si="17"/>
        <v>3564.2420287479281</v>
      </c>
      <c r="E334" s="54">
        <f t="shared" si="18"/>
        <v>591079.88657188124</v>
      </c>
    </row>
    <row r="335" spans="1:5" x14ac:dyDescent="0.15">
      <c r="A335" s="36">
        <v>184</v>
      </c>
      <c r="B335" s="54">
        <f t="shared" si="15"/>
        <v>6909.1152521264676</v>
      </c>
      <c r="C335" s="54">
        <f t="shared" si="16"/>
        <v>3324.8243619668319</v>
      </c>
      <c r="D335" s="54">
        <f t="shared" si="17"/>
        <v>3584.2908901596361</v>
      </c>
      <c r="E335" s="54">
        <f t="shared" si="18"/>
        <v>587495.59568172158</v>
      </c>
    </row>
    <row r="336" spans="1:5" x14ac:dyDescent="0.15">
      <c r="A336" s="36">
        <v>185</v>
      </c>
      <c r="B336" s="54">
        <f t="shared" si="15"/>
        <v>6909.1152521264676</v>
      </c>
      <c r="C336" s="54">
        <f t="shared" si="16"/>
        <v>3304.6627257096834</v>
      </c>
      <c r="D336" s="54">
        <f t="shared" si="17"/>
        <v>3604.4525264167833</v>
      </c>
      <c r="E336" s="54">
        <f t="shared" si="18"/>
        <v>583891.14315530483</v>
      </c>
    </row>
    <row r="337" spans="1:5" x14ac:dyDescent="0.15">
      <c r="A337" s="36">
        <v>186</v>
      </c>
      <c r="B337" s="54">
        <f t="shared" si="15"/>
        <v>6909.1152521264676</v>
      </c>
      <c r="C337" s="54">
        <f t="shared" si="16"/>
        <v>3284.3876802485888</v>
      </c>
      <c r="D337" s="54">
        <f t="shared" si="17"/>
        <v>3624.7275718778783</v>
      </c>
      <c r="E337" s="54">
        <f t="shared" si="18"/>
        <v>580266.41558342695</v>
      </c>
    </row>
    <row r="338" spans="1:5" x14ac:dyDescent="0.15">
      <c r="A338" s="36">
        <v>187</v>
      </c>
      <c r="B338" s="54">
        <f t="shared" si="15"/>
        <v>6909.1152521264676</v>
      </c>
      <c r="C338" s="54">
        <f t="shared" si="16"/>
        <v>3263.9985876567762</v>
      </c>
      <c r="D338" s="54">
        <f t="shared" si="17"/>
        <v>3645.1166644696914</v>
      </c>
      <c r="E338" s="54">
        <f t="shared" si="18"/>
        <v>576621.29891895724</v>
      </c>
    </row>
    <row r="339" spans="1:5" x14ac:dyDescent="0.15">
      <c r="A339" s="36">
        <v>188</v>
      </c>
      <c r="B339" s="54">
        <f t="shared" si="15"/>
        <v>6909.1152521264676</v>
      </c>
      <c r="C339" s="54">
        <f t="shared" si="16"/>
        <v>3243.4948064191344</v>
      </c>
      <c r="D339" s="54">
        <f t="shared" si="17"/>
        <v>3665.6204457073336</v>
      </c>
      <c r="E339" s="54">
        <f t="shared" si="18"/>
        <v>572955.67847324989</v>
      </c>
    </row>
    <row r="340" spans="1:5" x14ac:dyDescent="0.15">
      <c r="A340" s="36">
        <v>189</v>
      </c>
      <c r="B340" s="54">
        <f t="shared" si="15"/>
        <v>6909.1152521264676</v>
      </c>
      <c r="C340" s="54">
        <f t="shared" si="16"/>
        <v>3222.8756914120308</v>
      </c>
      <c r="D340" s="54">
        <f t="shared" si="17"/>
        <v>3686.2395607144367</v>
      </c>
      <c r="E340" s="54">
        <f t="shared" si="18"/>
        <v>569269.43891253544</v>
      </c>
    </row>
    <row r="341" spans="1:5" x14ac:dyDescent="0.15">
      <c r="A341" s="36">
        <v>190</v>
      </c>
      <c r="B341" s="54">
        <f t="shared" si="15"/>
        <v>6909.1152521264676</v>
      </c>
      <c r="C341" s="54">
        <f t="shared" si="16"/>
        <v>3202.1405938830121</v>
      </c>
      <c r="D341" s="54">
        <f t="shared" si="17"/>
        <v>3706.9746582434555</v>
      </c>
      <c r="E341" s="54">
        <f t="shared" si="18"/>
        <v>565562.46425429196</v>
      </c>
    </row>
    <row r="342" spans="1:5" x14ac:dyDescent="0.15">
      <c r="A342" s="36">
        <v>191</v>
      </c>
      <c r="B342" s="54">
        <f t="shared" si="15"/>
        <v>6909.1152521264676</v>
      </c>
      <c r="C342" s="54">
        <f t="shared" si="16"/>
        <v>3181.288861430392</v>
      </c>
      <c r="D342" s="54">
        <f t="shared" si="17"/>
        <v>3727.8263906960751</v>
      </c>
      <c r="E342" s="54">
        <f t="shared" si="18"/>
        <v>561834.63786359585</v>
      </c>
    </row>
    <row r="343" spans="1:5" x14ac:dyDescent="0.15">
      <c r="A343" s="36">
        <v>192</v>
      </c>
      <c r="B343" s="54">
        <f t="shared" si="15"/>
        <v>6909.1152521264676</v>
      </c>
      <c r="C343" s="54">
        <f t="shared" si="16"/>
        <v>3160.3198379827272</v>
      </c>
      <c r="D343" s="54">
        <f t="shared" si="17"/>
        <v>3748.7954141437403</v>
      </c>
      <c r="E343" s="54">
        <f t="shared" si="18"/>
        <v>558085.84244945215</v>
      </c>
    </row>
    <row r="344" spans="1:5" x14ac:dyDescent="0.15">
      <c r="A344" s="36">
        <v>193</v>
      </c>
      <c r="B344" s="54">
        <f t="shared" si="15"/>
        <v>6909.1152521264676</v>
      </c>
      <c r="C344" s="54">
        <f t="shared" si="16"/>
        <v>3139.2328637781688</v>
      </c>
      <c r="D344" s="54">
        <f t="shared" si="17"/>
        <v>3769.8823883482987</v>
      </c>
      <c r="E344" s="54">
        <f t="shared" si="18"/>
        <v>554315.9600611038</v>
      </c>
    </row>
    <row r="345" spans="1:5" x14ac:dyDescent="0.15">
      <c r="A345" s="36">
        <v>194</v>
      </c>
      <c r="B345" s="54">
        <f t="shared" ref="B345:B408" si="19">$B$148</f>
        <v>6909.1152521264676</v>
      </c>
      <c r="C345" s="54">
        <f t="shared" ref="C345:C408" si="20">ABS(IPMT($B$146/$B$147,A345,$B$145*$B$147,$B$144,0,0))</f>
        <v>3118.0272753437093</v>
      </c>
      <c r="D345" s="54">
        <f t="shared" ref="D345:D408" si="21">ABS(PPMT($B$146/$B$147,A345,$B$145*$B$147,$B$144,0,0))</f>
        <v>3791.0879767827582</v>
      </c>
      <c r="E345" s="54">
        <f t="shared" ref="E345:E408" si="22">E344-D345</f>
        <v>550524.87208432099</v>
      </c>
    </row>
    <row r="346" spans="1:5" x14ac:dyDescent="0.15">
      <c r="A346" s="36">
        <v>195</v>
      </c>
      <c r="B346" s="54">
        <f t="shared" si="19"/>
        <v>6909.1152521264676</v>
      </c>
      <c r="C346" s="54">
        <f t="shared" si="20"/>
        <v>3096.7024054743065</v>
      </c>
      <c r="D346" s="54">
        <f t="shared" si="21"/>
        <v>3812.4128466521611</v>
      </c>
      <c r="E346" s="54">
        <f t="shared" si="22"/>
        <v>546712.45923766878</v>
      </c>
    </row>
    <row r="347" spans="1:5" x14ac:dyDescent="0.15">
      <c r="A347" s="36">
        <v>196</v>
      </c>
      <c r="B347" s="54">
        <f t="shared" si="19"/>
        <v>6909.1152521264676</v>
      </c>
      <c r="C347" s="54">
        <f t="shared" si="20"/>
        <v>3075.2575832118878</v>
      </c>
      <c r="D347" s="54">
        <f t="shared" si="21"/>
        <v>3833.8576689145789</v>
      </c>
      <c r="E347" s="54">
        <f t="shared" si="22"/>
        <v>542878.60156875418</v>
      </c>
    </row>
    <row r="348" spans="1:5" x14ac:dyDescent="0.15">
      <c r="A348" s="36">
        <v>197</v>
      </c>
      <c r="B348" s="54">
        <f t="shared" si="19"/>
        <v>6909.1152521264676</v>
      </c>
      <c r="C348" s="54">
        <f t="shared" si="20"/>
        <v>3053.6921338242432</v>
      </c>
      <c r="D348" s="54">
        <f t="shared" si="21"/>
        <v>3855.4231183022243</v>
      </c>
      <c r="E348" s="54">
        <f t="shared" si="22"/>
        <v>539023.17845045193</v>
      </c>
    </row>
    <row r="349" spans="1:5" x14ac:dyDescent="0.15">
      <c r="A349" s="36">
        <v>198</v>
      </c>
      <c r="B349" s="54">
        <f t="shared" si="19"/>
        <v>6909.1152521264676</v>
      </c>
      <c r="C349" s="54">
        <f t="shared" si="20"/>
        <v>3032.0053787837933</v>
      </c>
      <c r="D349" s="54">
        <f t="shared" si="21"/>
        <v>3877.1098733426738</v>
      </c>
      <c r="E349" s="54">
        <f t="shared" si="22"/>
        <v>535146.06857710925</v>
      </c>
    </row>
    <row r="350" spans="1:5" x14ac:dyDescent="0.15">
      <c r="A350" s="36">
        <v>199</v>
      </c>
      <c r="B350" s="54">
        <f t="shared" si="19"/>
        <v>6909.1152521264676</v>
      </c>
      <c r="C350" s="54">
        <f t="shared" si="20"/>
        <v>3010.1966357462411</v>
      </c>
      <c r="D350" s="54">
        <f t="shared" si="21"/>
        <v>3898.9186163802269</v>
      </c>
      <c r="E350" s="54">
        <f t="shared" si="22"/>
        <v>531247.14996072906</v>
      </c>
    </row>
    <row r="351" spans="1:5" x14ac:dyDescent="0.15">
      <c r="A351" s="36">
        <v>200</v>
      </c>
      <c r="B351" s="54">
        <f t="shared" si="19"/>
        <v>6909.1152521264676</v>
      </c>
      <c r="C351" s="54">
        <f t="shared" si="20"/>
        <v>2988.2652185291022</v>
      </c>
      <c r="D351" s="54">
        <f t="shared" si="21"/>
        <v>3920.8500335973658</v>
      </c>
      <c r="E351" s="54">
        <f t="shared" si="22"/>
        <v>527326.29992713174</v>
      </c>
    </row>
    <row r="352" spans="1:5" x14ac:dyDescent="0.15">
      <c r="A352" s="36">
        <v>201</v>
      </c>
      <c r="B352" s="54">
        <f t="shared" si="19"/>
        <v>6909.1152521264676</v>
      </c>
      <c r="C352" s="54">
        <f t="shared" si="20"/>
        <v>2966.210437090117</v>
      </c>
      <c r="D352" s="54">
        <f t="shared" si="21"/>
        <v>3942.9048150363506</v>
      </c>
      <c r="E352" s="54">
        <f t="shared" si="22"/>
        <v>523383.3951120954</v>
      </c>
    </row>
    <row r="353" spans="1:5" x14ac:dyDescent="0.15">
      <c r="A353" s="36">
        <v>202</v>
      </c>
      <c r="B353" s="54">
        <f t="shared" si="19"/>
        <v>6909.1152521264676</v>
      </c>
      <c r="C353" s="54">
        <f t="shared" si="20"/>
        <v>2944.0315975055373</v>
      </c>
      <c r="D353" s="54">
        <f t="shared" si="21"/>
        <v>3965.0836546209307</v>
      </c>
      <c r="E353" s="54">
        <f t="shared" si="22"/>
        <v>519418.31145747448</v>
      </c>
    </row>
    <row r="354" spans="1:5" x14ac:dyDescent="0.15">
      <c r="A354" s="36">
        <v>203</v>
      </c>
      <c r="B354" s="54">
        <f t="shared" si="19"/>
        <v>6909.1152521264676</v>
      </c>
      <c r="C354" s="54">
        <f t="shared" si="20"/>
        <v>2921.7280019482941</v>
      </c>
      <c r="D354" s="54">
        <f t="shared" si="21"/>
        <v>3987.3872501781725</v>
      </c>
      <c r="E354" s="54">
        <f t="shared" si="22"/>
        <v>515430.92420729634</v>
      </c>
    </row>
    <row r="355" spans="1:5" x14ac:dyDescent="0.15">
      <c r="A355" s="36">
        <v>204</v>
      </c>
      <c r="B355" s="54">
        <f t="shared" si="19"/>
        <v>6909.1152521264676</v>
      </c>
      <c r="C355" s="54">
        <f t="shared" si="20"/>
        <v>2899.2989486660426</v>
      </c>
      <c r="D355" s="54">
        <f t="shared" si="21"/>
        <v>4009.8163034604254</v>
      </c>
      <c r="E355" s="54">
        <f t="shared" si="22"/>
        <v>511421.10790383589</v>
      </c>
    </row>
    <row r="356" spans="1:5" x14ac:dyDescent="0.15">
      <c r="A356" s="36">
        <v>205</v>
      </c>
      <c r="B356" s="54">
        <f t="shared" si="19"/>
        <v>6909.1152521264676</v>
      </c>
      <c r="C356" s="54">
        <f t="shared" si="20"/>
        <v>2876.7437319590776</v>
      </c>
      <c r="D356" s="54">
        <f t="shared" si="21"/>
        <v>4032.3715201673899</v>
      </c>
      <c r="E356" s="54">
        <f t="shared" si="22"/>
        <v>507388.7363836685</v>
      </c>
    </row>
    <row r="357" spans="1:5" x14ac:dyDescent="0.15">
      <c r="A357" s="36">
        <v>206</v>
      </c>
      <c r="B357" s="54">
        <f t="shared" si="19"/>
        <v>6909.1152521264676</v>
      </c>
      <c r="C357" s="54">
        <f t="shared" si="20"/>
        <v>2854.0616421581358</v>
      </c>
      <c r="D357" s="54">
        <f t="shared" si="21"/>
        <v>4055.0536099683313</v>
      </c>
      <c r="E357" s="54">
        <f t="shared" si="22"/>
        <v>503333.68277370016</v>
      </c>
    </row>
    <row r="358" spans="1:5" x14ac:dyDescent="0.15">
      <c r="A358" s="36">
        <v>207</v>
      </c>
      <c r="B358" s="54">
        <f t="shared" si="19"/>
        <v>6909.1152521264676</v>
      </c>
      <c r="C358" s="54">
        <f t="shared" si="20"/>
        <v>2831.2519656020636</v>
      </c>
      <c r="D358" s="54">
        <f t="shared" si="21"/>
        <v>4077.8632865244044</v>
      </c>
      <c r="E358" s="54">
        <f t="shared" si="22"/>
        <v>499255.81948717573</v>
      </c>
    </row>
    <row r="359" spans="1:5" x14ac:dyDescent="0.15">
      <c r="A359" s="36">
        <v>208</v>
      </c>
      <c r="B359" s="54">
        <f t="shared" si="19"/>
        <v>6909.1152521264676</v>
      </c>
      <c r="C359" s="54">
        <f t="shared" si="20"/>
        <v>2808.3139846153645</v>
      </c>
      <c r="D359" s="54">
        <f t="shared" si="21"/>
        <v>4100.8012675111031</v>
      </c>
      <c r="E359" s="54">
        <f t="shared" si="22"/>
        <v>495155.01821966463</v>
      </c>
    </row>
    <row r="360" spans="1:5" x14ac:dyDescent="0.15">
      <c r="A360" s="36">
        <v>209</v>
      </c>
      <c r="B360" s="54">
        <f t="shared" si="19"/>
        <v>6909.1152521264676</v>
      </c>
      <c r="C360" s="54">
        <f t="shared" si="20"/>
        <v>2785.246977485614</v>
      </c>
      <c r="D360" s="54">
        <f t="shared" si="21"/>
        <v>4123.8682746408531</v>
      </c>
      <c r="E360" s="54">
        <f t="shared" si="22"/>
        <v>491031.14994502376</v>
      </c>
    </row>
    <row r="361" spans="1:5" x14ac:dyDescent="0.15">
      <c r="A361" s="36">
        <v>210</v>
      </c>
      <c r="B361" s="54">
        <f t="shared" si="19"/>
        <v>6909.1152521264676</v>
      </c>
      <c r="C361" s="54">
        <f t="shared" si="20"/>
        <v>2762.0502184407596</v>
      </c>
      <c r="D361" s="54">
        <f t="shared" si="21"/>
        <v>4147.0650336857079</v>
      </c>
      <c r="E361" s="54">
        <f t="shared" si="22"/>
        <v>486884.08491133805</v>
      </c>
    </row>
    <row r="362" spans="1:5" x14ac:dyDescent="0.15">
      <c r="A362" s="36">
        <v>211</v>
      </c>
      <c r="B362" s="54">
        <f t="shared" si="19"/>
        <v>6909.1152521264676</v>
      </c>
      <c r="C362" s="54">
        <f t="shared" si="20"/>
        <v>2738.7229776262775</v>
      </c>
      <c r="D362" s="54">
        <f t="shared" si="21"/>
        <v>4170.3922745001901</v>
      </c>
      <c r="E362" s="54">
        <f t="shared" si="22"/>
        <v>482713.69263683789</v>
      </c>
    </row>
    <row r="363" spans="1:5" x14ac:dyDescent="0.15">
      <c r="A363" s="36">
        <v>212</v>
      </c>
      <c r="B363" s="54">
        <f t="shared" si="19"/>
        <v>6909.1152521264676</v>
      </c>
      <c r="C363" s="54">
        <f t="shared" si="20"/>
        <v>2715.2645210822134</v>
      </c>
      <c r="D363" s="54">
        <f t="shared" si="21"/>
        <v>4193.8507310442528</v>
      </c>
      <c r="E363" s="54">
        <f t="shared" si="22"/>
        <v>478519.84190579364</v>
      </c>
    </row>
    <row r="364" spans="1:5" x14ac:dyDescent="0.15">
      <c r="A364" s="36">
        <v>213</v>
      </c>
      <c r="B364" s="54">
        <f t="shared" si="19"/>
        <v>6909.1152521264676</v>
      </c>
      <c r="C364" s="54">
        <f t="shared" si="20"/>
        <v>2691.6741107200901</v>
      </c>
      <c r="D364" s="54">
        <f t="shared" si="21"/>
        <v>4217.4411414063779</v>
      </c>
      <c r="E364" s="54">
        <f t="shared" si="22"/>
        <v>474302.40076438728</v>
      </c>
    </row>
    <row r="365" spans="1:5" x14ac:dyDescent="0.15">
      <c r="A365" s="36">
        <v>214</v>
      </c>
      <c r="B365" s="54">
        <f t="shared" si="19"/>
        <v>6909.1152521264676</v>
      </c>
      <c r="C365" s="54">
        <f t="shared" si="20"/>
        <v>2667.951004299679</v>
      </c>
      <c r="D365" s="54">
        <f t="shared" si="21"/>
        <v>4241.1642478267886</v>
      </c>
      <c r="E365" s="54">
        <f t="shared" si="22"/>
        <v>470061.23651656049</v>
      </c>
    </row>
    <row r="366" spans="1:5" x14ac:dyDescent="0.15">
      <c r="A366" s="36">
        <v>215</v>
      </c>
      <c r="B366" s="54">
        <f t="shared" si="19"/>
        <v>6909.1152521264676</v>
      </c>
      <c r="C366" s="54">
        <f t="shared" si="20"/>
        <v>2644.0944554056537</v>
      </c>
      <c r="D366" s="54">
        <f t="shared" si="21"/>
        <v>4265.0207967208144</v>
      </c>
      <c r="E366" s="54">
        <f t="shared" si="22"/>
        <v>465796.21571983967</v>
      </c>
    </row>
    <row r="367" spans="1:5" x14ac:dyDescent="0.15">
      <c r="A367" s="36">
        <v>216</v>
      </c>
      <c r="B367" s="54">
        <f t="shared" si="19"/>
        <v>6909.1152521264676</v>
      </c>
      <c r="C367" s="54">
        <f t="shared" si="20"/>
        <v>2620.1037134240987</v>
      </c>
      <c r="D367" s="54">
        <f t="shared" si="21"/>
        <v>4289.0115387023689</v>
      </c>
      <c r="E367" s="54">
        <f t="shared" si="22"/>
        <v>461507.20418113732</v>
      </c>
    </row>
    <row r="368" spans="1:5" x14ac:dyDescent="0.15">
      <c r="A368" s="36">
        <v>217</v>
      </c>
      <c r="B368" s="54">
        <f t="shared" si="19"/>
        <v>6909.1152521264676</v>
      </c>
      <c r="C368" s="54">
        <f t="shared" si="20"/>
        <v>2595.9780235188982</v>
      </c>
      <c r="D368" s="54">
        <f t="shared" si="21"/>
        <v>4313.1372286075693</v>
      </c>
      <c r="E368" s="54">
        <f t="shared" si="22"/>
        <v>457194.06695252977</v>
      </c>
    </row>
    <row r="369" spans="1:5" x14ac:dyDescent="0.15">
      <c r="A369" s="36">
        <v>218</v>
      </c>
      <c r="B369" s="54">
        <f t="shared" si="19"/>
        <v>6909.1152521264676</v>
      </c>
      <c r="C369" s="54">
        <f t="shared" si="20"/>
        <v>2571.7166266079803</v>
      </c>
      <c r="D369" s="54">
        <f t="shared" si="21"/>
        <v>4337.3986255184873</v>
      </c>
      <c r="E369" s="54">
        <f t="shared" si="22"/>
        <v>452856.66832701128</v>
      </c>
    </row>
    <row r="370" spans="1:5" x14ac:dyDescent="0.15">
      <c r="A370" s="36">
        <v>219</v>
      </c>
      <c r="B370" s="54">
        <f t="shared" si="19"/>
        <v>6909.1152521264676</v>
      </c>
      <c r="C370" s="54">
        <f t="shared" si="20"/>
        <v>2547.3187593394387</v>
      </c>
      <c r="D370" s="54">
        <f t="shared" si="21"/>
        <v>4361.7964927870289</v>
      </c>
      <c r="E370" s="54">
        <f t="shared" si="22"/>
        <v>448494.87183422426</v>
      </c>
    </row>
    <row r="371" spans="1:5" x14ac:dyDescent="0.15">
      <c r="A371" s="36">
        <v>220</v>
      </c>
      <c r="B371" s="54">
        <f t="shared" si="19"/>
        <v>6909.1152521264676</v>
      </c>
      <c r="C371" s="54">
        <f t="shared" si="20"/>
        <v>2522.7836540675116</v>
      </c>
      <c r="D371" s="54">
        <f t="shared" si="21"/>
        <v>4386.3315980589559</v>
      </c>
      <c r="E371" s="54">
        <f t="shared" si="22"/>
        <v>444108.54023616528</v>
      </c>
    </row>
    <row r="372" spans="1:5" x14ac:dyDescent="0.15">
      <c r="A372" s="36">
        <v>221</v>
      </c>
      <c r="B372" s="54">
        <f t="shared" si="19"/>
        <v>6909.1152521264676</v>
      </c>
      <c r="C372" s="54">
        <f t="shared" si="20"/>
        <v>2498.11053882843</v>
      </c>
      <c r="D372" s="54">
        <f t="shared" si="21"/>
        <v>4411.004713298038</v>
      </c>
      <c r="E372" s="54">
        <f t="shared" si="22"/>
        <v>439697.53552286723</v>
      </c>
    </row>
    <row r="373" spans="1:5" x14ac:dyDescent="0.15">
      <c r="A373" s="36">
        <v>222</v>
      </c>
      <c r="B373" s="54">
        <f t="shared" si="19"/>
        <v>6909.1152521264676</v>
      </c>
      <c r="C373" s="54">
        <f t="shared" si="20"/>
        <v>2473.2986373161284</v>
      </c>
      <c r="D373" s="54">
        <f t="shared" si="21"/>
        <v>4435.8166148103383</v>
      </c>
      <c r="E373" s="54">
        <f t="shared" si="22"/>
        <v>435261.71890805691</v>
      </c>
    </row>
    <row r="374" spans="1:5" x14ac:dyDescent="0.15">
      <c r="A374" s="36">
        <v>223</v>
      </c>
      <c r="B374" s="54">
        <f t="shared" si="19"/>
        <v>6909.1152521264676</v>
      </c>
      <c r="C374" s="54">
        <f t="shared" si="20"/>
        <v>2448.3471688578202</v>
      </c>
      <c r="D374" s="54">
        <f t="shared" si="21"/>
        <v>4460.7680832686465</v>
      </c>
      <c r="E374" s="54">
        <f t="shared" si="22"/>
        <v>430800.95082478825</v>
      </c>
    </row>
    <row r="375" spans="1:5" x14ac:dyDescent="0.15">
      <c r="A375" s="36">
        <v>224</v>
      </c>
      <c r="B375" s="54">
        <f t="shared" si="19"/>
        <v>6909.1152521264676</v>
      </c>
      <c r="C375" s="54">
        <f t="shared" si="20"/>
        <v>2423.2553483894344</v>
      </c>
      <c r="D375" s="54">
        <f t="shared" si="21"/>
        <v>4485.8599037370332</v>
      </c>
      <c r="E375" s="54">
        <f t="shared" si="22"/>
        <v>426315.09092105122</v>
      </c>
    </row>
    <row r="376" spans="1:5" x14ac:dyDescent="0.15">
      <c r="A376" s="36">
        <v>225</v>
      </c>
      <c r="B376" s="54">
        <f t="shared" si="19"/>
        <v>6909.1152521264676</v>
      </c>
      <c r="C376" s="54">
        <f t="shared" si="20"/>
        <v>2398.0223864309137</v>
      </c>
      <c r="D376" s="54">
        <f t="shared" si="21"/>
        <v>4511.0928656955539</v>
      </c>
      <c r="E376" s="54">
        <f t="shared" si="22"/>
        <v>421803.99805535568</v>
      </c>
    </row>
    <row r="377" spans="1:5" x14ac:dyDescent="0.15">
      <c r="A377" s="36">
        <v>226</v>
      </c>
      <c r="B377" s="54">
        <f t="shared" si="19"/>
        <v>6909.1152521264676</v>
      </c>
      <c r="C377" s="54">
        <f t="shared" si="20"/>
        <v>2372.6474890613758</v>
      </c>
      <c r="D377" s="54">
        <f t="shared" si="21"/>
        <v>4536.4677630650913</v>
      </c>
      <c r="E377" s="54">
        <f t="shared" si="22"/>
        <v>417267.53029229061</v>
      </c>
    </row>
    <row r="378" spans="1:5" x14ac:dyDescent="0.15">
      <c r="A378" s="36">
        <v>227</v>
      </c>
      <c r="B378" s="54">
        <f t="shared" si="19"/>
        <v>6909.1152521264676</v>
      </c>
      <c r="C378" s="54">
        <f t="shared" si="20"/>
        <v>2347.1298578941351</v>
      </c>
      <c r="D378" s="54">
        <f t="shared" si="21"/>
        <v>4561.9853942323325</v>
      </c>
      <c r="E378" s="54">
        <f t="shared" si="22"/>
        <v>412705.54489805829</v>
      </c>
    </row>
    <row r="379" spans="1:5" x14ac:dyDescent="0.15">
      <c r="A379" s="36">
        <v>228</v>
      </c>
      <c r="B379" s="54">
        <f t="shared" si="19"/>
        <v>6909.1152521264676</v>
      </c>
      <c r="C379" s="54">
        <f t="shared" si="20"/>
        <v>2321.4686900515785</v>
      </c>
      <c r="D379" s="54">
        <f t="shared" si="21"/>
        <v>4587.6465620748895</v>
      </c>
      <c r="E379" s="54">
        <f t="shared" si="22"/>
        <v>408117.89833598339</v>
      </c>
    </row>
    <row r="380" spans="1:5" x14ac:dyDescent="0.15">
      <c r="A380" s="36">
        <v>229</v>
      </c>
      <c r="B380" s="54">
        <f t="shared" si="19"/>
        <v>6909.1152521264676</v>
      </c>
      <c r="C380" s="54">
        <f t="shared" si="20"/>
        <v>2295.6631781399069</v>
      </c>
      <c r="D380" s="54">
        <f t="shared" si="21"/>
        <v>4613.4520739865611</v>
      </c>
      <c r="E380" s="54">
        <f t="shared" si="22"/>
        <v>403504.44626199681</v>
      </c>
    </row>
    <row r="381" spans="1:5" x14ac:dyDescent="0.15">
      <c r="A381" s="36">
        <v>230</v>
      </c>
      <c r="B381" s="54">
        <f t="shared" si="19"/>
        <v>6909.1152521264676</v>
      </c>
      <c r="C381" s="54">
        <f t="shared" si="20"/>
        <v>2269.7125102237328</v>
      </c>
      <c r="D381" s="54">
        <f t="shared" si="21"/>
        <v>4639.4027419027352</v>
      </c>
      <c r="E381" s="54">
        <f t="shared" si="22"/>
        <v>398865.04352009407</v>
      </c>
    </row>
    <row r="382" spans="1:5" x14ac:dyDescent="0.15">
      <c r="A382" s="36">
        <v>231</v>
      </c>
      <c r="B382" s="54">
        <f t="shared" si="19"/>
        <v>6909.1152521264676</v>
      </c>
      <c r="C382" s="54">
        <f t="shared" si="20"/>
        <v>2243.6158698005297</v>
      </c>
      <c r="D382" s="54">
        <f t="shared" si="21"/>
        <v>4665.4993823259383</v>
      </c>
      <c r="E382" s="54">
        <f t="shared" si="22"/>
        <v>394199.54413776816</v>
      </c>
    </row>
    <row r="383" spans="1:5" x14ac:dyDescent="0.15">
      <c r="A383" s="36">
        <v>232</v>
      </c>
      <c r="B383" s="54">
        <f t="shared" si="19"/>
        <v>6909.1152521264676</v>
      </c>
      <c r="C383" s="54">
        <f t="shared" si="20"/>
        <v>2217.3724357749461</v>
      </c>
      <c r="D383" s="54">
        <f t="shared" si="21"/>
        <v>4691.7428163515215</v>
      </c>
      <c r="E383" s="54">
        <f t="shared" si="22"/>
        <v>389507.80132141663</v>
      </c>
    </row>
    <row r="384" spans="1:5" x14ac:dyDescent="0.15">
      <c r="A384" s="36">
        <v>233</v>
      </c>
      <c r="B384" s="54">
        <f t="shared" si="19"/>
        <v>6909.1152521264676</v>
      </c>
      <c r="C384" s="54">
        <f t="shared" si="20"/>
        <v>2190.981382432969</v>
      </c>
      <c r="D384" s="54">
        <f t="shared" si="21"/>
        <v>4718.133869693499</v>
      </c>
      <c r="E384" s="54">
        <f t="shared" si="22"/>
        <v>384789.66745172313</v>
      </c>
    </row>
    <row r="385" spans="1:5" x14ac:dyDescent="0.15">
      <c r="A385" s="36">
        <v>234</v>
      </c>
      <c r="B385" s="54">
        <f t="shared" si="19"/>
        <v>6909.1152521264676</v>
      </c>
      <c r="C385" s="54">
        <f t="shared" si="20"/>
        <v>2164.4418794159428</v>
      </c>
      <c r="D385" s="54">
        <f t="shared" si="21"/>
        <v>4744.6733727105247</v>
      </c>
      <c r="E385" s="54">
        <f t="shared" si="22"/>
        <v>380044.9940790126</v>
      </c>
    </row>
    <row r="386" spans="1:5" x14ac:dyDescent="0.15">
      <c r="A386" s="36">
        <v>235</v>
      </c>
      <c r="B386" s="54">
        <f t="shared" si="19"/>
        <v>6909.1152521264676</v>
      </c>
      <c r="C386" s="54">
        <f t="shared" si="20"/>
        <v>2137.7530916944465</v>
      </c>
      <c r="D386" s="54">
        <f t="shared" si="21"/>
        <v>4771.3621604320215</v>
      </c>
      <c r="E386" s="54">
        <f t="shared" si="22"/>
        <v>375273.63191858056</v>
      </c>
    </row>
    <row r="387" spans="1:5" x14ac:dyDescent="0.15">
      <c r="A387" s="36">
        <v>236</v>
      </c>
      <c r="B387" s="54">
        <f t="shared" si="19"/>
        <v>6909.1152521264676</v>
      </c>
      <c r="C387" s="54">
        <f t="shared" si="20"/>
        <v>2110.9141795420164</v>
      </c>
      <c r="D387" s="54">
        <f t="shared" si="21"/>
        <v>4798.2010725844511</v>
      </c>
      <c r="E387" s="54">
        <f t="shared" si="22"/>
        <v>370475.43084599613</v>
      </c>
    </row>
    <row r="388" spans="1:5" x14ac:dyDescent="0.15">
      <c r="A388" s="36">
        <v>237</v>
      </c>
      <c r="B388" s="54">
        <f t="shared" si="19"/>
        <v>6909.1152521264676</v>
      </c>
      <c r="C388" s="54">
        <f t="shared" si="20"/>
        <v>2083.9242985087285</v>
      </c>
      <c r="D388" s="54">
        <f t="shared" si="21"/>
        <v>4825.1909536177382</v>
      </c>
      <c r="E388" s="54">
        <f t="shared" si="22"/>
        <v>365650.23989237839</v>
      </c>
    </row>
    <row r="389" spans="1:5" x14ac:dyDescent="0.15">
      <c r="A389" s="36">
        <v>238</v>
      </c>
      <c r="B389" s="54">
        <f t="shared" si="19"/>
        <v>6909.1152521264676</v>
      </c>
      <c r="C389" s="54">
        <f t="shared" si="20"/>
        <v>2056.782599394629</v>
      </c>
      <c r="D389" s="54">
        <f t="shared" si="21"/>
        <v>4852.3326527318386</v>
      </c>
      <c r="E389" s="54">
        <f t="shared" si="22"/>
        <v>360797.90723964653</v>
      </c>
    </row>
    <row r="390" spans="1:5" x14ac:dyDescent="0.15">
      <c r="A390" s="36">
        <v>239</v>
      </c>
      <c r="B390" s="54">
        <f t="shared" si="19"/>
        <v>6909.1152521264676</v>
      </c>
      <c r="C390" s="54">
        <f t="shared" si="20"/>
        <v>2029.4882282230124</v>
      </c>
      <c r="D390" s="54">
        <f t="shared" si="21"/>
        <v>4879.6270239034557</v>
      </c>
      <c r="E390" s="54">
        <f t="shared" si="22"/>
        <v>355918.28021574306</v>
      </c>
    </row>
    <row r="391" spans="1:5" x14ac:dyDescent="0.15">
      <c r="A391" s="36">
        <v>240</v>
      </c>
      <c r="B391" s="54">
        <f t="shared" si="19"/>
        <v>6909.1152521264676</v>
      </c>
      <c r="C391" s="54">
        <f t="shared" si="20"/>
        <v>2002.0403262135549</v>
      </c>
      <c r="D391" s="54">
        <f t="shared" si="21"/>
        <v>4907.0749259129125</v>
      </c>
      <c r="E391" s="54">
        <f t="shared" si="22"/>
        <v>351011.20528983016</v>
      </c>
    </row>
    <row r="392" spans="1:5" x14ac:dyDescent="0.15">
      <c r="A392" s="36">
        <v>241</v>
      </c>
      <c r="B392" s="54">
        <f t="shared" si="19"/>
        <v>6909.1152521264676</v>
      </c>
      <c r="C392" s="54">
        <f t="shared" si="20"/>
        <v>1974.4380297552948</v>
      </c>
      <c r="D392" s="54">
        <f t="shared" si="21"/>
        <v>4934.6772223711723</v>
      </c>
      <c r="E392" s="54">
        <f t="shared" si="22"/>
        <v>346076.528067459</v>
      </c>
    </row>
    <row r="393" spans="1:5" x14ac:dyDescent="0.15">
      <c r="A393" s="36">
        <v>242</v>
      </c>
      <c r="B393" s="54">
        <f t="shared" si="19"/>
        <v>6909.1152521264676</v>
      </c>
      <c r="C393" s="54">
        <f t="shared" si="20"/>
        <v>1946.6804703794573</v>
      </c>
      <c r="D393" s="54">
        <f t="shared" si="21"/>
        <v>4962.4347817470107</v>
      </c>
      <c r="E393" s="54">
        <f t="shared" si="22"/>
        <v>341114.09328571201</v>
      </c>
    </row>
    <row r="394" spans="1:5" x14ac:dyDescent="0.15">
      <c r="A394" s="36">
        <v>243</v>
      </c>
      <c r="B394" s="54">
        <f t="shared" si="19"/>
        <v>6909.1152521264676</v>
      </c>
      <c r="C394" s="54">
        <f t="shared" si="20"/>
        <v>1918.7667747321307</v>
      </c>
      <c r="D394" s="54">
        <f t="shared" si="21"/>
        <v>4990.3484773943374</v>
      </c>
      <c r="E394" s="54">
        <f t="shared" si="22"/>
        <v>336123.74480831769</v>
      </c>
    </row>
    <row r="395" spans="1:5" x14ac:dyDescent="0.15">
      <c r="A395" s="36">
        <v>244</v>
      </c>
      <c r="B395" s="54">
        <f t="shared" si="19"/>
        <v>6909.1152521264676</v>
      </c>
      <c r="C395" s="54">
        <f t="shared" si="20"/>
        <v>1890.6960645467873</v>
      </c>
      <c r="D395" s="54">
        <f t="shared" si="21"/>
        <v>5018.4191875796805</v>
      </c>
      <c r="E395" s="54">
        <f t="shared" si="22"/>
        <v>331105.32562073803</v>
      </c>
    </row>
    <row r="396" spans="1:5" x14ac:dyDescent="0.15">
      <c r="A396" s="36">
        <v>245</v>
      </c>
      <c r="B396" s="54">
        <f t="shared" si="19"/>
        <v>6909.1152521264676</v>
      </c>
      <c r="C396" s="54">
        <f t="shared" si="20"/>
        <v>1862.4674566166514</v>
      </c>
      <c r="D396" s="54">
        <f t="shared" si="21"/>
        <v>5046.6477955098153</v>
      </c>
      <c r="E396" s="54">
        <f t="shared" si="22"/>
        <v>326058.67782522819</v>
      </c>
    </row>
    <row r="397" spans="1:5" x14ac:dyDescent="0.15">
      <c r="A397" s="36">
        <v>246</v>
      </c>
      <c r="B397" s="54">
        <f t="shared" si="19"/>
        <v>6909.1152521264676</v>
      </c>
      <c r="C397" s="54">
        <f t="shared" si="20"/>
        <v>1834.0800627669089</v>
      </c>
      <c r="D397" s="54">
        <f t="shared" si="21"/>
        <v>5075.0351893595589</v>
      </c>
      <c r="E397" s="54">
        <f t="shared" si="22"/>
        <v>320983.64263586863</v>
      </c>
    </row>
    <row r="398" spans="1:5" x14ac:dyDescent="0.15">
      <c r="A398" s="36">
        <v>247</v>
      </c>
      <c r="B398" s="54">
        <f t="shared" si="19"/>
        <v>6909.1152521264676</v>
      </c>
      <c r="C398" s="54">
        <f t="shared" si="20"/>
        <v>1805.5329898267612</v>
      </c>
      <c r="D398" s="54">
        <f t="shared" si="21"/>
        <v>5103.5822622997066</v>
      </c>
      <c r="E398" s="54">
        <f t="shared" si="22"/>
        <v>315880.06037356891</v>
      </c>
    </row>
    <row r="399" spans="1:5" x14ac:dyDescent="0.15">
      <c r="A399" s="36">
        <v>248</v>
      </c>
      <c r="B399" s="54">
        <f t="shared" si="19"/>
        <v>6909.1152521264676</v>
      </c>
      <c r="C399" s="54">
        <f t="shared" si="20"/>
        <v>1776.8253396013254</v>
      </c>
      <c r="D399" s="54">
        <f t="shared" si="21"/>
        <v>5132.2899125251415</v>
      </c>
      <c r="E399" s="54">
        <f t="shared" si="22"/>
        <v>310747.77046104375</v>
      </c>
    </row>
    <row r="400" spans="1:5" x14ac:dyDescent="0.15">
      <c r="A400" s="36">
        <v>249</v>
      </c>
      <c r="B400" s="54">
        <f t="shared" si="19"/>
        <v>6909.1152521264676</v>
      </c>
      <c r="C400" s="54">
        <f t="shared" si="20"/>
        <v>1747.9562088433713</v>
      </c>
      <c r="D400" s="54">
        <f t="shared" si="21"/>
        <v>5161.1590432830963</v>
      </c>
      <c r="E400" s="54">
        <f t="shared" si="22"/>
        <v>305586.61141776067</v>
      </c>
    </row>
    <row r="401" spans="1:5" x14ac:dyDescent="0.15">
      <c r="A401" s="36">
        <v>250</v>
      </c>
      <c r="B401" s="54">
        <f t="shared" si="19"/>
        <v>6909.1152521264676</v>
      </c>
      <c r="C401" s="54">
        <f t="shared" si="20"/>
        <v>1718.9246892249039</v>
      </c>
      <c r="D401" s="54">
        <f t="shared" si="21"/>
        <v>5190.1905629015637</v>
      </c>
      <c r="E401" s="54">
        <f t="shared" si="22"/>
        <v>300396.42085485911</v>
      </c>
    </row>
    <row r="402" spans="1:5" x14ac:dyDescent="0.15">
      <c r="A402" s="36">
        <v>251</v>
      </c>
      <c r="B402" s="54">
        <f t="shared" si="19"/>
        <v>6909.1152521264676</v>
      </c>
      <c r="C402" s="54">
        <f t="shared" si="20"/>
        <v>1689.7298673085829</v>
      </c>
      <c r="D402" s="54">
        <f t="shared" si="21"/>
        <v>5219.3853848178842</v>
      </c>
      <c r="E402" s="54">
        <f t="shared" si="22"/>
        <v>295177.03547004121</v>
      </c>
    </row>
    <row r="403" spans="1:5" x14ac:dyDescent="0.15">
      <c r="A403" s="36">
        <v>252</v>
      </c>
      <c r="B403" s="54">
        <f t="shared" si="19"/>
        <v>6909.1152521264676</v>
      </c>
      <c r="C403" s="54">
        <f t="shared" si="20"/>
        <v>1660.3708245189821</v>
      </c>
      <c r="D403" s="54">
        <f t="shared" si="21"/>
        <v>5248.7444276074857</v>
      </c>
      <c r="E403" s="54">
        <f t="shared" si="22"/>
        <v>289928.2910424337</v>
      </c>
    </row>
    <row r="404" spans="1:5" x14ac:dyDescent="0.15">
      <c r="A404" s="36">
        <v>253</v>
      </c>
      <c r="B404" s="54">
        <f t="shared" si="19"/>
        <v>6909.1152521264676</v>
      </c>
      <c r="C404" s="54">
        <f t="shared" si="20"/>
        <v>1630.8466371136901</v>
      </c>
      <c r="D404" s="54">
        <f t="shared" si="21"/>
        <v>5278.2686150127774</v>
      </c>
      <c r="E404" s="54">
        <f t="shared" si="22"/>
        <v>284650.02242742095</v>
      </c>
    </row>
    <row r="405" spans="1:5" x14ac:dyDescent="0.15">
      <c r="A405" s="36">
        <v>254</v>
      </c>
      <c r="B405" s="54">
        <f t="shared" si="19"/>
        <v>6909.1152521264676</v>
      </c>
      <c r="C405" s="54">
        <f t="shared" si="20"/>
        <v>1601.1563761542429</v>
      </c>
      <c r="D405" s="54">
        <f t="shared" si="21"/>
        <v>5307.9588759722246</v>
      </c>
      <c r="E405" s="54">
        <f t="shared" si="22"/>
        <v>279342.06355144875</v>
      </c>
    </row>
    <row r="406" spans="1:5" x14ac:dyDescent="0.15">
      <c r="A406" s="36">
        <v>255</v>
      </c>
      <c r="B406" s="54">
        <f t="shared" si="19"/>
        <v>6909.1152521264676</v>
      </c>
      <c r="C406" s="54">
        <f t="shared" si="20"/>
        <v>1571.2991074768995</v>
      </c>
      <c r="D406" s="54">
        <f t="shared" si="21"/>
        <v>5337.8161446495678</v>
      </c>
      <c r="E406" s="54">
        <f t="shared" si="22"/>
        <v>274004.24740679917</v>
      </c>
    </row>
    <row r="407" spans="1:5" x14ac:dyDescent="0.15">
      <c r="A407" s="36">
        <v>256</v>
      </c>
      <c r="B407" s="54">
        <f t="shared" si="19"/>
        <v>6909.1152521264676</v>
      </c>
      <c r="C407" s="54">
        <f t="shared" si="20"/>
        <v>1541.2738916632454</v>
      </c>
      <c r="D407" s="54">
        <f t="shared" si="21"/>
        <v>5367.8413604632215</v>
      </c>
      <c r="E407" s="54">
        <f t="shared" si="22"/>
        <v>268636.40604633593</v>
      </c>
    </row>
    <row r="408" spans="1:5" x14ac:dyDescent="0.15">
      <c r="A408" s="36">
        <v>257</v>
      </c>
      <c r="B408" s="54">
        <f t="shared" si="19"/>
        <v>6909.1152521264676</v>
      </c>
      <c r="C408" s="54">
        <f t="shared" si="20"/>
        <v>1511.0797840106402</v>
      </c>
      <c r="D408" s="54">
        <f t="shared" si="21"/>
        <v>5398.0354681158278</v>
      </c>
      <c r="E408" s="54">
        <f t="shared" si="22"/>
        <v>263238.37057822011</v>
      </c>
    </row>
    <row r="409" spans="1:5" x14ac:dyDescent="0.15">
      <c r="A409" s="36">
        <v>258</v>
      </c>
      <c r="B409" s="54">
        <f t="shared" ref="B409:B442" si="23">$B$148</f>
        <v>6909.1152521264676</v>
      </c>
      <c r="C409" s="54">
        <f t="shared" ref="C409:C442" si="24">ABS(IPMT($B$146/$B$147,A409,$B$145*$B$147,$B$144,0,0))</f>
        <v>1480.7158345024886</v>
      </c>
      <c r="D409" s="54">
        <f t="shared" ref="D409:D442" si="25">ABS(PPMT($B$146/$B$147,A409,$B$145*$B$147,$B$144,0,0))</f>
        <v>5428.3994176239785</v>
      </c>
      <c r="E409" s="54">
        <f t="shared" ref="E409:E442" si="26">E408-D409</f>
        <v>257809.97116059615</v>
      </c>
    </row>
    <row r="410" spans="1:5" x14ac:dyDescent="0.15">
      <c r="A410" s="36">
        <v>259</v>
      </c>
      <c r="B410" s="54">
        <f t="shared" si="23"/>
        <v>6909.1152521264676</v>
      </c>
      <c r="C410" s="54">
        <f t="shared" si="24"/>
        <v>1450.1810877783535</v>
      </c>
      <c r="D410" s="54">
        <f t="shared" si="25"/>
        <v>5458.9341643481139</v>
      </c>
      <c r="E410" s="54">
        <f t="shared" si="26"/>
        <v>252351.03699624803</v>
      </c>
    </row>
    <row r="411" spans="1:5" x14ac:dyDescent="0.15">
      <c r="A411" s="36">
        <v>260</v>
      </c>
      <c r="B411" s="54">
        <f t="shared" si="23"/>
        <v>6909.1152521264676</v>
      </c>
      <c r="C411" s="54">
        <f t="shared" si="24"/>
        <v>1419.4745831038956</v>
      </c>
      <c r="D411" s="54">
        <f t="shared" si="25"/>
        <v>5489.6406690225722</v>
      </c>
      <c r="E411" s="54">
        <f t="shared" si="26"/>
        <v>246861.39632722546</v>
      </c>
    </row>
    <row r="412" spans="1:5" x14ac:dyDescent="0.15">
      <c r="A412" s="36">
        <v>261</v>
      </c>
      <c r="B412" s="54">
        <f t="shared" si="23"/>
        <v>6909.1152521264676</v>
      </c>
      <c r="C412" s="54">
        <f t="shared" si="24"/>
        <v>1388.5953543406433</v>
      </c>
      <c r="D412" s="54">
        <f t="shared" si="25"/>
        <v>5520.5198977858245</v>
      </c>
      <c r="E412" s="54">
        <f t="shared" si="26"/>
        <v>241340.87642943964</v>
      </c>
    </row>
    <row r="413" spans="1:5" x14ac:dyDescent="0.15">
      <c r="A413" s="36">
        <v>262</v>
      </c>
      <c r="B413" s="54">
        <f t="shared" si="23"/>
        <v>6909.1152521264676</v>
      </c>
      <c r="C413" s="54">
        <f t="shared" si="24"/>
        <v>1357.5424299155982</v>
      </c>
      <c r="D413" s="54">
        <f t="shared" si="25"/>
        <v>5551.5728222108701</v>
      </c>
      <c r="E413" s="54">
        <f t="shared" si="26"/>
        <v>235789.30360722877</v>
      </c>
    </row>
    <row r="414" spans="1:5" x14ac:dyDescent="0.15">
      <c r="A414" s="36">
        <v>263</v>
      </c>
      <c r="B414" s="54">
        <f t="shared" si="23"/>
        <v>6909.1152521264676</v>
      </c>
      <c r="C414" s="54">
        <f t="shared" si="24"/>
        <v>1326.3148327906622</v>
      </c>
      <c r="D414" s="54">
        <f t="shared" si="25"/>
        <v>5582.8004193358056</v>
      </c>
      <c r="E414" s="54">
        <f t="shared" si="26"/>
        <v>230206.50318789296</v>
      </c>
    </row>
    <row r="415" spans="1:5" x14ac:dyDescent="0.15">
      <c r="A415" s="36">
        <v>264</v>
      </c>
      <c r="B415" s="54">
        <f t="shared" si="23"/>
        <v>6909.1152521264676</v>
      </c>
      <c r="C415" s="54">
        <f t="shared" si="24"/>
        <v>1294.9115804318983</v>
      </c>
      <c r="D415" s="54">
        <f t="shared" si="25"/>
        <v>5614.2036716945686</v>
      </c>
      <c r="E415" s="54">
        <f t="shared" si="26"/>
        <v>224592.2995161984</v>
      </c>
    </row>
    <row r="416" spans="1:5" x14ac:dyDescent="0.15">
      <c r="A416" s="36">
        <v>265</v>
      </c>
      <c r="B416" s="54">
        <f t="shared" si="23"/>
        <v>6909.1152521264676</v>
      </c>
      <c r="C416" s="54">
        <f t="shared" si="24"/>
        <v>1263.3316847786161</v>
      </c>
      <c r="D416" s="54">
        <f t="shared" si="25"/>
        <v>5645.7835673478521</v>
      </c>
      <c r="E416" s="54">
        <f t="shared" si="26"/>
        <v>218946.51594885055</v>
      </c>
    </row>
    <row r="417" spans="1:5" x14ac:dyDescent="0.15">
      <c r="A417" s="36">
        <v>266</v>
      </c>
      <c r="B417" s="54">
        <f t="shared" si="23"/>
        <v>6909.1152521264676</v>
      </c>
      <c r="C417" s="54">
        <f t="shared" si="24"/>
        <v>1231.5741522122844</v>
      </c>
      <c r="D417" s="54">
        <f t="shared" si="25"/>
        <v>5677.5410999141841</v>
      </c>
      <c r="E417" s="54">
        <f t="shared" si="26"/>
        <v>213268.97484893637</v>
      </c>
    </row>
    <row r="418" spans="1:5" x14ac:dyDescent="0.15">
      <c r="A418" s="36">
        <v>267</v>
      </c>
      <c r="B418" s="54">
        <f t="shared" si="23"/>
        <v>6909.1152521264676</v>
      </c>
      <c r="C418" s="54">
        <f t="shared" si="24"/>
        <v>1199.6379835252674</v>
      </c>
      <c r="D418" s="54">
        <f t="shared" si="25"/>
        <v>5709.4772686012002</v>
      </c>
      <c r="E418" s="54">
        <f t="shared" si="26"/>
        <v>207559.49758033518</v>
      </c>
    </row>
    <row r="419" spans="1:5" x14ac:dyDescent="0.15">
      <c r="A419" s="36">
        <v>268</v>
      </c>
      <c r="B419" s="54">
        <f t="shared" si="23"/>
        <v>6909.1152521264676</v>
      </c>
      <c r="C419" s="54">
        <f t="shared" si="24"/>
        <v>1167.5221738893854</v>
      </c>
      <c r="D419" s="54">
        <f t="shared" si="25"/>
        <v>5741.5930782370815</v>
      </c>
      <c r="E419" s="54">
        <f t="shared" si="26"/>
        <v>201817.9045020981</v>
      </c>
    </row>
    <row r="420" spans="1:5" x14ac:dyDescent="0.15">
      <c r="A420" s="36">
        <v>269</v>
      </c>
      <c r="B420" s="54">
        <f t="shared" si="23"/>
        <v>6909.1152521264676</v>
      </c>
      <c r="C420" s="54">
        <f t="shared" si="24"/>
        <v>1135.2257128243018</v>
      </c>
      <c r="D420" s="54">
        <f t="shared" si="25"/>
        <v>5773.8895393021658</v>
      </c>
      <c r="E420" s="54">
        <f t="shared" si="26"/>
        <v>196044.01496279595</v>
      </c>
    </row>
    <row r="421" spans="1:5" x14ac:dyDescent="0.15">
      <c r="A421" s="36">
        <v>270</v>
      </c>
      <c r="B421" s="54">
        <f t="shared" si="23"/>
        <v>6909.1152521264676</v>
      </c>
      <c r="C421" s="54">
        <f t="shared" si="24"/>
        <v>1102.7475841657272</v>
      </c>
      <c r="D421" s="54">
        <f t="shared" si="25"/>
        <v>5806.3676679607406</v>
      </c>
      <c r="E421" s="54">
        <f t="shared" si="26"/>
        <v>190237.64729483522</v>
      </c>
    </row>
    <row r="422" spans="1:5" x14ac:dyDescent="0.15">
      <c r="A422" s="36">
        <v>271</v>
      </c>
      <c r="B422" s="54">
        <f t="shared" si="23"/>
        <v>6909.1152521264676</v>
      </c>
      <c r="C422" s="54">
        <f t="shared" si="24"/>
        <v>1070.0867660334479</v>
      </c>
      <c r="D422" s="54">
        <f t="shared" si="25"/>
        <v>5839.0284860930196</v>
      </c>
      <c r="E422" s="54">
        <f t="shared" si="26"/>
        <v>184398.61880874221</v>
      </c>
    </row>
    <row r="423" spans="1:5" x14ac:dyDescent="0.15">
      <c r="A423" s="36">
        <v>272</v>
      </c>
      <c r="B423" s="54">
        <f t="shared" si="23"/>
        <v>6909.1152521264676</v>
      </c>
      <c r="C423" s="54">
        <f t="shared" si="24"/>
        <v>1037.2422307991746</v>
      </c>
      <c r="D423" s="54">
        <f t="shared" si="25"/>
        <v>5871.873021327292</v>
      </c>
      <c r="E423" s="54">
        <f t="shared" si="26"/>
        <v>178526.74578741493</v>
      </c>
    </row>
    <row r="424" spans="1:5" x14ac:dyDescent="0.15">
      <c r="A424" s="36">
        <v>273</v>
      </c>
      <c r="B424" s="54">
        <f t="shared" si="23"/>
        <v>6909.1152521264676</v>
      </c>
      <c r="C424" s="54">
        <f t="shared" si="24"/>
        <v>1004.2129450542087</v>
      </c>
      <c r="D424" s="54">
        <f t="shared" si="25"/>
        <v>5904.9023070722596</v>
      </c>
      <c r="E424" s="54">
        <f t="shared" si="26"/>
        <v>172621.84348034268</v>
      </c>
    </row>
    <row r="425" spans="1:5" x14ac:dyDescent="0.15">
      <c r="A425" s="36">
        <v>274</v>
      </c>
      <c r="B425" s="54">
        <f t="shared" si="23"/>
        <v>6909.1152521264676</v>
      </c>
      <c r="C425" s="54">
        <f t="shared" si="24"/>
        <v>970.9978695769272</v>
      </c>
      <c r="D425" s="54">
        <f t="shared" si="25"/>
        <v>5938.1173825495407</v>
      </c>
      <c r="E425" s="54">
        <f t="shared" si="26"/>
        <v>166683.72609779314</v>
      </c>
    </row>
    <row r="426" spans="1:5" x14ac:dyDescent="0.15">
      <c r="A426" s="36">
        <v>275</v>
      </c>
      <c r="B426" s="54">
        <f t="shared" si="23"/>
        <v>6909.1152521264676</v>
      </c>
      <c r="C426" s="54">
        <f t="shared" si="24"/>
        <v>937.59595930008618</v>
      </c>
      <c r="D426" s="54">
        <f t="shared" si="25"/>
        <v>5971.5192928263814</v>
      </c>
      <c r="E426" s="54">
        <f t="shared" si="26"/>
        <v>160712.20680496676</v>
      </c>
    </row>
    <row r="427" spans="1:5" x14ac:dyDescent="0.15">
      <c r="A427" s="36">
        <v>276</v>
      </c>
      <c r="B427" s="54">
        <f t="shared" si="23"/>
        <v>6909.1152521264676</v>
      </c>
      <c r="C427" s="54">
        <f t="shared" si="24"/>
        <v>904.00616327793784</v>
      </c>
      <c r="D427" s="54">
        <f t="shared" si="25"/>
        <v>6005.1090888485296</v>
      </c>
      <c r="E427" s="54">
        <f t="shared" si="26"/>
        <v>154707.09771611824</v>
      </c>
    </row>
    <row r="428" spans="1:5" x14ac:dyDescent="0.15">
      <c r="A428" s="36">
        <v>277</v>
      </c>
      <c r="B428" s="54">
        <f t="shared" si="23"/>
        <v>6909.1152521264676</v>
      </c>
      <c r="C428" s="54">
        <f t="shared" si="24"/>
        <v>870.22742465316469</v>
      </c>
      <c r="D428" s="54">
        <f t="shared" si="25"/>
        <v>6038.8878274733024</v>
      </c>
      <c r="E428" s="54">
        <f t="shared" si="26"/>
        <v>148668.20988864492</v>
      </c>
    </row>
    <row r="429" spans="1:5" x14ac:dyDescent="0.15">
      <c r="A429" s="36">
        <v>278</v>
      </c>
      <c r="B429" s="54">
        <f t="shared" si="23"/>
        <v>6909.1152521264676</v>
      </c>
      <c r="C429" s="54">
        <f t="shared" si="24"/>
        <v>836.25868062362747</v>
      </c>
      <c r="D429" s="54">
        <f t="shared" si="25"/>
        <v>6072.8565715028399</v>
      </c>
      <c r="E429" s="54">
        <f t="shared" si="26"/>
        <v>142595.35331714209</v>
      </c>
    </row>
    <row r="430" spans="1:5" x14ac:dyDescent="0.15">
      <c r="A430" s="36">
        <v>279</v>
      </c>
      <c r="B430" s="54">
        <f t="shared" si="23"/>
        <v>6909.1152521264676</v>
      </c>
      <c r="C430" s="54">
        <f t="shared" si="24"/>
        <v>802.09886240892399</v>
      </c>
      <c r="D430" s="54">
        <f t="shared" si="25"/>
        <v>6107.0163897175435</v>
      </c>
      <c r="E430" s="54">
        <f t="shared" si="26"/>
        <v>136488.33692742453</v>
      </c>
    </row>
    <row r="431" spans="1:5" x14ac:dyDescent="0.15">
      <c r="A431" s="36">
        <v>280</v>
      </c>
      <c r="B431" s="54">
        <f t="shared" si="23"/>
        <v>6909.1152521264676</v>
      </c>
      <c r="C431" s="54">
        <f t="shared" si="24"/>
        <v>767.74689521676282</v>
      </c>
      <c r="D431" s="54">
        <f t="shared" si="25"/>
        <v>6141.3683569097047</v>
      </c>
      <c r="E431" s="54">
        <f t="shared" si="26"/>
        <v>130346.96857051483</v>
      </c>
    </row>
    <row r="432" spans="1:5" x14ac:dyDescent="0.15">
      <c r="A432" s="36">
        <v>281</v>
      </c>
      <c r="B432" s="54">
        <f t="shared" si="23"/>
        <v>6909.1152521264676</v>
      </c>
      <c r="C432" s="54">
        <f t="shared" si="24"/>
        <v>733.20169820914555</v>
      </c>
      <c r="D432" s="54">
        <f t="shared" si="25"/>
        <v>6175.9135539173221</v>
      </c>
      <c r="E432" s="54">
        <f t="shared" si="26"/>
        <v>124171.0550165975</v>
      </c>
    </row>
    <row r="433" spans="1:5" x14ac:dyDescent="0.15">
      <c r="A433" s="36">
        <v>282</v>
      </c>
      <c r="B433" s="54">
        <f t="shared" si="23"/>
        <v>6909.1152521264676</v>
      </c>
      <c r="C433" s="54">
        <f t="shared" si="24"/>
        <v>698.46218446836076</v>
      </c>
      <c r="D433" s="54">
        <f t="shared" si="25"/>
        <v>6210.6530676581069</v>
      </c>
      <c r="E433" s="54">
        <f t="shared" si="26"/>
        <v>117960.4019489394</v>
      </c>
    </row>
    <row r="434" spans="1:5" x14ac:dyDescent="0.15">
      <c r="A434" s="36">
        <v>283</v>
      </c>
      <c r="B434" s="54">
        <f t="shared" si="23"/>
        <v>6909.1152521264676</v>
      </c>
      <c r="C434" s="54">
        <f t="shared" si="24"/>
        <v>663.52726096278377</v>
      </c>
      <c r="D434" s="54">
        <f t="shared" si="25"/>
        <v>6245.5879911636839</v>
      </c>
      <c r="E434" s="54">
        <f t="shared" si="26"/>
        <v>111714.81395777571</v>
      </c>
    </row>
    <row r="435" spans="1:5" x14ac:dyDescent="0.15">
      <c r="A435" s="36">
        <v>284</v>
      </c>
      <c r="B435" s="54">
        <f t="shared" si="23"/>
        <v>6909.1152521264676</v>
      </c>
      <c r="C435" s="54">
        <f t="shared" si="24"/>
        <v>628.39582851248815</v>
      </c>
      <c r="D435" s="54">
        <f t="shared" si="25"/>
        <v>6280.7194236139794</v>
      </c>
      <c r="E435" s="54">
        <f t="shared" si="26"/>
        <v>105434.09453416173</v>
      </c>
    </row>
    <row r="436" spans="1:5" x14ac:dyDescent="0.15">
      <c r="A436" s="36">
        <v>285</v>
      </c>
      <c r="B436" s="54">
        <f t="shared" si="23"/>
        <v>6909.1152521264676</v>
      </c>
      <c r="C436" s="54">
        <f t="shared" si="24"/>
        <v>593.06678175465947</v>
      </c>
      <c r="D436" s="54">
        <f t="shared" si="25"/>
        <v>6316.0484703718075</v>
      </c>
      <c r="E436" s="54">
        <f t="shared" si="26"/>
        <v>99118.046063789923</v>
      </c>
    </row>
    <row r="437" spans="1:5" x14ac:dyDescent="0.15">
      <c r="A437" s="36">
        <v>286</v>
      </c>
      <c r="B437" s="54">
        <f t="shared" si="23"/>
        <v>6909.1152521264676</v>
      </c>
      <c r="C437" s="54">
        <f t="shared" si="24"/>
        <v>557.53900910881805</v>
      </c>
      <c r="D437" s="54">
        <f t="shared" si="25"/>
        <v>6351.5762430176492</v>
      </c>
      <c r="E437" s="54">
        <f t="shared" si="26"/>
        <v>92766.469820772269</v>
      </c>
    </row>
    <row r="438" spans="1:5" x14ac:dyDescent="0.15">
      <c r="A438" s="36">
        <v>287</v>
      </c>
      <c r="B438" s="54">
        <f t="shared" si="23"/>
        <v>6909.1152521264676</v>
      </c>
      <c r="C438" s="54">
        <f t="shared" si="24"/>
        <v>521.81139274184386</v>
      </c>
      <c r="D438" s="54">
        <f t="shared" si="25"/>
        <v>6387.3038593846231</v>
      </c>
      <c r="E438" s="54">
        <f t="shared" si="26"/>
        <v>86379.16596138764</v>
      </c>
    </row>
    <row r="439" spans="1:5" x14ac:dyDescent="0.15">
      <c r="A439" s="36">
        <v>288</v>
      </c>
      <c r="B439" s="54">
        <f t="shared" si="23"/>
        <v>6909.1152521264676</v>
      </c>
      <c r="C439" s="54">
        <f t="shared" si="24"/>
        <v>485.8828085328052</v>
      </c>
      <c r="D439" s="54">
        <f t="shared" si="25"/>
        <v>6423.2324435936625</v>
      </c>
      <c r="E439" s="54">
        <f t="shared" si="26"/>
        <v>79955.933517793979</v>
      </c>
    </row>
    <row r="440" spans="1:5" x14ac:dyDescent="0.15">
      <c r="A440" s="36">
        <v>289</v>
      </c>
      <c r="B440" s="54">
        <f t="shared" si="23"/>
        <v>6909.1152521264676</v>
      </c>
      <c r="C440" s="54">
        <f t="shared" si="24"/>
        <v>449.75212603759093</v>
      </c>
      <c r="D440" s="54">
        <f t="shared" si="25"/>
        <v>6459.3631260888769</v>
      </c>
      <c r="E440" s="54">
        <f t="shared" si="26"/>
        <v>73496.5703917051</v>
      </c>
    </row>
    <row r="441" spans="1:5" x14ac:dyDescent="0.15">
      <c r="A441" s="36">
        <v>290</v>
      </c>
      <c r="B441" s="54">
        <f t="shared" si="23"/>
        <v>6909.1152521264676</v>
      </c>
      <c r="C441" s="54">
        <f t="shared" si="24"/>
        <v>413.41820845334098</v>
      </c>
      <c r="D441" s="54">
        <f t="shared" si="25"/>
        <v>6495.6970436731272</v>
      </c>
      <c r="E441" s="54">
        <f t="shared" si="26"/>
        <v>67000.873348031979</v>
      </c>
    </row>
    <row r="442" spans="1:5" x14ac:dyDescent="0.15">
      <c r="A442" s="36">
        <v>291</v>
      </c>
      <c r="B442" s="54">
        <f t="shared" si="23"/>
        <v>6909.1152521264676</v>
      </c>
      <c r="C442" s="54">
        <f t="shared" si="24"/>
        <v>376.87991258267965</v>
      </c>
      <c r="D442" s="54">
        <f t="shared" si="25"/>
        <v>6532.2353395437885</v>
      </c>
      <c r="E442" s="54">
        <f t="shared" si="26"/>
        <v>60468.638008488189</v>
      </c>
    </row>
    <row r="443" spans="1:5" x14ac:dyDescent="0.15">
      <c r="A443" s="36">
        <v>292</v>
      </c>
      <c r="B443" s="54">
        <f>$B$148</f>
        <v>6909.1152521264676</v>
      </c>
      <c r="C443" s="54">
        <f>ABS(IPMT($B$146/$B$147,A443,$B$145*$B$147,$B$144,0,0))</f>
        <v>340.13608879774586</v>
      </c>
      <c r="D443" s="54">
        <f>ABS(PPMT($B$146/$B$147,A443,$B$145*$B$147,$B$144,0,0))</f>
        <v>6568.9791633287223</v>
      </c>
      <c r="E443" s="54">
        <f>E442-D443</f>
        <v>53899.658845159465</v>
      </c>
    </row>
    <row r="444" spans="1:5" x14ac:dyDescent="0.15">
      <c r="A444" s="36">
        <v>293</v>
      </c>
      <c r="B444" s="54">
        <f t="shared" ref="B444:B507" si="27">$B$148</f>
        <v>6909.1152521264676</v>
      </c>
      <c r="C444" s="54">
        <f t="shared" ref="C444:C507" si="28">ABS(IPMT($B$146/$B$147,A444,$B$145*$B$147,$B$144,0,0))</f>
        <v>303.1855810040218</v>
      </c>
      <c r="D444" s="54">
        <f t="shared" ref="D444:D507" si="29">ABS(PPMT($B$146/$B$147,A444,$B$145*$B$147,$B$144,0,0))</f>
        <v>6605.9296711224461</v>
      </c>
      <c r="E444" s="54">
        <f t="shared" ref="E444:E507" si="30">E443-D444</f>
        <v>47293.72917403702</v>
      </c>
    </row>
    <row r="445" spans="1:5" x14ac:dyDescent="0.15">
      <c r="A445" s="36">
        <v>294</v>
      </c>
      <c r="B445" s="54">
        <f t="shared" si="27"/>
        <v>6909.1152521264676</v>
      </c>
      <c r="C445" s="54">
        <f t="shared" si="28"/>
        <v>266.02722660395807</v>
      </c>
      <c r="D445" s="54">
        <f t="shared" si="29"/>
        <v>6643.0880255225093</v>
      </c>
      <c r="E445" s="54">
        <f t="shared" si="30"/>
        <v>40650.641148514507</v>
      </c>
    </row>
    <row r="446" spans="1:5" x14ac:dyDescent="0.15">
      <c r="A446" s="36">
        <v>295</v>
      </c>
      <c r="B446" s="54">
        <f t="shared" si="27"/>
        <v>6909.1152521264676</v>
      </c>
      <c r="C446" s="54">
        <f t="shared" si="28"/>
        <v>228.65985646039397</v>
      </c>
      <c r="D446" s="54">
        <f t="shared" si="29"/>
        <v>6680.4553956660748</v>
      </c>
      <c r="E446" s="54">
        <f t="shared" si="30"/>
        <v>33970.185752848432</v>
      </c>
    </row>
    <row r="447" spans="1:5" x14ac:dyDescent="0.15">
      <c r="A447" s="36">
        <v>296</v>
      </c>
      <c r="B447" s="54">
        <f t="shared" si="27"/>
        <v>6909.1152521264676</v>
      </c>
      <c r="C447" s="54">
        <f t="shared" si="28"/>
        <v>191.08229485977225</v>
      </c>
      <c r="D447" s="54">
        <f t="shared" si="29"/>
        <v>6718.0329572666951</v>
      </c>
      <c r="E447" s="54">
        <f t="shared" si="30"/>
        <v>27252.152795581736</v>
      </c>
    </row>
    <row r="448" spans="1:5" x14ac:dyDescent="0.15">
      <c r="A448" s="36">
        <v>297</v>
      </c>
      <c r="B448" s="54">
        <f t="shared" si="27"/>
        <v>6909.1152521264676</v>
      </c>
      <c r="C448" s="54">
        <f t="shared" si="28"/>
        <v>153.2933594751471</v>
      </c>
      <c r="D448" s="54">
        <f t="shared" si="29"/>
        <v>6755.8218926513209</v>
      </c>
      <c r="E448" s="54">
        <f t="shared" si="30"/>
        <v>20496.330902930415</v>
      </c>
    </row>
    <row r="449" spans="1:5" x14ac:dyDescent="0.15">
      <c r="A449" s="36">
        <v>298</v>
      </c>
      <c r="B449" s="54">
        <f t="shared" si="27"/>
        <v>6909.1152521264676</v>
      </c>
      <c r="C449" s="54">
        <f t="shared" si="28"/>
        <v>115.29186132898343</v>
      </c>
      <c r="D449" s="54">
        <f t="shared" si="29"/>
        <v>6793.8233907974845</v>
      </c>
      <c r="E449" s="54">
        <f t="shared" si="30"/>
        <v>13702.50751213293</v>
      </c>
    </row>
    <row r="450" spans="1:5" x14ac:dyDescent="0.15">
      <c r="A450" s="36">
        <v>299</v>
      </c>
      <c r="B450" s="54">
        <f t="shared" si="27"/>
        <v>6909.1152521264676</v>
      </c>
      <c r="C450" s="54">
        <f t="shared" si="28"/>
        <v>77.076604755747553</v>
      </c>
      <c r="D450" s="54">
        <f t="shared" si="29"/>
        <v>6832.0386473707204</v>
      </c>
      <c r="E450" s="54">
        <f t="shared" si="30"/>
        <v>6870.4688647622097</v>
      </c>
    </row>
    <row r="451" spans="1:5" x14ac:dyDescent="0.15">
      <c r="A451" s="36">
        <v>300</v>
      </c>
      <c r="B451" s="54">
        <f t="shared" si="27"/>
        <v>6909.1152521264676</v>
      </c>
      <c r="C451" s="54">
        <f t="shared" si="28"/>
        <v>38.646387364287271</v>
      </c>
      <c r="D451" s="54">
        <f t="shared" si="29"/>
        <v>6870.4688647621797</v>
      </c>
      <c r="E451" s="54">
        <f t="shared" si="30"/>
        <v>3.0013325158506632E-11</v>
      </c>
    </row>
    <row r="452" spans="1:5" x14ac:dyDescent="0.15">
      <c r="A452" s="36">
        <v>301</v>
      </c>
      <c r="B452" s="54">
        <f t="shared" si="27"/>
        <v>6909.1152521264676</v>
      </c>
      <c r="C452" s="54" t="e">
        <f t="shared" si="28"/>
        <v>#NUM!</v>
      </c>
      <c r="D452" s="54" t="e">
        <f t="shared" si="29"/>
        <v>#NUM!</v>
      </c>
      <c r="E452" s="54" t="e">
        <f t="shared" si="30"/>
        <v>#NUM!</v>
      </c>
    </row>
    <row r="453" spans="1:5" x14ac:dyDescent="0.15">
      <c r="A453" s="36">
        <v>302</v>
      </c>
      <c r="B453" s="54">
        <f t="shared" si="27"/>
        <v>6909.1152521264676</v>
      </c>
      <c r="C453" s="54" t="e">
        <f t="shared" si="28"/>
        <v>#NUM!</v>
      </c>
      <c r="D453" s="54" t="e">
        <f t="shared" si="29"/>
        <v>#NUM!</v>
      </c>
      <c r="E453" s="54" t="e">
        <f t="shared" si="30"/>
        <v>#NUM!</v>
      </c>
    </row>
    <row r="454" spans="1:5" x14ac:dyDescent="0.15">
      <c r="A454" s="36">
        <v>303</v>
      </c>
      <c r="B454" s="54">
        <f t="shared" si="27"/>
        <v>6909.1152521264676</v>
      </c>
      <c r="C454" s="54" t="e">
        <f t="shared" si="28"/>
        <v>#NUM!</v>
      </c>
      <c r="D454" s="54" t="e">
        <f t="shared" si="29"/>
        <v>#NUM!</v>
      </c>
      <c r="E454" s="54" t="e">
        <f t="shared" si="30"/>
        <v>#NUM!</v>
      </c>
    </row>
    <row r="455" spans="1:5" x14ac:dyDescent="0.15">
      <c r="A455" s="36">
        <v>304</v>
      </c>
      <c r="B455" s="54">
        <f t="shared" si="27"/>
        <v>6909.1152521264676</v>
      </c>
      <c r="C455" s="54" t="e">
        <f t="shared" si="28"/>
        <v>#NUM!</v>
      </c>
      <c r="D455" s="54" t="e">
        <f t="shared" si="29"/>
        <v>#NUM!</v>
      </c>
      <c r="E455" s="54" t="e">
        <f t="shared" si="30"/>
        <v>#NUM!</v>
      </c>
    </row>
    <row r="456" spans="1:5" x14ac:dyDescent="0.15">
      <c r="A456" s="36">
        <v>305</v>
      </c>
      <c r="B456" s="54">
        <f t="shared" si="27"/>
        <v>6909.1152521264676</v>
      </c>
      <c r="C456" s="54" t="e">
        <f t="shared" si="28"/>
        <v>#NUM!</v>
      </c>
      <c r="D456" s="54" t="e">
        <f t="shared" si="29"/>
        <v>#NUM!</v>
      </c>
      <c r="E456" s="54" t="e">
        <f t="shared" si="30"/>
        <v>#NUM!</v>
      </c>
    </row>
    <row r="457" spans="1:5" x14ac:dyDescent="0.15">
      <c r="A457" s="36">
        <v>306</v>
      </c>
      <c r="B457" s="54">
        <f t="shared" si="27"/>
        <v>6909.1152521264676</v>
      </c>
      <c r="C457" s="54" t="e">
        <f t="shared" si="28"/>
        <v>#NUM!</v>
      </c>
      <c r="D457" s="54" t="e">
        <f t="shared" si="29"/>
        <v>#NUM!</v>
      </c>
      <c r="E457" s="54" t="e">
        <f t="shared" si="30"/>
        <v>#NUM!</v>
      </c>
    </row>
    <row r="458" spans="1:5" x14ac:dyDescent="0.15">
      <c r="A458" s="36">
        <v>307</v>
      </c>
      <c r="B458" s="54">
        <f t="shared" si="27"/>
        <v>6909.1152521264676</v>
      </c>
      <c r="C458" s="54" t="e">
        <f t="shared" si="28"/>
        <v>#NUM!</v>
      </c>
      <c r="D458" s="54" t="e">
        <f t="shared" si="29"/>
        <v>#NUM!</v>
      </c>
      <c r="E458" s="54" t="e">
        <f t="shared" si="30"/>
        <v>#NUM!</v>
      </c>
    </row>
    <row r="459" spans="1:5" x14ac:dyDescent="0.15">
      <c r="A459" s="36">
        <v>308</v>
      </c>
      <c r="B459" s="54">
        <f t="shared" si="27"/>
        <v>6909.1152521264676</v>
      </c>
      <c r="C459" s="54" t="e">
        <f t="shared" si="28"/>
        <v>#NUM!</v>
      </c>
      <c r="D459" s="54" t="e">
        <f t="shared" si="29"/>
        <v>#NUM!</v>
      </c>
      <c r="E459" s="54" t="e">
        <f t="shared" si="30"/>
        <v>#NUM!</v>
      </c>
    </row>
    <row r="460" spans="1:5" x14ac:dyDescent="0.15">
      <c r="A460" s="36">
        <v>309</v>
      </c>
      <c r="B460" s="54">
        <f t="shared" si="27"/>
        <v>6909.1152521264676</v>
      </c>
      <c r="C460" s="54" t="e">
        <f t="shared" si="28"/>
        <v>#NUM!</v>
      </c>
      <c r="D460" s="54" t="e">
        <f t="shared" si="29"/>
        <v>#NUM!</v>
      </c>
      <c r="E460" s="54" t="e">
        <f t="shared" si="30"/>
        <v>#NUM!</v>
      </c>
    </row>
    <row r="461" spans="1:5" x14ac:dyDescent="0.15">
      <c r="A461" s="36">
        <v>310</v>
      </c>
      <c r="B461" s="54">
        <f t="shared" si="27"/>
        <v>6909.1152521264676</v>
      </c>
      <c r="C461" s="54" t="e">
        <f t="shared" si="28"/>
        <v>#NUM!</v>
      </c>
      <c r="D461" s="54" t="e">
        <f t="shared" si="29"/>
        <v>#NUM!</v>
      </c>
      <c r="E461" s="54" t="e">
        <f t="shared" si="30"/>
        <v>#NUM!</v>
      </c>
    </row>
    <row r="462" spans="1:5" x14ac:dyDescent="0.15">
      <c r="A462" s="36">
        <v>311</v>
      </c>
      <c r="B462" s="54">
        <f t="shared" si="27"/>
        <v>6909.1152521264676</v>
      </c>
      <c r="C462" s="54" t="e">
        <f t="shared" si="28"/>
        <v>#NUM!</v>
      </c>
      <c r="D462" s="54" t="e">
        <f t="shared" si="29"/>
        <v>#NUM!</v>
      </c>
      <c r="E462" s="54" t="e">
        <f t="shared" si="30"/>
        <v>#NUM!</v>
      </c>
    </row>
    <row r="463" spans="1:5" x14ac:dyDescent="0.15">
      <c r="A463" s="36">
        <v>312</v>
      </c>
      <c r="B463" s="54">
        <f t="shared" si="27"/>
        <v>6909.1152521264676</v>
      </c>
      <c r="C463" s="54" t="e">
        <f t="shared" si="28"/>
        <v>#NUM!</v>
      </c>
      <c r="D463" s="54" t="e">
        <f t="shared" si="29"/>
        <v>#NUM!</v>
      </c>
      <c r="E463" s="54" t="e">
        <f t="shared" si="30"/>
        <v>#NUM!</v>
      </c>
    </row>
    <row r="464" spans="1:5" x14ac:dyDescent="0.15">
      <c r="A464" s="36">
        <v>313</v>
      </c>
      <c r="B464" s="54">
        <f t="shared" si="27"/>
        <v>6909.1152521264676</v>
      </c>
      <c r="C464" s="54" t="e">
        <f t="shared" si="28"/>
        <v>#NUM!</v>
      </c>
      <c r="D464" s="54" t="e">
        <f t="shared" si="29"/>
        <v>#NUM!</v>
      </c>
      <c r="E464" s="54" t="e">
        <f t="shared" si="30"/>
        <v>#NUM!</v>
      </c>
    </row>
    <row r="465" spans="1:5" x14ac:dyDescent="0.15">
      <c r="A465" s="36">
        <v>314</v>
      </c>
      <c r="B465" s="54">
        <f t="shared" si="27"/>
        <v>6909.1152521264676</v>
      </c>
      <c r="C465" s="54" t="e">
        <f t="shared" si="28"/>
        <v>#NUM!</v>
      </c>
      <c r="D465" s="54" t="e">
        <f t="shared" si="29"/>
        <v>#NUM!</v>
      </c>
      <c r="E465" s="54" t="e">
        <f t="shared" si="30"/>
        <v>#NUM!</v>
      </c>
    </row>
    <row r="466" spans="1:5" x14ac:dyDescent="0.15">
      <c r="A466" s="36">
        <v>315</v>
      </c>
      <c r="B466" s="54">
        <f t="shared" si="27"/>
        <v>6909.1152521264676</v>
      </c>
      <c r="C466" s="54" t="e">
        <f t="shared" si="28"/>
        <v>#NUM!</v>
      </c>
      <c r="D466" s="54" t="e">
        <f t="shared" si="29"/>
        <v>#NUM!</v>
      </c>
      <c r="E466" s="54" t="e">
        <f t="shared" si="30"/>
        <v>#NUM!</v>
      </c>
    </row>
    <row r="467" spans="1:5" x14ac:dyDescent="0.15">
      <c r="A467" s="36">
        <v>316</v>
      </c>
      <c r="B467" s="54">
        <f t="shared" si="27"/>
        <v>6909.1152521264676</v>
      </c>
      <c r="C467" s="54" t="e">
        <f t="shared" si="28"/>
        <v>#NUM!</v>
      </c>
      <c r="D467" s="54" t="e">
        <f t="shared" si="29"/>
        <v>#NUM!</v>
      </c>
      <c r="E467" s="54" t="e">
        <f t="shared" si="30"/>
        <v>#NUM!</v>
      </c>
    </row>
    <row r="468" spans="1:5" x14ac:dyDescent="0.15">
      <c r="A468" s="36">
        <v>317</v>
      </c>
      <c r="B468" s="54">
        <f t="shared" si="27"/>
        <v>6909.1152521264676</v>
      </c>
      <c r="C468" s="54" t="e">
        <f t="shared" si="28"/>
        <v>#NUM!</v>
      </c>
      <c r="D468" s="54" t="e">
        <f t="shared" si="29"/>
        <v>#NUM!</v>
      </c>
      <c r="E468" s="54" t="e">
        <f t="shared" si="30"/>
        <v>#NUM!</v>
      </c>
    </row>
    <row r="469" spans="1:5" x14ac:dyDescent="0.15">
      <c r="A469" s="36">
        <v>318</v>
      </c>
      <c r="B469" s="54">
        <f t="shared" si="27"/>
        <v>6909.1152521264676</v>
      </c>
      <c r="C469" s="54" t="e">
        <f t="shared" si="28"/>
        <v>#NUM!</v>
      </c>
      <c r="D469" s="54" t="e">
        <f t="shared" si="29"/>
        <v>#NUM!</v>
      </c>
      <c r="E469" s="54" t="e">
        <f t="shared" si="30"/>
        <v>#NUM!</v>
      </c>
    </row>
    <row r="470" spans="1:5" x14ac:dyDescent="0.15">
      <c r="A470" s="36">
        <v>319</v>
      </c>
      <c r="B470" s="54">
        <f t="shared" si="27"/>
        <v>6909.1152521264676</v>
      </c>
      <c r="C470" s="54" t="e">
        <f t="shared" si="28"/>
        <v>#NUM!</v>
      </c>
      <c r="D470" s="54" t="e">
        <f t="shared" si="29"/>
        <v>#NUM!</v>
      </c>
      <c r="E470" s="54" t="e">
        <f t="shared" si="30"/>
        <v>#NUM!</v>
      </c>
    </row>
    <row r="471" spans="1:5" x14ac:dyDescent="0.15">
      <c r="A471" s="36">
        <v>320</v>
      </c>
      <c r="B471" s="54">
        <f t="shared" si="27"/>
        <v>6909.1152521264676</v>
      </c>
      <c r="C471" s="54" t="e">
        <f t="shared" si="28"/>
        <v>#NUM!</v>
      </c>
      <c r="D471" s="54" t="e">
        <f t="shared" si="29"/>
        <v>#NUM!</v>
      </c>
      <c r="E471" s="54" t="e">
        <f t="shared" si="30"/>
        <v>#NUM!</v>
      </c>
    </row>
    <row r="472" spans="1:5" x14ac:dyDescent="0.15">
      <c r="A472" s="36">
        <v>321</v>
      </c>
      <c r="B472" s="54">
        <f t="shared" si="27"/>
        <v>6909.1152521264676</v>
      </c>
      <c r="C472" s="54" t="e">
        <f t="shared" si="28"/>
        <v>#NUM!</v>
      </c>
      <c r="D472" s="54" t="e">
        <f t="shared" si="29"/>
        <v>#NUM!</v>
      </c>
      <c r="E472" s="54" t="e">
        <f t="shared" si="30"/>
        <v>#NUM!</v>
      </c>
    </row>
    <row r="473" spans="1:5" x14ac:dyDescent="0.15">
      <c r="A473" s="36">
        <v>322</v>
      </c>
      <c r="B473" s="54">
        <f t="shared" si="27"/>
        <v>6909.1152521264676</v>
      </c>
      <c r="C473" s="54" t="e">
        <f t="shared" si="28"/>
        <v>#NUM!</v>
      </c>
      <c r="D473" s="54" t="e">
        <f t="shared" si="29"/>
        <v>#NUM!</v>
      </c>
      <c r="E473" s="54" t="e">
        <f t="shared" si="30"/>
        <v>#NUM!</v>
      </c>
    </row>
    <row r="474" spans="1:5" x14ac:dyDescent="0.15">
      <c r="A474" s="36">
        <v>323</v>
      </c>
      <c r="B474" s="54">
        <f t="shared" si="27"/>
        <v>6909.1152521264676</v>
      </c>
      <c r="C474" s="54" t="e">
        <f t="shared" si="28"/>
        <v>#NUM!</v>
      </c>
      <c r="D474" s="54" t="e">
        <f t="shared" si="29"/>
        <v>#NUM!</v>
      </c>
      <c r="E474" s="54" t="e">
        <f t="shared" si="30"/>
        <v>#NUM!</v>
      </c>
    </row>
    <row r="475" spans="1:5" x14ac:dyDescent="0.15">
      <c r="A475" s="36">
        <v>324</v>
      </c>
      <c r="B475" s="54">
        <f t="shared" si="27"/>
        <v>6909.1152521264676</v>
      </c>
      <c r="C475" s="54" t="e">
        <f t="shared" si="28"/>
        <v>#NUM!</v>
      </c>
      <c r="D475" s="54" t="e">
        <f t="shared" si="29"/>
        <v>#NUM!</v>
      </c>
      <c r="E475" s="54" t="e">
        <f t="shared" si="30"/>
        <v>#NUM!</v>
      </c>
    </row>
    <row r="476" spans="1:5" x14ac:dyDescent="0.15">
      <c r="A476" s="36">
        <v>325</v>
      </c>
      <c r="B476" s="54">
        <f t="shared" si="27"/>
        <v>6909.1152521264676</v>
      </c>
      <c r="C476" s="54" t="e">
        <f t="shared" si="28"/>
        <v>#NUM!</v>
      </c>
      <c r="D476" s="54" t="e">
        <f t="shared" si="29"/>
        <v>#NUM!</v>
      </c>
      <c r="E476" s="54" t="e">
        <f t="shared" si="30"/>
        <v>#NUM!</v>
      </c>
    </row>
    <row r="477" spans="1:5" x14ac:dyDescent="0.15">
      <c r="A477" s="36">
        <v>326</v>
      </c>
      <c r="B477" s="54">
        <f t="shared" si="27"/>
        <v>6909.1152521264676</v>
      </c>
      <c r="C477" s="54" t="e">
        <f t="shared" si="28"/>
        <v>#NUM!</v>
      </c>
      <c r="D477" s="54" t="e">
        <f t="shared" si="29"/>
        <v>#NUM!</v>
      </c>
      <c r="E477" s="54" t="e">
        <f t="shared" si="30"/>
        <v>#NUM!</v>
      </c>
    </row>
    <row r="478" spans="1:5" x14ac:dyDescent="0.15">
      <c r="A478" s="36">
        <v>327</v>
      </c>
      <c r="B478" s="54">
        <f t="shared" si="27"/>
        <v>6909.1152521264676</v>
      </c>
      <c r="C478" s="54" t="e">
        <f t="shared" si="28"/>
        <v>#NUM!</v>
      </c>
      <c r="D478" s="54" t="e">
        <f t="shared" si="29"/>
        <v>#NUM!</v>
      </c>
      <c r="E478" s="54" t="e">
        <f t="shared" si="30"/>
        <v>#NUM!</v>
      </c>
    </row>
    <row r="479" spans="1:5" x14ac:dyDescent="0.15">
      <c r="A479" s="36">
        <v>328</v>
      </c>
      <c r="B479" s="54">
        <f t="shared" si="27"/>
        <v>6909.1152521264676</v>
      </c>
      <c r="C479" s="54" t="e">
        <f t="shared" si="28"/>
        <v>#NUM!</v>
      </c>
      <c r="D479" s="54" t="e">
        <f t="shared" si="29"/>
        <v>#NUM!</v>
      </c>
      <c r="E479" s="54" t="e">
        <f t="shared" si="30"/>
        <v>#NUM!</v>
      </c>
    </row>
    <row r="480" spans="1:5" x14ac:dyDescent="0.15">
      <c r="A480" s="36">
        <v>329</v>
      </c>
      <c r="B480" s="54">
        <f t="shared" si="27"/>
        <v>6909.1152521264676</v>
      </c>
      <c r="C480" s="54" t="e">
        <f t="shared" si="28"/>
        <v>#NUM!</v>
      </c>
      <c r="D480" s="54" t="e">
        <f t="shared" si="29"/>
        <v>#NUM!</v>
      </c>
      <c r="E480" s="54" t="e">
        <f t="shared" si="30"/>
        <v>#NUM!</v>
      </c>
    </row>
    <row r="481" spans="1:5" x14ac:dyDescent="0.15">
      <c r="A481" s="36">
        <v>330</v>
      </c>
      <c r="B481" s="54">
        <f t="shared" si="27"/>
        <v>6909.1152521264676</v>
      </c>
      <c r="C481" s="54" t="e">
        <f t="shared" si="28"/>
        <v>#NUM!</v>
      </c>
      <c r="D481" s="54" t="e">
        <f t="shared" si="29"/>
        <v>#NUM!</v>
      </c>
      <c r="E481" s="54" t="e">
        <f t="shared" si="30"/>
        <v>#NUM!</v>
      </c>
    </row>
    <row r="482" spans="1:5" x14ac:dyDescent="0.15">
      <c r="A482" s="36">
        <v>331</v>
      </c>
      <c r="B482" s="54">
        <f t="shared" si="27"/>
        <v>6909.1152521264676</v>
      </c>
      <c r="C482" s="54" t="e">
        <f t="shared" si="28"/>
        <v>#NUM!</v>
      </c>
      <c r="D482" s="54" t="e">
        <f t="shared" si="29"/>
        <v>#NUM!</v>
      </c>
      <c r="E482" s="54" t="e">
        <f t="shared" si="30"/>
        <v>#NUM!</v>
      </c>
    </row>
    <row r="483" spans="1:5" x14ac:dyDescent="0.15">
      <c r="A483" s="36">
        <v>332</v>
      </c>
      <c r="B483" s="54">
        <f t="shared" si="27"/>
        <v>6909.1152521264676</v>
      </c>
      <c r="C483" s="54" t="e">
        <f t="shared" si="28"/>
        <v>#NUM!</v>
      </c>
      <c r="D483" s="54" t="e">
        <f t="shared" si="29"/>
        <v>#NUM!</v>
      </c>
      <c r="E483" s="54" t="e">
        <f t="shared" si="30"/>
        <v>#NUM!</v>
      </c>
    </row>
    <row r="484" spans="1:5" x14ac:dyDescent="0.15">
      <c r="A484" s="36">
        <v>333</v>
      </c>
      <c r="B484" s="54">
        <f t="shared" si="27"/>
        <v>6909.1152521264676</v>
      </c>
      <c r="C484" s="54" t="e">
        <f t="shared" si="28"/>
        <v>#NUM!</v>
      </c>
      <c r="D484" s="54" t="e">
        <f t="shared" si="29"/>
        <v>#NUM!</v>
      </c>
      <c r="E484" s="54" t="e">
        <f t="shared" si="30"/>
        <v>#NUM!</v>
      </c>
    </row>
    <row r="485" spans="1:5" x14ac:dyDescent="0.15">
      <c r="A485" s="36">
        <v>334</v>
      </c>
      <c r="B485" s="54">
        <f t="shared" si="27"/>
        <v>6909.1152521264676</v>
      </c>
      <c r="C485" s="54" t="e">
        <f t="shared" si="28"/>
        <v>#NUM!</v>
      </c>
      <c r="D485" s="54" t="e">
        <f t="shared" si="29"/>
        <v>#NUM!</v>
      </c>
      <c r="E485" s="54" t="e">
        <f t="shared" si="30"/>
        <v>#NUM!</v>
      </c>
    </row>
    <row r="486" spans="1:5" x14ac:dyDescent="0.15">
      <c r="A486" s="36">
        <v>335</v>
      </c>
      <c r="B486" s="54">
        <f t="shared" si="27"/>
        <v>6909.1152521264676</v>
      </c>
      <c r="C486" s="54" t="e">
        <f t="shared" si="28"/>
        <v>#NUM!</v>
      </c>
      <c r="D486" s="54" t="e">
        <f t="shared" si="29"/>
        <v>#NUM!</v>
      </c>
      <c r="E486" s="54" t="e">
        <f t="shared" si="30"/>
        <v>#NUM!</v>
      </c>
    </row>
    <row r="487" spans="1:5" x14ac:dyDescent="0.15">
      <c r="A487" s="36">
        <v>336</v>
      </c>
      <c r="B487" s="54">
        <f t="shared" si="27"/>
        <v>6909.1152521264676</v>
      </c>
      <c r="C487" s="54" t="e">
        <f t="shared" si="28"/>
        <v>#NUM!</v>
      </c>
      <c r="D487" s="54" t="e">
        <f t="shared" si="29"/>
        <v>#NUM!</v>
      </c>
      <c r="E487" s="54" t="e">
        <f t="shared" si="30"/>
        <v>#NUM!</v>
      </c>
    </row>
    <row r="488" spans="1:5" x14ac:dyDescent="0.15">
      <c r="A488" s="36">
        <v>337</v>
      </c>
      <c r="B488" s="54">
        <f t="shared" si="27"/>
        <v>6909.1152521264676</v>
      </c>
      <c r="C488" s="54" t="e">
        <f t="shared" si="28"/>
        <v>#NUM!</v>
      </c>
      <c r="D488" s="54" t="e">
        <f t="shared" si="29"/>
        <v>#NUM!</v>
      </c>
      <c r="E488" s="54" t="e">
        <f t="shared" si="30"/>
        <v>#NUM!</v>
      </c>
    </row>
    <row r="489" spans="1:5" x14ac:dyDescent="0.15">
      <c r="A489" s="36">
        <v>338</v>
      </c>
      <c r="B489" s="54">
        <f t="shared" si="27"/>
        <v>6909.1152521264676</v>
      </c>
      <c r="C489" s="54" t="e">
        <f t="shared" si="28"/>
        <v>#NUM!</v>
      </c>
      <c r="D489" s="54" t="e">
        <f t="shared" si="29"/>
        <v>#NUM!</v>
      </c>
      <c r="E489" s="54" t="e">
        <f t="shared" si="30"/>
        <v>#NUM!</v>
      </c>
    </row>
    <row r="490" spans="1:5" x14ac:dyDescent="0.15">
      <c r="A490" s="36">
        <v>339</v>
      </c>
      <c r="B490" s="54">
        <f t="shared" si="27"/>
        <v>6909.1152521264676</v>
      </c>
      <c r="C490" s="54" t="e">
        <f t="shared" si="28"/>
        <v>#NUM!</v>
      </c>
      <c r="D490" s="54" t="e">
        <f t="shared" si="29"/>
        <v>#NUM!</v>
      </c>
      <c r="E490" s="54" t="e">
        <f t="shared" si="30"/>
        <v>#NUM!</v>
      </c>
    </row>
    <row r="491" spans="1:5" x14ac:dyDescent="0.15">
      <c r="A491" s="36">
        <v>340</v>
      </c>
      <c r="B491" s="54">
        <f t="shared" si="27"/>
        <v>6909.1152521264676</v>
      </c>
      <c r="C491" s="54" t="e">
        <f t="shared" si="28"/>
        <v>#NUM!</v>
      </c>
      <c r="D491" s="54" t="e">
        <f t="shared" si="29"/>
        <v>#NUM!</v>
      </c>
      <c r="E491" s="54" t="e">
        <f t="shared" si="30"/>
        <v>#NUM!</v>
      </c>
    </row>
    <row r="492" spans="1:5" x14ac:dyDescent="0.15">
      <c r="A492" s="36">
        <v>341</v>
      </c>
      <c r="B492" s="54">
        <f t="shared" si="27"/>
        <v>6909.1152521264676</v>
      </c>
      <c r="C492" s="54" t="e">
        <f t="shared" si="28"/>
        <v>#NUM!</v>
      </c>
      <c r="D492" s="54" t="e">
        <f t="shared" si="29"/>
        <v>#NUM!</v>
      </c>
      <c r="E492" s="54" t="e">
        <f t="shared" si="30"/>
        <v>#NUM!</v>
      </c>
    </row>
    <row r="493" spans="1:5" x14ac:dyDescent="0.15">
      <c r="A493" s="36">
        <v>342</v>
      </c>
      <c r="B493" s="54">
        <f t="shared" si="27"/>
        <v>6909.1152521264676</v>
      </c>
      <c r="C493" s="54" t="e">
        <f t="shared" si="28"/>
        <v>#NUM!</v>
      </c>
      <c r="D493" s="54" t="e">
        <f t="shared" si="29"/>
        <v>#NUM!</v>
      </c>
      <c r="E493" s="54" t="e">
        <f t="shared" si="30"/>
        <v>#NUM!</v>
      </c>
    </row>
    <row r="494" spans="1:5" x14ac:dyDescent="0.15">
      <c r="A494" s="36">
        <v>343</v>
      </c>
      <c r="B494" s="54">
        <f t="shared" si="27"/>
        <v>6909.1152521264676</v>
      </c>
      <c r="C494" s="54" t="e">
        <f t="shared" si="28"/>
        <v>#NUM!</v>
      </c>
      <c r="D494" s="54" t="e">
        <f t="shared" si="29"/>
        <v>#NUM!</v>
      </c>
      <c r="E494" s="54" t="e">
        <f t="shared" si="30"/>
        <v>#NUM!</v>
      </c>
    </row>
    <row r="495" spans="1:5" x14ac:dyDescent="0.15">
      <c r="A495" s="36">
        <v>344</v>
      </c>
      <c r="B495" s="54">
        <f t="shared" si="27"/>
        <v>6909.1152521264676</v>
      </c>
      <c r="C495" s="54" t="e">
        <f t="shared" si="28"/>
        <v>#NUM!</v>
      </c>
      <c r="D495" s="54" t="e">
        <f t="shared" si="29"/>
        <v>#NUM!</v>
      </c>
      <c r="E495" s="54" t="e">
        <f t="shared" si="30"/>
        <v>#NUM!</v>
      </c>
    </row>
    <row r="496" spans="1:5" x14ac:dyDescent="0.15">
      <c r="A496" s="36">
        <v>345</v>
      </c>
      <c r="B496" s="54">
        <f t="shared" si="27"/>
        <v>6909.1152521264676</v>
      </c>
      <c r="C496" s="54" t="e">
        <f t="shared" si="28"/>
        <v>#NUM!</v>
      </c>
      <c r="D496" s="54" t="e">
        <f t="shared" si="29"/>
        <v>#NUM!</v>
      </c>
      <c r="E496" s="54" t="e">
        <f t="shared" si="30"/>
        <v>#NUM!</v>
      </c>
    </row>
    <row r="497" spans="1:5" x14ac:dyDescent="0.15">
      <c r="A497" s="36">
        <v>346</v>
      </c>
      <c r="B497" s="54">
        <f t="shared" si="27"/>
        <v>6909.1152521264676</v>
      </c>
      <c r="C497" s="54" t="e">
        <f t="shared" si="28"/>
        <v>#NUM!</v>
      </c>
      <c r="D497" s="54" t="e">
        <f t="shared" si="29"/>
        <v>#NUM!</v>
      </c>
      <c r="E497" s="54" t="e">
        <f t="shared" si="30"/>
        <v>#NUM!</v>
      </c>
    </row>
    <row r="498" spans="1:5" x14ac:dyDescent="0.15">
      <c r="A498" s="36">
        <v>347</v>
      </c>
      <c r="B498" s="54">
        <f t="shared" si="27"/>
        <v>6909.1152521264676</v>
      </c>
      <c r="C498" s="54" t="e">
        <f t="shared" si="28"/>
        <v>#NUM!</v>
      </c>
      <c r="D498" s="54" t="e">
        <f t="shared" si="29"/>
        <v>#NUM!</v>
      </c>
      <c r="E498" s="54" t="e">
        <f t="shared" si="30"/>
        <v>#NUM!</v>
      </c>
    </row>
    <row r="499" spans="1:5" x14ac:dyDescent="0.15">
      <c r="A499" s="36">
        <v>348</v>
      </c>
      <c r="B499" s="54">
        <f t="shared" si="27"/>
        <v>6909.1152521264676</v>
      </c>
      <c r="C499" s="54" t="e">
        <f t="shared" si="28"/>
        <v>#NUM!</v>
      </c>
      <c r="D499" s="54" t="e">
        <f t="shared" si="29"/>
        <v>#NUM!</v>
      </c>
      <c r="E499" s="54" t="e">
        <f t="shared" si="30"/>
        <v>#NUM!</v>
      </c>
    </row>
    <row r="500" spans="1:5" x14ac:dyDescent="0.15">
      <c r="A500" s="36">
        <v>349</v>
      </c>
      <c r="B500" s="54">
        <f t="shared" si="27"/>
        <v>6909.1152521264676</v>
      </c>
      <c r="C500" s="54" t="e">
        <f t="shared" si="28"/>
        <v>#NUM!</v>
      </c>
      <c r="D500" s="54" t="e">
        <f t="shared" si="29"/>
        <v>#NUM!</v>
      </c>
      <c r="E500" s="54" t="e">
        <f t="shared" si="30"/>
        <v>#NUM!</v>
      </c>
    </row>
    <row r="501" spans="1:5" x14ac:dyDescent="0.15">
      <c r="A501" s="36">
        <v>350</v>
      </c>
      <c r="B501" s="54">
        <f t="shared" si="27"/>
        <v>6909.1152521264676</v>
      </c>
      <c r="C501" s="54" t="e">
        <f t="shared" si="28"/>
        <v>#NUM!</v>
      </c>
      <c r="D501" s="54" t="e">
        <f t="shared" si="29"/>
        <v>#NUM!</v>
      </c>
      <c r="E501" s="54" t="e">
        <f t="shared" si="30"/>
        <v>#NUM!</v>
      </c>
    </row>
    <row r="502" spans="1:5" x14ac:dyDescent="0.15">
      <c r="A502" s="36">
        <v>351</v>
      </c>
      <c r="B502" s="54">
        <f t="shared" si="27"/>
        <v>6909.1152521264676</v>
      </c>
      <c r="C502" s="54" t="e">
        <f t="shared" si="28"/>
        <v>#NUM!</v>
      </c>
      <c r="D502" s="54" t="e">
        <f t="shared" si="29"/>
        <v>#NUM!</v>
      </c>
      <c r="E502" s="54" t="e">
        <f t="shared" si="30"/>
        <v>#NUM!</v>
      </c>
    </row>
    <row r="503" spans="1:5" x14ac:dyDescent="0.15">
      <c r="A503" s="36">
        <v>352</v>
      </c>
      <c r="B503" s="54">
        <f t="shared" si="27"/>
        <v>6909.1152521264676</v>
      </c>
      <c r="C503" s="54" t="e">
        <f t="shared" si="28"/>
        <v>#NUM!</v>
      </c>
      <c r="D503" s="54" t="e">
        <f t="shared" si="29"/>
        <v>#NUM!</v>
      </c>
      <c r="E503" s="54" t="e">
        <f t="shared" si="30"/>
        <v>#NUM!</v>
      </c>
    </row>
    <row r="504" spans="1:5" x14ac:dyDescent="0.15">
      <c r="A504" s="36">
        <v>353</v>
      </c>
      <c r="B504" s="54">
        <f t="shared" si="27"/>
        <v>6909.1152521264676</v>
      </c>
      <c r="C504" s="54" t="e">
        <f t="shared" si="28"/>
        <v>#NUM!</v>
      </c>
      <c r="D504" s="54" t="e">
        <f t="shared" si="29"/>
        <v>#NUM!</v>
      </c>
      <c r="E504" s="54" t="e">
        <f t="shared" si="30"/>
        <v>#NUM!</v>
      </c>
    </row>
    <row r="505" spans="1:5" x14ac:dyDescent="0.15">
      <c r="A505" s="36">
        <v>354</v>
      </c>
      <c r="B505" s="54">
        <f t="shared" si="27"/>
        <v>6909.1152521264676</v>
      </c>
      <c r="C505" s="54" t="e">
        <f t="shared" si="28"/>
        <v>#NUM!</v>
      </c>
      <c r="D505" s="54" t="e">
        <f t="shared" si="29"/>
        <v>#NUM!</v>
      </c>
      <c r="E505" s="54" t="e">
        <f t="shared" si="30"/>
        <v>#NUM!</v>
      </c>
    </row>
    <row r="506" spans="1:5" x14ac:dyDescent="0.15">
      <c r="A506" s="36">
        <v>355</v>
      </c>
      <c r="B506" s="54">
        <f t="shared" si="27"/>
        <v>6909.1152521264676</v>
      </c>
      <c r="C506" s="54" t="e">
        <f t="shared" si="28"/>
        <v>#NUM!</v>
      </c>
      <c r="D506" s="54" t="e">
        <f t="shared" si="29"/>
        <v>#NUM!</v>
      </c>
      <c r="E506" s="54" t="e">
        <f t="shared" si="30"/>
        <v>#NUM!</v>
      </c>
    </row>
    <row r="507" spans="1:5" x14ac:dyDescent="0.15">
      <c r="A507" s="36">
        <v>356</v>
      </c>
      <c r="B507" s="54">
        <f t="shared" si="27"/>
        <v>6909.1152521264676</v>
      </c>
      <c r="C507" s="54" t="e">
        <f t="shared" si="28"/>
        <v>#NUM!</v>
      </c>
      <c r="D507" s="54" t="e">
        <f t="shared" si="29"/>
        <v>#NUM!</v>
      </c>
      <c r="E507" s="54" t="e">
        <f t="shared" si="30"/>
        <v>#NUM!</v>
      </c>
    </row>
    <row r="508" spans="1:5" x14ac:dyDescent="0.15">
      <c r="A508" s="36">
        <v>357</v>
      </c>
      <c r="B508" s="54">
        <f t="shared" ref="B508:B511" si="31">$B$148</f>
        <v>6909.1152521264676</v>
      </c>
      <c r="C508" s="54" t="e">
        <f t="shared" ref="C508:C511" si="32">ABS(IPMT($B$146/$B$147,A508,$B$145*$B$147,$B$144,0,0))</f>
        <v>#NUM!</v>
      </c>
      <c r="D508" s="54" t="e">
        <f t="shared" ref="D508:D511" si="33">ABS(PPMT($B$146/$B$147,A508,$B$145*$B$147,$B$144,0,0))</f>
        <v>#NUM!</v>
      </c>
      <c r="E508" s="54" t="e">
        <f t="shared" ref="E508:E511" si="34">E507-D508</f>
        <v>#NUM!</v>
      </c>
    </row>
    <row r="509" spans="1:5" x14ac:dyDescent="0.15">
      <c r="A509" s="36">
        <v>358</v>
      </c>
      <c r="B509" s="54">
        <f t="shared" si="31"/>
        <v>6909.1152521264676</v>
      </c>
      <c r="C509" s="54" t="e">
        <f t="shared" si="32"/>
        <v>#NUM!</v>
      </c>
      <c r="D509" s="54" t="e">
        <f t="shared" si="33"/>
        <v>#NUM!</v>
      </c>
      <c r="E509" s="54" t="e">
        <f t="shared" si="34"/>
        <v>#NUM!</v>
      </c>
    </row>
    <row r="510" spans="1:5" x14ac:dyDescent="0.15">
      <c r="A510" s="36">
        <v>359</v>
      </c>
      <c r="B510" s="54">
        <f t="shared" si="31"/>
        <v>6909.1152521264676</v>
      </c>
      <c r="C510" s="54" t="e">
        <f t="shared" si="32"/>
        <v>#NUM!</v>
      </c>
      <c r="D510" s="54" t="e">
        <f t="shared" si="33"/>
        <v>#NUM!</v>
      </c>
      <c r="E510" s="54" t="e">
        <f t="shared" si="34"/>
        <v>#NUM!</v>
      </c>
    </row>
    <row r="511" spans="1:5" x14ac:dyDescent="0.15">
      <c r="A511" s="36">
        <v>360</v>
      </c>
      <c r="B511" s="54">
        <f t="shared" si="31"/>
        <v>6909.1152521264676</v>
      </c>
      <c r="C511" s="54" t="e">
        <f t="shared" si="32"/>
        <v>#NUM!</v>
      </c>
      <c r="D511" s="54" t="e">
        <f t="shared" si="33"/>
        <v>#NUM!</v>
      </c>
      <c r="E511" s="54" t="e">
        <f t="shared" si="34"/>
        <v>#NUM!</v>
      </c>
    </row>
  </sheetData>
  <mergeCells count="3">
    <mergeCell ref="A140:E140"/>
    <mergeCell ref="A143:B143"/>
    <mergeCell ref="A24:F24"/>
  </mergeCells>
  <phoneticPr fontId="1" type="noConversion"/>
  <conditionalFormatting sqref="A151:E511">
    <cfRule type="expression" dxfId="21" priority="10">
      <formula>$A151=$B$145*$B$147</formula>
    </cfRule>
    <cfRule type="expression" dxfId="20" priority="11">
      <formula>$A151&gt;$B$145*$B$147</formula>
    </cfRule>
  </conditionalFormatting>
  <conditionalFormatting sqref="A33:XFD33">
    <cfRule type="expression" dxfId="19" priority="9">
      <formula>COLUMN()&lt;=($B$30+1)</formula>
    </cfRule>
    <cfRule type="expression" dxfId="18" priority="8">
      <formula>COLUMN()&lt;=($B$30+1)</formula>
    </cfRule>
  </conditionalFormatting>
  <conditionalFormatting sqref="A34">
    <cfRule type="expression" dxfId="17" priority="6">
      <formula>AND(COLUMN()=1, ROW()-33&lt;=$B$29)</formula>
    </cfRule>
  </conditionalFormatting>
  <conditionalFormatting sqref="A34:A83">
    <cfRule type="expression" dxfId="16" priority="5">
      <formula>AND(COLUMN()=1, ROW()-33&lt;=$B$29)</formula>
    </cfRule>
  </conditionalFormatting>
  <conditionalFormatting sqref="B34:U83">
    <cfRule type="expression" dxfId="15" priority="3">
      <formula>OR(COLUMN()-1&gt;$B$30, ROW()-33&gt;$B$29)</formula>
    </cfRule>
  </conditionalFormatting>
  <conditionalFormatting sqref="A33:U83">
    <cfRule type="expression" dxfId="14" priority="2">
      <formula>OR(COLUMN()-1&gt;$B$30, ROW()-33&gt;$B$29)</formula>
    </cfRule>
  </conditionalFormatting>
  <conditionalFormatting sqref="A34:U83">
    <cfRule type="expression" dxfId="13" priority="1">
      <formula>AND(ROW()-33=$B$29, COLUMN()&lt;=$B$30+1)</formula>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113"/>
  <sheetViews>
    <sheetView workbookViewId="0">
      <selection activeCell="C96" sqref="C96"/>
    </sheetView>
  </sheetViews>
  <sheetFormatPr defaultRowHeight="13.5" x14ac:dyDescent="0.15"/>
  <cols>
    <col min="1" max="1" width="33.5" style="35" customWidth="1"/>
    <col min="2" max="2" width="17.875" customWidth="1"/>
    <col min="3" max="3" width="15.25" customWidth="1"/>
    <col min="4" max="4" width="28.125" customWidth="1"/>
    <col min="5" max="5" width="17.375" customWidth="1"/>
  </cols>
  <sheetData>
    <row r="1" spans="1:6" x14ac:dyDescent="0.15">
      <c r="A1" s="35" t="s">
        <v>141</v>
      </c>
    </row>
    <row r="2" spans="1:6" x14ac:dyDescent="0.15">
      <c r="A2" s="35" t="s">
        <v>142</v>
      </c>
      <c r="B2" t="s">
        <v>143</v>
      </c>
      <c r="C2" t="s">
        <v>146</v>
      </c>
      <c r="D2" t="s">
        <v>144</v>
      </c>
      <c r="E2" t="s">
        <v>145</v>
      </c>
      <c r="F2" t="s">
        <v>147</v>
      </c>
    </row>
    <row r="4" spans="1:6" x14ac:dyDescent="0.15">
      <c r="A4" s="35" t="s">
        <v>148</v>
      </c>
    </row>
    <row r="5" spans="1:6" x14ac:dyDescent="0.15">
      <c r="A5" s="35" t="s">
        <v>132</v>
      </c>
      <c r="B5" t="s">
        <v>129</v>
      </c>
    </row>
    <row r="6" spans="1:6" x14ac:dyDescent="0.15">
      <c r="A6" s="35" t="s">
        <v>133</v>
      </c>
      <c r="B6" t="s">
        <v>130</v>
      </c>
    </row>
    <row r="7" spans="1:6" x14ac:dyDescent="0.15">
      <c r="A7" s="35" t="s">
        <v>134</v>
      </c>
      <c r="B7" t="s">
        <v>131</v>
      </c>
    </row>
    <row r="8" spans="1:6" x14ac:dyDescent="0.15">
      <c r="A8" s="35" t="s">
        <v>135</v>
      </c>
      <c r="B8" t="s">
        <v>136</v>
      </c>
    </row>
    <row r="9" spans="1:6" x14ac:dyDescent="0.15">
      <c r="A9" s="35" t="s">
        <v>137</v>
      </c>
      <c r="B9" t="s">
        <v>138</v>
      </c>
    </row>
    <row r="10" spans="1:6" x14ac:dyDescent="0.15">
      <c r="A10" s="35" t="s">
        <v>139</v>
      </c>
      <c r="B10" t="s">
        <v>140</v>
      </c>
    </row>
    <row r="12" spans="1:6" x14ac:dyDescent="0.15">
      <c r="A12" s="35" t="s">
        <v>149</v>
      </c>
    </row>
    <row r="13" spans="1:6" x14ac:dyDescent="0.15">
      <c r="A13" s="35" t="s">
        <v>150</v>
      </c>
      <c r="B13" t="s">
        <v>151</v>
      </c>
      <c r="C13" t="s">
        <v>152</v>
      </c>
    </row>
    <row r="15" spans="1:6" x14ac:dyDescent="0.15">
      <c r="A15" s="35" t="s">
        <v>153</v>
      </c>
    </row>
    <row r="16" spans="1:6" x14ac:dyDescent="0.15">
      <c r="A16" s="35" t="s">
        <v>154</v>
      </c>
      <c r="B16" t="s">
        <v>155</v>
      </c>
    </row>
    <row r="17" spans="1:2" x14ac:dyDescent="0.15">
      <c r="A17" s="35" t="s">
        <v>156</v>
      </c>
      <c r="B17" t="s">
        <v>157</v>
      </c>
    </row>
    <row r="19" spans="1:2" x14ac:dyDescent="0.15">
      <c r="A19" s="35" t="s">
        <v>158</v>
      </c>
      <c r="B19" t="s">
        <v>159</v>
      </c>
    </row>
    <row r="20" spans="1:2" x14ac:dyDescent="0.15">
      <c r="A20" s="35" t="s">
        <v>160</v>
      </c>
      <c r="B20" t="s">
        <v>161</v>
      </c>
    </row>
    <row r="22" spans="1:2" x14ac:dyDescent="0.15">
      <c r="A22" s="35" t="s">
        <v>162</v>
      </c>
      <c r="B22" t="s">
        <v>163</v>
      </c>
    </row>
    <row r="23" spans="1:2" x14ac:dyDescent="0.15">
      <c r="A23" s="35" t="s">
        <v>164</v>
      </c>
      <c r="B23" t="s">
        <v>165</v>
      </c>
    </row>
    <row r="25" spans="1:2" x14ac:dyDescent="0.15">
      <c r="A25" s="35" t="s">
        <v>166</v>
      </c>
    </row>
    <row r="26" spans="1:2" x14ac:dyDescent="0.15">
      <c r="A26" s="35" t="s">
        <v>167</v>
      </c>
    </row>
    <row r="28" spans="1:2" x14ac:dyDescent="0.15">
      <c r="A28" s="35" t="s">
        <v>168</v>
      </c>
    </row>
    <row r="29" spans="1:2" x14ac:dyDescent="0.15">
      <c r="A29" s="35" t="s">
        <v>169</v>
      </c>
      <c r="B29" t="s">
        <v>174</v>
      </c>
    </row>
    <row r="30" spans="1:2" x14ac:dyDescent="0.15">
      <c r="A30" s="35" t="s">
        <v>170</v>
      </c>
      <c r="B30" t="s">
        <v>171</v>
      </c>
    </row>
    <row r="31" spans="1:2" x14ac:dyDescent="0.15">
      <c r="A31" s="35" t="s">
        <v>172</v>
      </c>
      <c r="B31" t="s">
        <v>175</v>
      </c>
    </row>
    <row r="33" spans="1:2" x14ac:dyDescent="0.15">
      <c r="A33" s="35" t="s">
        <v>173</v>
      </c>
      <c r="B33" t="s">
        <v>176</v>
      </c>
    </row>
    <row r="34" spans="1:2" x14ac:dyDescent="0.15">
      <c r="A34" s="35" t="s">
        <v>177</v>
      </c>
      <c r="B34" t="s">
        <v>178</v>
      </c>
    </row>
    <row r="36" spans="1:2" x14ac:dyDescent="0.15">
      <c r="A36" s="35" t="s">
        <v>179</v>
      </c>
      <c r="B36" t="s">
        <v>180</v>
      </c>
    </row>
    <row r="40" spans="1:2" s="37" customFormat="1" x14ac:dyDescent="0.15">
      <c r="A40" s="37" t="s">
        <v>181</v>
      </c>
    </row>
    <row r="41" spans="1:2" s="36" customFormat="1" x14ac:dyDescent="0.15">
      <c r="A41" s="36" t="s">
        <v>182</v>
      </c>
      <c r="B41" s="41">
        <v>1000</v>
      </c>
    </row>
    <row r="42" spans="1:2" s="36" customFormat="1" x14ac:dyDescent="0.15">
      <c r="A42" s="36" t="s">
        <v>183</v>
      </c>
      <c r="B42" s="40">
        <v>0.08</v>
      </c>
    </row>
    <row r="43" spans="1:2" s="36" customFormat="1" x14ac:dyDescent="0.15">
      <c r="A43" s="36" t="s">
        <v>184</v>
      </c>
      <c r="B43" s="43">
        <v>9.5000000000000001E-2</v>
      </c>
    </row>
    <row r="44" spans="1:2" s="36" customFormat="1" x14ac:dyDescent="0.15">
      <c r="A44" s="36" t="s">
        <v>185</v>
      </c>
      <c r="B44" s="36">
        <v>3</v>
      </c>
    </row>
    <row r="45" spans="1:2" s="36" customFormat="1" x14ac:dyDescent="0.15">
      <c r="A45" s="36" t="s">
        <v>186</v>
      </c>
      <c r="B45" s="36">
        <v>2</v>
      </c>
    </row>
    <row r="46" spans="1:2" s="36" customFormat="1" x14ac:dyDescent="0.15"/>
    <row r="47" spans="1:2" s="36" customFormat="1" x14ac:dyDescent="0.15">
      <c r="A47" s="36" t="s">
        <v>187</v>
      </c>
      <c r="B47" s="38">
        <f>PV(B43/B45,B44*B45,B41*B42/B45,B41,0)</f>
        <v>-961.62605560374254</v>
      </c>
    </row>
    <row r="48" spans="1:2" s="36" customFormat="1" x14ac:dyDescent="0.15"/>
    <row r="49" spans="1:5" s="44" customFormat="1" x14ac:dyDescent="0.15">
      <c r="A49" s="44" t="s">
        <v>190</v>
      </c>
    </row>
    <row r="50" spans="1:5" s="36" customFormat="1" x14ac:dyDescent="0.15">
      <c r="A50" s="38">
        <f>PV(B43/B45,B44*B45-1,B41*B42/B45,B41)</f>
        <v>-967.30329324492038</v>
      </c>
    </row>
    <row r="51" spans="1:5" s="44" customFormat="1" x14ac:dyDescent="0.15">
      <c r="A51" s="44" t="s">
        <v>191</v>
      </c>
    </row>
    <row r="52" spans="1:5" s="36" customFormat="1" x14ac:dyDescent="0.15">
      <c r="A52" s="36" t="s">
        <v>192</v>
      </c>
    </row>
    <row r="53" spans="1:5" s="36" customFormat="1" x14ac:dyDescent="0.15">
      <c r="A53" s="36">
        <f>B47*(1+B43/B45)</f>
        <v>-1007.3032932449204</v>
      </c>
    </row>
    <row r="54" spans="1:5" s="36" customFormat="1" x14ac:dyDescent="0.15">
      <c r="A54" s="36" t="s">
        <v>193</v>
      </c>
    </row>
    <row r="55" spans="1:5" s="36" customFormat="1" x14ac:dyDescent="0.15">
      <c r="A55" s="45">
        <f>ABS(A53)-B41*B42/B45</f>
        <v>967.30329324492038</v>
      </c>
    </row>
    <row r="56" spans="1:5" s="36" customFormat="1" x14ac:dyDescent="0.15"/>
    <row r="57" spans="1:5" s="36" customFormat="1" x14ac:dyDescent="0.15"/>
    <row r="58" spans="1:5" s="37" customFormat="1" x14ac:dyDescent="0.15">
      <c r="A58" s="37" t="s">
        <v>188</v>
      </c>
    </row>
    <row r="59" spans="1:5" s="36" customFormat="1" x14ac:dyDescent="0.15">
      <c r="A59" s="36" t="s">
        <v>189</v>
      </c>
    </row>
    <row r="60" spans="1:5" s="36" customFormat="1" x14ac:dyDescent="0.15">
      <c r="A60" s="36" t="s">
        <v>194</v>
      </c>
    </row>
    <row r="61" spans="1:5" s="36" customFormat="1" x14ac:dyDescent="0.15"/>
    <row r="62" spans="1:5" s="36" customFormat="1" x14ac:dyDescent="0.15">
      <c r="A62" s="36" t="s">
        <v>195</v>
      </c>
    </row>
    <row r="63" spans="1:5" s="36" customFormat="1" x14ac:dyDescent="0.15"/>
    <row r="64" spans="1:5" s="36" customFormat="1" x14ac:dyDescent="0.15">
      <c r="A64" s="36" t="s">
        <v>182</v>
      </c>
      <c r="B64" s="41">
        <v>1000</v>
      </c>
      <c r="D64" s="36" t="s">
        <v>182</v>
      </c>
      <c r="E64" s="41">
        <v>1000</v>
      </c>
    </row>
    <row r="65" spans="1:5" s="36" customFormat="1" x14ac:dyDescent="0.15">
      <c r="A65" s="36" t="s">
        <v>183</v>
      </c>
      <c r="B65" s="40">
        <v>0.08</v>
      </c>
      <c r="D65" s="36" t="s">
        <v>201</v>
      </c>
      <c r="E65" s="36">
        <v>100</v>
      </c>
    </row>
    <row r="66" spans="1:5" s="36" customFormat="1" x14ac:dyDescent="0.15">
      <c r="A66" s="36" t="s">
        <v>184</v>
      </c>
      <c r="B66" s="43">
        <v>9.5000000000000001E-2</v>
      </c>
      <c r="D66" s="36" t="s">
        <v>183</v>
      </c>
      <c r="E66" s="40">
        <v>0.08</v>
      </c>
    </row>
    <row r="67" spans="1:5" s="36" customFormat="1" x14ac:dyDescent="0.15">
      <c r="A67" s="36" t="s">
        <v>185</v>
      </c>
      <c r="B67" s="36">
        <v>3</v>
      </c>
      <c r="D67" s="36" t="s">
        <v>184</v>
      </c>
      <c r="E67" s="43">
        <v>9.5000000000000001E-2</v>
      </c>
    </row>
    <row r="68" spans="1:5" s="36" customFormat="1" x14ac:dyDescent="0.15">
      <c r="A68" s="36" t="s">
        <v>186</v>
      </c>
      <c r="B68" s="36">
        <v>2</v>
      </c>
      <c r="D68" s="36" t="s">
        <v>202</v>
      </c>
      <c r="E68" s="46">
        <v>41258</v>
      </c>
    </row>
    <row r="69" spans="1:5" s="36" customFormat="1" x14ac:dyDescent="0.15">
      <c r="D69" s="36" t="s">
        <v>203</v>
      </c>
      <c r="E69" s="46">
        <v>42262</v>
      </c>
    </row>
    <row r="70" spans="1:5" s="36" customFormat="1" x14ac:dyDescent="0.15">
      <c r="A70" s="36" t="s">
        <v>196</v>
      </c>
      <c r="B70" s="38">
        <f>PV(B66/B68,B67*B68,B64*B65/B68,B64,0)</f>
        <v>-961.62605560374254</v>
      </c>
      <c r="D70" s="36" t="s">
        <v>186</v>
      </c>
      <c r="E70" s="36">
        <v>2</v>
      </c>
    </row>
    <row r="71" spans="1:5" s="36" customFormat="1" x14ac:dyDescent="0.15">
      <c r="B71" s="38"/>
      <c r="D71" s="36" t="s">
        <v>204</v>
      </c>
      <c r="E71" s="36">
        <v>0</v>
      </c>
    </row>
    <row r="72" spans="1:5" s="36" customFormat="1" x14ac:dyDescent="0.15">
      <c r="A72" s="36" t="s">
        <v>197</v>
      </c>
      <c r="B72" s="36">
        <v>0.5</v>
      </c>
    </row>
    <row r="73" spans="1:5" s="36" customFormat="1" x14ac:dyDescent="0.15">
      <c r="A73" s="36" t="s">
        <v>198</v>
      </c>
      <c r="B73" s="36">
        <f>B70*(1+B66/B68)^B72</f>
        <v>-984.19972194660409</v>
      </c>
    </row>
    <row r="74" spans="1:5" s="36" customFormat="1" x14ac:dyDescent="0.15">
      <c r="A74" s="36" t="s">
        <v>199</v>
      </c>
      <c r="B74" s="41">
        <f>B64*B65/B68*B72</f>
        <v>20</v>
      </c>
    </row>
    <row r="75" spans="1:5" s="36" customFormat="1" x14ac:dyDescent="0.15">
      <c r="D75" s="36" t="s">
        <v>205</v>
      </c>
      <c r="E75" s="36">
        <f>PRICE(E68,E69,E66,E67,E65,E70,E71)</f>
        <v>96.419972194660374</v>
      </c>
    </row>
    <row r="76" spans="1:5" s="36" customFormat="1" x14ac:dyDescent="0.15">
      <c r="A76" s="36" t="s">
        <v>200</v>
      </c>
      <c r="B76" s="45">
        <f>ABS(B73)-B74</f>
        <v>964.19972194660409</v>
      </c>
      <c r="D76" s="36" t="s">
        <v>206</v>
      </c>
      <c r="E76" s="45">
        <f>E75/E65*E64</f>
        <v>964.19972194660374</v>
      </c>
    </row>
    <row r="77" spans="1:5" s="36" customFormat="1" x14ac:dyDescent="0.15"/>
    <row r="78" spans="1:5" s="36" customFormat="1" x14ac:dyDescent="0.15"/>
    <row r="79" spans="1:5" s="37" customFormat="1" x14ac:dyDescent="0.15">
      <c r="A79" s="37" t="s">
        <v>207</v>
      </c>
    </row>
    <row r="80" spans="1:5" s="36" customFormat="1" x14ac:dyDescent="0.15">
      <c r="A80" s="36" t="s">
        <v>208</v>
      </c>
      <c r="B80" s="41">
        <v>1000</v>
      </c>
    </row>
    <row r="81" spans="1:3" s="36" customFormat="1" x14ac:dyDescent="0.15">
      <c r="A81" s="36" t="s">
        <v>209</v>
      </c>
      <c r="B81" s="40">
        <v>0.08</v>
      </c>
    </row>
    <row r="82" spans="1:3" s="36" customFormat="1" x14ac:dyDescent="0.15">
      <c r="A82" s="36" t="s">
        <v>210</v>
      </c>
      <c r="B82" s="43">
        <v>9.5000000000000001E-2</v>
      </c>
    </row>
    <row r="83" spans="1:3" s="36" customFormat="1" x14ac:dyDescent="0.15">
      <c r="A83" s="36" t="s">
        <v>211</v>
      </c>
      <c r="B83" s="36">
        <v>3</v>
      </c>
    </row>
    <row r="84" spans="1:3" s="36" customFormat="1" x14ac:dyDescent="0.15">
      <c r="A84" s="36" t="s">
        <v>212</v>
      </c>
      <c r="B84" s="36">
        <v>1</v>
      </c>
    </row>
    <row r="85" spans="1:3" s="36" customFormat="1" x14ac:dyDescent="0.15">
      <c r="A85" s="36" t="s">
        <v>213</v>
      </c>
      <c r="B85" s="40">
        <v>0.03</v>
      </c>
    </row>
    <row r="86" spans="1:3" s="36" customFormat="1" x14ac:dyDescent="0.15">
      <c r="A86" s="36" t="s">
        <v>215</v>
      </c>
      <c r="B86" s="36">
        <v>2</v>
      </c>
    </row>
    <row r="87" spans="1:3" s="36" customFormat="1" x14ac:dyDescent="0.15"/>
    <row r="88" spans="1:3" s="36" customFormat="1" x14ac:dyDescent="0.15">
      <c r="A88" s="36" t="s">
        <v>214</v>
      </c>
      <c r="B88" s="38">
        <f>PV(B82/B86,B83*B86,B80*B81/B86,B80)</f>
        <v>-961.62605560374254</v>
      </c>
    </row>
    <row r="89" spans="1:3" s="36" customFormat="1" x14ac:dyDescent="0.15"/>
    <row r="90" spans="1:3" s="36" customFormat="1" x14ac:dyDescent="0.15">
      <c r="A90" s="36" t="s">
        <v>216</v>
      </c>
      <c r="B90" s="36">
        <f>B80*B81/B88</f>
        <v>-8.3192421351117818E-2</v>
      </c>
      <c r="C90" s="36" t="s">
        <v>217</v>
      </c>
    </row>
    <row r="91" spans="1:3" s="36" customFormat="1" x14ac:dyDescent="0.15">
      <c r="A91" s="36" t="s">
        <v>218</v>
      </c>
      <c r="B91" s="36">
        <f>RATE(B83*B86,B80*B81/B86,B88,B80)*B86</f>
        <v>9.5000000001371557E-2</v>
      </c>
    </row>
    <row r="92" spans="1:3" s="36" customFormat="1" x14ac:dyDescent="0.15">
      <c r="A92" s="36" t="s">
        <v>219</v>
      </c>
      <c r="B92" s="43">
        <f>RATE(B84*B86,B80*B81/B86,B88,B80*(1+B85))*B86</f>
        <v>0.15169686870762888</v>
      </c>
    </row>
    <row r="93" spans="1:3" s="36" customFormat="1" x14ac:dyDescent="0.15"/>
    <row r="95" spans="1:3" x14ac:dyDescent="0.15">
      <c r="A95" s="66" t="s">
        <v>220</v>
      </c>
      <c r="B95" s="66"/>
    </row>
    <row r="96" spans="1:3" s="47" customFormat="1" x14ac:dyDescent="0.15">
      <c r="A96" s="47" t="s">
        <v>221</v>
      </c>
      <c r="B96" s="47">
        <v>1000</v>
      </c>
    </row>
    <row r="97" spans="1:2" s="47" customFormat="1" x14ac:dyDescent="0.15">
      <c r="A97" s="47" t="s">
        <v>222</v>
      </c>
      <c r="B97" s="47">
        <v>100</v>
      </c>
    </row>
    <row r="98" spans="1:2" s="47" customFormat="1" x14ac:dyDescent="0.15">
      <c r="A98" s="47" t="s">
        <v>223</v>
      </c>
      <c r="B98" s="48">
        <v>0.08</v>
      </c>
    </row>
    <row r="99" spans="1:2" s="47" customFormat="1" x14ac:dyDescent="0.15">
      <c r="A99" s="47" t="s">
        <v>224</v>
      </c>
      <c r="B99" s="49">
        <v>9.5000000000000001E-2</v>
      </c>
    </row>
    <row r="100" spans="1:2" s="47" customFormat="1" x14ac:dyDescent="0.15">
      <c r="A100" s="47" t="s">
        <v>225</v>
      </c>
      <c r="B100" s="50">
        <v>39340</v>
      </c>
    </row>
    <row r="101" spans="1:2" s="47" customFormat="1" x14ac:dyDescent="0.15">
      <c r="A101" s="47" t="s">
        <v>226</v>
      </c>
      <c r="B101" s="50">
        <v>40436</v>
      </c>
    </row>
    <row r="102" spans="1:2" s="47" customFormat="1" x14ac:dyDescent="0.15">
      <c r="A102" s="47" t="s">
        <v>227</v>
      </c>
      <c r="B102" s="50">
        <v>39706</v>
      </c>
    </row>
    <row r="103" spans="1:2" s="47" customFormat="1" x14ac:dyDescent="0.15">
      <c r="A103" s="47" t="s">
        <v>228</v>
      </c>
      <c r="B103" s="48">
        <v>0.03</v>
      </c>
    </row>
    <row r="104" spans="1:2" s="47" customFormat="1" x14ac:dyDescent="0.15">
      <c r="A104" s="47" t="s">
        <v>229</v>
      </c>
      <c r="B104" s="51">
        <v>2</v>
      </c>
    </row>
    <row r="105" spans="1:2" s="47" customFormat="1" x14ac:dyDescent="0.15">
      <c r="A105" s="47" t="s">
        <v>230</v>
      </c>
      <c r="B105" s="51">
        <v>0</v>
      </c>
    </row>
    <row r="106" spans="1:2" s="47" customFormat="1" x14ac:dyDescent="0.15"/>
    <row r="107" spans="1:2" s="47" customFormat="1" x14ac:dyDescent="0.15">
      <c r="A107" s="47" t="s">
        <v>231</v>
      </c>
      <c r="B107" s="47">
        <f>PRICE(B100,B101,B98,B99,B97,B104,B105)</f>
        <v>96.162605560374203</v>
      </c>
    </row>
    <row r="108" spans="1:2" s="47" customFormat="1" x14ac:dyDescent="0.15">
      <c r="A108" s="47" t="s">
        <v>232</v>
      </c>
      <c r="B108" s="47">
        <f>B107/100*B96</f>
        <v>961.62605560374209</v>
      </c>
    </row>
    <row r="109" spans="1:2" s="47" customFormat="1" x14ac:dyDescent="0.15"/>
    <row r="110" spans="1:2" s="47" customFormat="1" ht="14.25" thickBot="1" x14ac:dyDescent="0.2">
      <c r="A110" s="65" t="s">
        <v>233</v>
      </c>
      <c r="B110" s="65"/>
    </row>
    <row r="111" spans="1:2" s="47" customFormat="1" x14ac:dyDescent="0.15">
      <c r="A111" s="47" t="s">
        <v>234</v>
      </c>
      <c r="B111" s="47">
        <f>B96*B98/B108</f>
        <v>8.319242135111786E-2</v>
      </c>
    </row>
    <row r="112" spans="1:2" s="47" customFormat="1" x14ac:dyDescent="0.15">
      <c r="A112" s="47" t="s">
        <v>235</v>
      </c>
      <c r="B112" s="49">
        <f>B99</f>
        <v>9.5000000000000001E-2</v>
      </c>
    </row>
    <row r="113" spans="1:3" s="47" customFormat="1" x14ac:dyDescent="0.15">
      <c r="A113" s="47" t="s">
        <v>219</v>
      </c>
      <c r="B113" s="52">
        <f>YIELD(B100,B102,B98,B107,B97*(1+B103),B104,B105)</f>
        <v>0.15169686870758134</v>
      </c>
      <c r="C113" s="47" t="s">
        <v>236</v>
      </c>
    </row>
  </sheetData>
  <mergeCells count="2">
    <mergeCell ref="A110:B110"/>
    <mergeCell ref="A95:B95"/>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42"/>
  <sheetViews>
    <sheetView topLeftCell="A32" workbookViewId="0">
      <selection activeCell="A46" sqref="A46"/>
    </sheetView>
  </sheetViews>
  <sheetFormatPr defaultRowHeight="13.5" x14ac:dyDescent="0.15"/>
  <cols>
    <col min="1" max="1" width="21" customWidth="1"/>
    <col min="4" max="4" width="14.75" customWidth="1"/>
  </cols>
  <sheetData>
    <row r="1" spans="1:3" s="35" customFormat="1" x14ac:dyDescent="0.15">
      <c r="A1" s="35" t="s">
        <v>259</v>
      </c>
    </row>
    <row r="3" spans="1:3" x14ac:dyDescent="0.15">
      <c r="A3" t="s">
        <v>260</v>
      </c>
      <c r="B3">
        <f>ROUND(1.36,1)</f>
        <v>1.4</v>
      </c>
      <c r="C3" t="s">
        <v>271</v>
      </c>
    </row>
    <row r="4" spans="1:3" x14ac:dyDescent="0.15">
      <c r="A4" t="s">
        <v>261</v>
      </c>
      <c r="B4">
        <f>ROUND(-1.36,1)</f>
        <v>-1.4</v>
      </c>
    </row>
    <row r="6" spans="1:3" x14ac:dyDescent="0.15">
      <c r="A6" t="s">
        <v>262</v>
      </c>
      <c r="B6">
        <f>ROUNDUP(1.34,1)</f>
        <v>1.4000000000000001</v>
      </c>
      <c r="C6" t="s">
        <v>270</v>
      </c>
    </row>
    <row r="7" spans="1:3" x14ac:dyDescent="0.15">
      <c r="A7" t="s">
        <v>263</v>
      </c>
      <c r="B7">
        <f>ROUNDUP(-1.34,1)</f>
        <v>-1.4000000000000001</v>
      </c>
    </row>
    <row r="9" spans="1:3" x14ac:dyDescent="0.15">
      <c r="A9" t="s">
        <v>264</v>
      </c>
      <c r="B9">
        <f>ROUNDDOWN(1.38,1)</f>
        <v>1.3</v>
      </c>
      <c r="C9" t="s">
        <v>269</v>
      </c>
    </row>
    <row r="10" spans="1:3" x14ac:dyDescent="0.15">
      <c r="A10" t="s">
        <v>265</v>
      </c>
      <c r="B10">
        <f>ROUNDDOWN(-1.38,1)</f>
        <v>-1.3</v>
      </c>
    </row>
    <row r="12" spans="1:3" x14ac:dyDescent="0.15">
      <c r="A12" t="s">
        <v>266</v>
      </c>
      <c r="B12">
        <f>ODD(1.4)</f>
        <v>3</v>
      </c>
      <c r="C12" t="s">
        <v>267</v>
      </c>
    </row>
    <row r="13" spans="1:3" x14ac:dyDescent="0.15">
      <c r="A13" t="s">
        <v>268</v>
      </c>
      <c r="B13">
        <f>ODD(-1.4)</f>
        <v>-3</v>
      </c>
    </row>
    <row r="15" spans="1:3" x14ac:dyDescent="0.15">
      <c r="A15" t="s">
        <v>272</v>
      </c>
      <c r="B15">
        <f>EVEN(2.1)</f>
        <v>4</v>
      </c>
      <c r="C15" t="s">
        <v>273</v>
      </c>
    </row>
    <row r="16" spans="1:3" x14ac:dyDescent="0.15">
      <c r="A16" t="s">
        <v>274</v>
      </c>
      <c r="B16">
        <f>EVEN(-2.1)</f>
        <v>-4</v>
      </c>
    </row>
    <row r="18" spans="1:3" x14ac:dyDescent="0.15">
      <c r="A18" t="s">
        <v>276</v>
      </c>
      <c r="B18">
        <f>CEILING(3.41, 0.05)</f>
        <v>3.45</v>
      </c>
      <c r="C18" t="s">
        <v>275</v>
      </c>
    </row>
    <row r="19" spans="1:3" x14ac:dyDescent="0.15">
      <c r="A19" t="s">
        <v>277</v>
      </c>
      <c r="B19">
        <f>CEILING(2.4,2)</f>
        <v>4</v>
      </c>
    </row>
    <row r="20" spans="1:3" x14ac:dyDescent="0.15">
      <c r="A20" t="s">
        <v>278</v>
      </c>
      <c r="B20">
        <f>CEILING(-2.4, -2)</f>
        <v>-4</v>
      </c>
    </row>
    <row r="21" spans="1:3" x14ac:dyDescent="0.15">
      <c r="A21" t="s">
        <v>279</v>
      </c>
      <c r="B21">
        <f>CEILING(-2.4,2)</f>
        <v>-2</v>
      </c>
    </row>
    <row r="23" spans="1:3" x14ac:dyDescent="0.15">
      <c r="A23" t="s">
        <v>281</v>
      </c>
      <c r="B23">
        <f>FLOOR(2.6,2)</f>
        <v>2</v>
      </c>
      <c r="C23" t="s">
        <v>280</v>
      </c>
    </row>
    <row r="24" spans="1:3" x14ac:dyDescent="0.15">
      <c r="A24" t="s">
        <v>282</v>
      </c>
      <c r="B24">
        <f>FLOOR(-2.6,-2)</f>
        <v>-2</v>
      </c>
    </row>
    <row r="25" spans="1:3" x14ac:dyDescent="0.15">
      <c r="A25" t="s">
        <v>283</v>
      </c>
      <c r="B25">
        <f>FLOOR(-2.6,2)</f>
        <v>-4</v>
      </c>
    </row>
    <row r="27" spans="1:3" x14ac:dyDescent="0.15">
      <c r="A27" t="s">
        <v>284</v>
      </c>
      <c r="B27">
        <f>INT(7.6)</f>
        <v>7</v>
      </c>
      <c r="C27" t="s">
        <v>285</v>
      </c>
    </row>
    <row r="28" spans="1:3" x14ac:dyDescent="0.15">
      <c r="A28" t="s">
        <v>286</v>
      </c>
      <c r="B28">
        <f>INT(-7.4)</f>
        <v>-8</v>
      </c>
    </row>
    <row r="30" spans="1:3" x14ac:dyDescent="0.15">
      <c r="A30" t="s">
        <v>287</v>
      </c>
      <c r="B30">
        <f>TRUNC(7.7)</f>
        <v>7</v>
      </c>
    </row>
    <row r="31" spans="1:3" x14ac:dyDescent="0.15">
      <c r="A31" t="s">
        <v>288</v>
      </c>
      <c r="B31">
        <f>TRUNC(-7.7)</f>
        <v>-7</v>
      </c>
    </row>
    <row r="32" spans="1:3" x14ac:dyDescent="0.15">
      <c r="A32" t="s">
        <v>289</v>
      </c>
      <c r="B32">
        <f>TRUNC(7.77,1)</f>
        <v>7.7</v>
      </c>
    </row>
    <row r="33" spans="1:4" x14ac:dyDescent="0.15">
      <c r="A33" t="s">
        <v>290</v>
      </c>
      <c r="B33">
        <f>TRUNC(-7.77,1)</f>
        <v>-7.7</v>
      </c>
    </row>
    <row r="38" spans="1:4" x14ac:dyDescent="0.15">
      <c r="A38" t="s">
        <v>291</v>
      </c>
      <c r="B38" t="s">
        <v>292</v>
      </c>
    </row>
    <row r="39" spans="1:4" x14ac:dyDescent="0.15">
      <c r="A39" t="s">
        <v>293</v>
      </c>
      <c r="B39">
        <f>MOD(7,4)</f>
        <v>3</v>
      </c>
      <c r="D39" t="s">
        <v>297</v>
      </c>
    </row>
    <row r="40" spans="1:4" x14ac:dyDescent="0.15">
      <c r="A40" t="s">
        <v>294</v>
      </c>
      <c r="B40">
        <f>MOD(7,-4)</f>
        <v>-1</v>
      </c>
      <c r="D40" t="s">
        <v>298</v>
      </c>
    </row>
    <row r="41" spans="1:4" x14ac:dyDescent="0.15">
      <c r="A41" t="s">
        <v>295</v>
      </c>
      <c r="B41">
        <f>MOD(-7,4)</f>
        <v>1</v>
      </c>
      <c r="D41" s="57" t="s">
        <v>299</v>
      </c>
    </row>
    <row r="42" spans="1:4" x14ac:dyDescent="0.15">
      <c r="A42" t="s">
        <v>296</v>
      </c>
      <c r="B42">
        <f>MOD(-7,-4)</f>
        <v>-3</v>
      </c>
      <c r="D42" s="57" t="s">
        <v>300</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0"/>
  <sheetViews>
    <sheetView topLeftCell="A9" workbookViewId="0">
      <selection activeCell="A22" sqref="A22"/>
    </sheetView>
  </sheetViews>
  <sheetFormatPr defaultRowHeight="13.5" x14ac:dyDescent="0.15"/>
  <cols>
    <col min="1" max="1" width="19.125" customWidth="1"/>
    <col min="2" max="2" width="20.875" customWidth="1"/>
    <col min="3" max="3" width="18.875" customWidth="1"/>
  </cols>
  <sheetData>
    <row r="1" spans="1:3" s="35" customFormat="1" x14ac:dyDescent="0.15">
      <c r="A1" s="35" t="s">
        <v>301</v>
      </c>
    </row>
    <row r="3" spans="1:3" x14ac:dyDescent="0.15">
      <c r="A3" s="58" t="s">
        <v>302</v>
      </c>
      <c r="B3" s="58" t="s">
        <v>303</v>
      </c>
      <c r="C3" s="58" t="s">
        <v>304</v>
      </c>
    </row>
    <row r="4" spans="1:3" x14ac:dyDescent="0.15">
      <c r="A4" s="60">
        <v>0</v>
      </c>
      <c r="B4" s="27">
        <v>0.15</v>
      </c>
      <c r="C4" s="60">
        <v>0</v>
      </c>
    </row>
    <row r="5" spans="1:3" x14ac:dyDescent="0.15">
      <c r="A5" s="60">
        <v>26000</v>
      </c>
      <c r="B5" s="27">
        <v>0.28000000000000003</v>
      </c>
      <c r="C5" s="60">
        <f>(A5-A4)*B4+C4</f>
        <v>3900</v>
      </c>
    </row>
    <row r="6" spans="1:3" x14ac:dyDescent="0.15">
      <c r="A6" s="60">
        <v>63000</v>
      </c>
      <c r="B6" s="27">
        <v>0.31</v>
      </c>
      <c r="C6" s="60">
        <f>(A6-A5)*B5+C5</f>
        <v>14260.000000000002</v>
      </c>
    </row>
    <row r="7" spans="1:3" x14ac:dyDescent="0.15">
      <c r="A7" s="60">
        <v>132000</v>
      </c>
      <c r="B7" s="27">
        <v>0.36</v>
      </c>
      <c r="C7" s="60">
        <f t="shared" ref="C7:C8" si="0">(A7-A6)*B6+C6</f>
        <v>35650</v>
      </c>
    </row>
    <row r="8" spans="1:3" x14ac:dyDescent="0.15">
      <c r="A8" s="61">
        <v>290000</v>
      </c>
      <c r="B8" s="59">
        <v>0.4</v>
      </c>
      <c r="C8" s="61">
        <f t="shared" si="0"/>
        <v>92530</v>
      </c>
    </row>
    <row r="11" spans="1:3" x14ac:dyDescent="0.15">
      <c r="A11" t="s">
        <v>305</v>
      </c>
      <c r="C11">
        <f>LOOKUP(29000,A4:A8,B4:B8)</f>
        <v>0.28000000000000003</v>
      </c>
    </row>
    <row r="12" spans="1:3" x14ac:dyDescent="0.15">
      <c r="A12" t="s">
        <v>306</v>
      </c>
      <c r="C12">
        <f>LOOKUP(26000,A4:A8,B4:B8)</f>
        <v>0.28000000000000003</v>
      </c>
    </row>
    <row r="13" spans="1:3" x14ac:dyDescent="0.15">
      <c r="A13" t="s">
        <v>307</v>
      </c>
      <c r="C13">
        <f>LOOKUP(300000,A4:A8,B4:B8)</f>
        <v>0.4</v>
      </c>
    </row>
    <row r="15" spans="1:3" x14ac:dyDescent="0.15">
      <c r="A15" t="s">
        <v>308</v>
      </c>
      <c r="C15">
        <f>VLOOKUP(140000,A4:C8,3)</f>
        <v>35650</v>
      </c>
    </row>
    <row r="16" spans="1:3" x14ac:dyDescent="0.15">
      <c r="A16" t="s">
        <v>309</v>
      </c>
      <c r="C16" t="e">
        <f>VLOOKUP(14000,A4:C8,3,FALSE)</f>
        <v>#N/A</v>
      </c>
    </row>
    <row r="18" spans="1:3" x14ac:dyDescent="0.15">
      <c r="A18" t="s">
        <v>310</v>
      </c>
      <c r="C18">
        <f>MATCH(64000,A4:A8,1)</f>
        <v>3</v>
      </c>
    </row>
    <row r="19" spans="1:3" x14ac:dyDescent="0.15">
      <c r="A19" t="s">
        <v>311</v>
      </c>
      <c r="C19">
        <f>MATCH(63000,A4:A8,1)</f>
        <v>3</v>
      </c>
    </row>
    <row r="20" spans="1:3" x14ac:dyDescent="0.15">
      <c r="A20" t="s">
        <v>312</v>
      </c>
      <c r="C20" t="e">
        <f>MATCH(64000,A4:A8,-1)</f>
        <v>#N/A</v>
      </c>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
  <sheetViews>
    <sheetView tabSelected="1" workbookViewId="0">
      <selection activeCell="A2" sqref="A2"/>
    </sheetView>
  </sheetViews>
  <sheetFormatPr defaultRowHeight="13.5" x14ac:dyDescent="0.15"/>
  <cols>
    <col min="1" max="1" width="11.625" bestFit="1" customWidth="1"/>
    <col min="2" max="2" width="18.375" bestFit="1" customWidth="1"/>
  </cols>
  <sheetData>
    <row r="1" spans="1:2" x14ac:dyDescent="0.15">
      <c r="A1" s="67"/>
    </row>
    <row r="3" spans="1:2" x14ac:dyDescent="0.15">
      <c r="B3" s="68"/>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命名范围</vt:lpstr>
      </vt:variant>
      <vt:variant>
        <vt:i4>6</vt:i4>
      </vt:variant>
    </vt:vector>
  </HeadingPairs>
  <TitlesOfParts>
    <vt:vector size="16" baseType="lpstr">
      <vt:lpstr>方案摘要</vt:lpstr>
      <vt:lpstr>模拟运算表</vt:lpstr>
      <vt:lpstr>CircularReferencing</vt:lpstr>
      <vt:lpstr>CustomFormat</vt:lpstr>
      <vt:lpstr>arrayFormula</vt:lpstr>
      <vt:lpstr>AnuityFuncions</vt:lpstr>
      <vt:lpstr>FinancialFunction</vt:lpstr>
      <vt:lpstr>SomeMathFunc</vt:lpstr>
      <vt:lpstr>Lookup&amp;Feference</vt:lpstr>
      <vt:lpstr>Sheet1</vt:lpstr>
      <vt:lpstr>ATIncome</vt:lpstr>
      <vt:lpstr>qty</vt:lpstr>
      <vt:lpstr>Revenue</vt:lpstr>
      <vt:lpstr>Sales</vt:lpstr>
      <vt:lpstr>SPrice</vt:lpstr>
      <vt:lpstr>stkPrice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ThinkPad</dc:creator>
  <cp:lastModifiedBy>ThinkPad</cp:lastModifiedBy>
  <cp:lastPrinted>2013-11-06T12:33:48Z</cp:lastPrinted>
  <dcterms:created xsi:type="dcterms:W3CDTF">2013-11-06T03:53:52Z</dcterms:created>
  <dcterms:modified xsi:type="dcterms:W3CDTF">2013-11-10T12:58:26Z</dcterms:modified>
</cp:coreProperties>
</file>