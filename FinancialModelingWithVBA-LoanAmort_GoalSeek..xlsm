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inkPad\Dropbox\workspace\office15\"/>
    </mc:Choice>
  </mc:AlternateContent>
  <bookViews>
    <workbookView xWindow="0" yWindow="0" windowWidth="15345" windowHeight="6045"/>
  </bookViews>
  <sheets>
    <sheet name="Loan Amort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11" i="1"/>
  <c r="C12" i="1" s="1"/>
  <c r="E10" i="1"/>
  <c r="E11" i="1" s="1"/>
  <c r="E12" i="1" s="1"/>
  <c r="C10" i="1"/>
  <c r="F9" i="1"/>
  <c r="G9" i="1" s="1"/>
  <c r="H9" i="1" s="1"/>
  <c r="D10" i="1" s="1"/>
  <c r="E8" i="1"/>
  <c r="D8" i="1"/>
  <c r="F8" i="1" s="1"/>
  <c r="G8" i="1" s="1"/>
  <c r="C8" i="1"/>
  <c r="F10" i="1" l="1"/>
  <c r="G10" i="1" s="1"/>
  <c r="H10" i="1" s="1"/>
  <c r="D11" i="1" s="1"/>
  <c r="E13" i="1"/>
  <c r="H8" i="1"/>
  <c r="F11" i="1" l="1"/>
  <c r="G11" i="1" s="1"/>
  <c r="H11" i="1" s="1"/>
  <c r="D12" i="1" s="1"/>
  <c r="F12" i="1" s="1"/>
  <c r="G12" i="1" s="1"/>
  <c r="H12" i="1" s="1"/>
  <c r="D13" i="1" s="1"/>
  <c r="E14" i="1"/>
  <c r="F13" i="1" l="1"/>
  <c r="G13" i="1" s="1"/>
  <c r="H13" i="1" s="1"/>
  <c r="D14" i="1" s="1"/>
  <c r="E15" i="1"/>
  <c r="F14" i="1" l="1"/>
  <c r="G14" i="1" s="1"/>
  <c r="H14" i="1" s="1"/>
  <c r="D15" i="1" s="1"/>
  <c r="E16" i="1"/>
  <c r="F15" i="1" l="1"/>
  <c r="G15" i="1" s="1"/>
  <c r="H15" i="1" s="1"/>
  <c r="D16" i="1" s="1"/>
  <c r="E17" i="1"/>
  <c r="F16" i="1" l="1"/>
  <c r="G16" i="1" s="1"/>
  <c r="H16" i="1" s="1"/>
  <c r="D17" i="1" s="1"/>
  <c r="E18" i="1"/>
  <c r="F17" i="1" l="1"/>
  <c r="G17" i="1" s="1"/>
  <c r="H17" i="1" s="1"/>
  <c r="D18" i="1" s="1"/>
  <c r="E19" i="1"/>
  <c r="E20" i="1" l="1"/>
  <c r="F18" i="1"/>
  <c r="G18" i="1" s="1"/>
  <c r="H18" i="1" s="1"/>
  <c r="D19" i="1" s="1"/>
  <c r="F19" i="1" l="1"/>
  <c r="G19" i="1" s="1"/>
  <c r="H19" i="1" s="1"/>
  <c r="D20" i="1" s="1"/>
  <c r="E21" i="1"/>
  <c r="E22" i="1" l="1"/>
  <c r="F20" i="1"/>
  <c r="G20" i="1" s="1"/>
  <c r="H20" i="1" s="1"/>
  <c r="D21" i="1" s="1"/>
  <c r="F21" i="1" l="1"/>
  <c r="G21" i="1" s="1"/>
  <c r="H21" i="1" s="1"/>
  <c r="D22" i="1" s="1"/>
  <c r="E23" i="1"/>
  <c r="E24" i="1" l="1"/>
  <c r="F22" i="1"/>
  <c r="G22" i="1" s="1"/>
  <c r="H22" i="1" s="1"/>
  <c r="D23" i="1" s="1"/>
  <c r="F23" i="1" l="1"/>
  <c r="G23" i="1" s="1"/>
  <c r="H23" i="1" s="1"/>
  <c r="D24" i="1" s="1"/>
  <c r="E25" i="1"/>
  <c r="F24" i="1" l="1"/>
  <c r="G24" i="1" s="1"/>
  <c r="H24" i="1" s="1"/>
  <c r="D25" i="1" s="1"/>
  <c r="E26" i="1"/>
  <c r="F25" i="1" l="1"/>
  <c r="G25" i="1" s="1"/>
  <c r="H25" i="1" s="1"/>
  <c r="D26" i="1" s="1"/>
  <c r="E27" i="1"/>
  <c r="F26" i="1" l="1"/>
  <c r="G26" i="1" s="1"/>
  <c r="H26" i="1" s="1"/>
  <c r="D27" i="1" s="1"/>
  <c r="E28" i="1"/>
  <c r="F27" i="1" l="1"/>
  <c r="G27" i="1" s="1"/>
  <c r="H27" i="1" s="1"/>
  <c r="D28" i="1" s="1"/>
  <c r="F28" i="1" l="1"/>
  <c r="G28" i="1" s="1"/>
  <c r="H28" i="1" s="1"/>
</calcChain>
</file>

<file path=xl/sharedStrings.xml><?xml version="1.0" encoding="utf-8"?>
<sst xmlns="http://schemas.openxmlformats.org/spreadsheetml/2006/main" count="4" uniqueCount="4">
  <si>
    <t>input data</t>
    <phoneticPr fontId="1" type="noConversion"/>
  </si>
  <si>
    <t>interest rate (% per year)</t>
    <phoneticPr fontId="1" type="noConversion"/>
  </si>
  <si>
    <t>loan life (years)</t>
    <phoneticPr fontId="1" type="noConversion"/>
  </si>
  <si>
    <t>initial loan balancee ($)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</si>
</sst>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¥&quot;#,##0.00"/>
  </numFmts>
  <fonts count="2" x14ac:knownFonts="1">
    <font>
      <sz val="11"/>
      <color theme="1"/>
      <name val="Consolas"/>
      <family val="2"/>
      <charset val="134"/>
    </font>
    <font>
      <sz val="9"/>
      <name val="Consolas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9" fontId="0" fillId="0" borderId="0" xfId="0" applyNumberFormat="1">
      <alignment vertical="center"/>
    </xf>
    <xf numFmtId="3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8"/>
  <sheetViews>
    <sheetView tabSelected="1" topLeftCell="A2" workbookViewId="0">
      <selection activeCell="B3" sqref="B3"/>
    </sheetView>
  </sheetViews>
  <sheetFormatPr defaultRowHeight="15" x14ac:dyDescent="0.25"/>
  <cols>
    <col min="1" max="1" width="26.75" customWidth="1"/>
    <col min="2" max="2" width="14.75" customWidth="1"/>
    <col min="4" max="5" width="12.75" bestFit="1" customWidth="1"/>
    <col min="6" max="8" width="11.625" bestFit="1" customWidth="1"/>
  </cols>
  <sheetData>
    <row r="1" spans="1:8" x14ac:dyDescent="0.25">
      <c r="A1" t="s">
        <v>0</v>
      </c>
    </row>
    <row r="2" spans="1:8" x14ac:dyDescent="0.25">
      <c r="A2" t="s">
        <v>1</v>
      </c>
      <c r="B2" s="1">
        <v>0.15</v>
      </c>
    </row>
    <row r="3" spans="1:8" x14ac:dyDescent="0.25">
      <c r="A3" t="s">
        <v>2</v>
      </c>
      <c r="B3">
        <v>20</v>
      </c>
    </row>
    <row r="4" spans="1:8" x14ac:dyDescent="0.25">
      <c r="A4" t="s">
        <v>3</v>
      </c>
      <c r="B4" s="2">
        <v>100000</v>
      </c>
    </row>
    <row r="8" spans="1:8" x14ac:dyDescent="0.25">
      <c r="C8">
        <f t="shared" ref="C8:C11" si="0">C7+1</f>
        <v>1</v>
      </c>
      <c r="D8">
        <f t="shared" ref="D8:D11" si="1">H7</f>
        <v>0</v>
      </c>
      <c r="E8">
        <f t="shared" ref="E8:E11" si="2">E7</f>
        <v>0</v>
      </c>
      <c r="F8">
        <f t="shared" ref="F8:F11" si="3">D8*$B$2</f>
        <v>0</v>
      </c>
      <c r="G8">
        <f t="shared" ref="G8:G9" si="4">E8-F8</f>
        <v>0</v>
      </c>
      <c r="H8">
        <f t="shared" ref="H8:H9" si="5">D8-G8</f>
        <v>0</v>
      </c>
    </row>
    <row r="9" spans="1:8" x14ac:dyDescent="0.25">
      <c r="C9">
        <v>1</v>
      </c>
      <c r="D9" s="3">
        <v>100000</v>
      </c>
      <c r="E9" s="3">
        <v>15976.147040574384</v>
      </c>
      <c r="F9" s="3">
        <f>D9*$B$2</f>
        <v>15000</v>
      </c>
      <c r="G9" s="3">
        <f>E9-F9</f>
        <v>976.14704057438394</v>
      </c>
      <c r="H9" s="3">
        <f>D9-G9</f>
        <v>99023.852959425611</v>
      </c>
    </row>
    <row r="10" spans="1:8" x14ac:dyDescent="0.25">
      <c r="C10">
        <f>C9+1</f>
        <v>2</v>
      </c>
      <c r="D10" s="3">
        <f>H9</f>
        <v>99023.852959425611</v>
      </c>
      <c r="E10" s="3">
        <f>E9</f>
        <v>15976.147040574384</v>
      </c>
      <c r="F10" s="3">
        <f>D10*$B$2</f>
        <v>14853.57794391384</v>
      </c>
      <c r="G10" s="3">
        <f>E10-F10</f>
        <v>1122.5690966605434</v>
      </c>
      <c r="H10" s="3">
        <f>D10-G10</f>
        <v>97901.283862765064</v>
      </c>
    </row>
    <row r="11" spans="1:8" x14ac:dyDescent="0.25">
      <c r="C11">
        <f t="shared" ref="C11:C28" si="6">C10+1</f>
        <v>3</v>
      </c>
      <c r="D11" s="3">
        <f t="shared" ref="D11:D28" si="7">H10</f>
        <v>97901.283862765064</v>
      </c>
      <c r="E11" s="3">
        <f t="shared" ref="E11:E28" si="8">E10</f>
        <v>15976.147040574384</v>
      </c>
      <c r="F11" s="3">
        <f t="shared" ref="F11:F28" si="9">D11*$B$2</f>
        <v>14685.192579414759</v>
      </c>
      <c r="G11" s="3">
        <f t="shared" ref="G11:G28" si="10">E11-F11</f>
        <v>1290.9544611596248</v>
      </c>
      <c r="H11" s="3">
        <f t="shared" ref="H11:H28" si="11">D11-G11</f>
        <v>96610.329401605442</v>
      </c>
    </row>
    <row r="12" spans="1:8" x14ac:dyDescent="0.25">
      <c r="C12">
        <f t="shared" si="6"/>
        <v>4</v>
      </c>
      <c r="D12" s="3">
        <f t="shared" si="7"/>
        <v>96610.329401605442</v>
      </c>
      <c r="E12" s="3">
        <f t="shared" si="8"/>
        <v>15976.147040574384</v>
      </c>
      <c r="F12" s="3">
        <f t="shared" si="9"/>
        <v>14491.549410240816</v>
      </c>
      <c r="G12" s="3">
        <f t="shared" si="10"/>
        <v>1484.5976303335683</v>
      </c>
      <c r="H12" s="3">
        <f t="shared" si="11"/>
        <v>95125.73177127188</v>
      </c>
    </row>
    <row r="13" spans="1:8" x14ac:dyDescent="0.25">
      <c r="C13">
        <f t="shared" si="6"/>
        <v>5</v>
      </c>
      <c r="D13" s="3">
        <f t="shared" si="7"/>
        <v>95125.73177127188</v>
      </c>
      <c r="E13" s="3">
        <f t="shared" si="8"/>
        <v>15976.147040574384</v>
      </c>
      <c r="F13" s="3">
        <f t="shared" si="9"/>
        <v>14268.859765690782</v>
      </c>
      <c r="G13" s="3">
        <f t="shared" si="10"/>
        <v>1707.2872748836016</v>
      </c>
      <c r="H13" s="3">
        <f t="shared" si="11"/>
        <v>93418.444496388285</v>
      </c>
    </row>
    <row r="14" spans="1:8" x14ac:dyDescent="0.25">
      <c r="C14">
        <f t="shared" si="6"/>
        <v>6</v>
      </c>
      <c r="D14" s="3">
        <f t="shared" si="7"/>
        <v>93418.444496388285</v>
      </c>
      <c r="E14" s="3">
        <f t="shared" si="8"/>
        <v>15976.147040574384</v>
      </c>
      <c r="F14" s="3">
        <f t="shared" si="9"/>
        <v>14012.766674458242</v>
      </c>
      <c r="G14" s="3">
        <f t="shared" si="10"/>
        <v>1963.3803661161419</v>
      </c>
      <c r="H14" s="3">
        <f t="shared" si="11"/>
        <v>91455.064130272149</v>
      </c>
    </row>
    <row r="15" spans="1:8" x14ac:dyDescent="0.25">
      <c r="C15">
        <f t="shared" si="6"/>
        <v>7</v>
      </c>
      <c r="D15" s="3">
        <f t="shared" si="7"/>
        <v>91455.064130272149</v>
      </c>
      <c r="E15" s="3">
        <f t="shared" si="8"/>
        <v>15976.147040574384</v>
      </c>
      <c r="F15" s="3">
        <f t="shared" si="9"/>
        <v>13718.259619540822</v>
      </c>
      <c r="G15" s="3">
        <f t="shared" si="10"/>
        <v>2257.8874210335616</v>
      </c>
      <c r="H15" s="3">
        <f t="shared" si="11"/>
        <v>89197.176709238585</v>
      </c>
    </row>
    <row r="16" spans="1:8" x14ac:dyDescent="0.25">
      <c r="C16">
        <f t="shared" si="6"/>
        <v>8</v>
      </c>
      <c r="D16" s="3">
        <f t="shared" si="7"/>
        <v>89197.176709238585</v>
      </c>
      <c r="E16" s="3">
        <f t="shared" si="8"/>
        <v>15976.147040574384</v>
      </c>
      <c r="F16" s="3">
        <f t="shared" si="9"/>
        <v>13379.576506385787</v>
      </c>
      <c r="G16" s="3">
        <f t="shared" si="10"/>
        <v>2596.5705341885969</v>
      </c>
      <c r="H16" s="3">
        <f t="shared" si="11"/>
        <v>86600.606175049994</v>
      </c>
    </row>
    <row r="17" spans="3:8" x14ac:dyDescent="0.25">
      <c r="C17">
        <f t="shared" si="6"/>
        <v>9</v>
      </c>
      <c r="D17" s="3">
        <f t="shared" si="7"/>
        <v>86600.606175049994</v>
      </c>
      <c r="E17" s="3">
        <f t="shared" si="8"/>
        <v>15976.147040574384</v>
      </c>
      <c r="F17" s="3">
        <f t="shared" si="9"/>
        <v>12990.090926257499</v>
      </c>
      <c r="G17" s="3">
        <f t="shared" si="10"/>
        <v>2986.0561143168852</v>
      </c>
      <c r="H17" s="3">
        <f t="shared" si="11"/>
        <v>83614.550060733105</v>
      </c>
    </row>
    <row r="18" spans="3:8" x14ac:dyDescent="0.25">
      <c r="C18">
        <f t="shared" si="6"/>
        <v>10</v>
      </c>
      <c r="D18" s="3">
        <f t="shared" si="7"/>
        <v>83614.550060733105</v>
      </c>
      <c r="E18" s="3">
        <f t="shared" si="8"/>
        <v>15976.147040574384</v>
      </c>
      <c r="F18" s="3">
        <f t="shared" si="9"/>
        <v>12542.182509109965</v>
      </c>
      <c r="G18" s="3">
        <f t="shared" si="10"/>
        <v>3433.9645314644185</v>
      </c>
      <c r="H18" s="3">
        <f t="shared" si="11"/>
        <v>80180.58552926869</v>
      </c>
    </row>
    <row r="19" spans="3:8" x14ac:dyDescent="0.25">
      <c r="C19">
        <f t="shared" si="6"/>
        <v>11</v>
      </c>
      <c r="D19" s="3">
        <f t="shared" si="7"/>
        <v>80180.58552926869</v>
      </c>
      <c r="E19" s="3">
        <f t="shared" si="8"/>
        <v>15976.147040574384</v>
      </c>
      <c r="F19" s="3">
        <f t="shared" si="9"/>
        <v>12027.087829390302</v>
      </c>
      <c r="G19" s="3">
        <f t="shared" si="10"/>
        <v>3949.0592111840815</v>
      </c>
      <c r="H19" s="3">
        <f t="shared" si="11"/>
        <v>76231.526318084609</v>
      </c>
    </row>
    <row r="20" spans="3:8" x14ac:dyDescent="0.25">
      <c r="C20">
        <f t="shared" si="6"/>
        <v>12</v>
      </c>
      <c r="D20" s="3">
        <f t="shared" si="7"/>
        <v>76231.526318084609</v>
      </c>
      <c r="E20" s="3">
        <f t="shared" si="8"/>
        <v>15976.147040574384</v>
      </c>
      <c r="F20" s="3">
        <f t="shared" si="9"/>
        <v>11434.728947712691</v>
      </c>
      <c r="G20" s="3">
        <f t="shared" si="10"/>
        <v>4541.4180928616934</v>
      </c>
      <c r="H20" s="3">
        <f t="shared" si="11"/>
        <v>71690.10822522291</v>
      </c>
    </row>
    <row r="21" spans="3:8" x14ac:dyDescent="0.25">
      <c r="C21">
        <f t="shared" si="6"/>
        <v>13</v>
      </c>
      <c r="D21" s="3">
        <f t="shared" si="7"/>
        <v>71690.10822522291</v>
      </c>
      <c r="E21" s="3">
        <f t="shared" si="8"/>
        <v>15976.147040574384</v>
      </c>
      <c r="F21" s="3">
        <f t="shared" si="9"/>
        <v>10753.516233783435</v>
      </c>
      <c r="G21" s="3">
        <f t="shared" si="10"/>
        <v>5222.6308067909486</v>
      </c>
      <c r="H21" s="3">
        <f t="shared" si="11"/>
        <v>66467.477418431954</v>
      </c>
    </row>
    <row r="22" spans="3:8" x14ac:dyDescent="0.25">
      <c r="C22">
        <f t="shared" si="6"/>
        <v>14</v>
      </c>
      <c r="D22" s="3">
        <f t="shared" si="7"/>
        <v>66467.477418431954</v>
      </c>
      <c r="E22" s="3">
        <f t="shared" si="8"/>
        <v>15976.147040574384</v>
      </c>
      <c r="F22" s="3">
        <f t="shared" si="9"/>
        <v>9970.1216127647931</v>
      </c>
      <c r="G22" s="3">
        <f t="shared" si="10"/>
        <v>6006.0254278095908</v>
      </c>
      <c r="H22" s="3">
        <f t="shared" si="11"/>
        <v>60461.451990622365</v>
      </c>
    </row>
    <row r="23" spans="3:8" x14ac:dyDescent="0.25">
      <c r="C23">
        <f t="shared" si="6"/>
        <v>15</v>
      </c>
      <c r="D23" s="3">
        <f t="shared" si="7"/>
        <v>60461.451990622365</v>
      </c>
      <c r="E23" s="3">
        <f t="shared" si="8"/>
        <v>15976.147040574384</v>
      </c>
      <c r="F23" s="3">
        <f t="shared" si="9"/>
        <v>9069.217798593354</v>
      </c>
      <c r="G23" s="3">
        <f t="shared" si="10"/>
        <v>6906.9292419810299</v>
      </c>
      <c r="H23" s="3">
        <f t="shared" si="11"/>
        <v>53554.522748641335</v>
      </c>
    </row>
    <row r="24" spans="3:8" x14ac:dyDescent="0.25">
      <c r="C24">
        <f t="shared" si="6"/>
        <v>16</v>
      </c>
      <c r="D24" s="3">
        <f t="shared" si="7"/>
        <v>53554.522748641335</v>
      </c>
      <c r="E24" s="3">
        <f t="shared" si="8"/>
        <v>15976.147040574384</v>
      </c>
      <c r="F24" s="3">
        <f t="shared" si="9"/>
        <v>8033.1784122961999</v>
      </c>
      <c r="G24" s="3">
        <f t="shared" si="10"/>
        <v>7942.968628278184</v>
      </c>
      <c r="H24" s="3">
        <f t="shared" si="11"/>
        <v>45611.554120363151</v>
      </c>
    </row>
    <row r="25" spans="3:8" x14ac:dyDescent="0.25">
      <c r="C25">
        <f t="shared" si="6"/>
        <v>17</v>
      </c>
      <c r="D25" s="3">
        <f t="shared" si="7"/>
        <v>45611.554120363151</v>
      </c>
      <c r="E25" s="3">
        <f t="shared" si="8"/>
        <v>15976.147040574384</v>
      </c>
      <c r="F25" s="3">
        <f t="shared" si="9"/>
        <v>6841.7331180544725</v>
      </c>
      <c r="G25" s="3">
        <f t="shared" si="10"/>
        <v>9134.4139225199106</v>
      </c>
      <c r="H25" s="3">
        <f t="shared" si="11"/>
        <v>36477.14019784324</v>
      </c>
    </row>
    <row r="26" spans="3:8" x14ac:dyDescent="0.25">
      <c r="C26">
        <f t="shared" si="6"/>
        <v>18</v>
      </c>
      <c r="D26" s="3">
        <f t="shared" si="7"/>
        <v>36477.14019784324</v>
      </c>
      <c r="E26" s="3">
        <f t="shared" si="8"/>
        <v>15976.147040574384</v>
      </c>
      <c r="F26" s="3">
        <f t="shared" si="9"/>
        <v>5471.5710296764855</v>
      </c>
      <c r="G26" s="3">
        <f t="shared" si="10"/>
        <v>10504.576010897898</v>
      </c>
      <c r="H26" s="3">
        <f t="shared" si="11"/>
        <v>25972.564186945343</v>
      </c>
    </row>
    <row r="27" spans="3:8" x14ac:dyDescent="0.25">
      <c r="C27">
        <f t="shared" si="6"/>
        <v>19</v>
      </c>
      <c r="D27" s="3">
        <f t="shared" si="7"/>
        <v>25972.564186945343</v>
      </c>
      <c r="E27" s="3">
        <f t="shared" si="8"/>
        <v>15976.147040574384</v>
      </c>
      <c r="F27" s="3">
        <f t="shared" si="9"/>
        <v>3895.8846280418011</v>
      </c>
      <c r="G27" s="3">
        <f t="shared" si="10"/>
        <v>12080.262412532582</v>
      </c>
      <c r="H27" s="3">
        <f t="shared" si="11"/>
        <v>13892.301774412761</v>
      </c>
    </row>
    <row r="28" spans="3:8" x14ac:dyDescent="0.25">
      <c r="C28">
        <f t="shared" si="6"/>
        <v>20</v>
      </c>
      <c r="D28" s="3">
        <f t="shared" si="7"/>
        <v>13892.301774412761</v>
      </c>
      <c r="E28" s="3">
        <f t="shared" si="8"/>
        <v>15976.147040574384</v>
      </c>
      <c r="F28" s="3">
        <f t="shared" si="9"/>
        <v>2083.845266161914</v>
      </c>
      <c r="G28" s="3">
        <f t="shared" si="10"/>
        <v>13892.30177441247</v>
      </c>
      <c r="H28" s="3">
        <f t="shared" si="11"/>
        <v>2.9103830456733704E-10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Loan Amort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ThinkPad</dc:creator>
  <cp:lastModifiedBy>ThinkPad</cp:lastModifiedBy>
  <dcterms:created xsi:type="dcterms:W3CDTF">2013-11-23T07:05:08Z</dcterms:created>
  <dcterms:modified xsi:type="dcterms:W3CDTF">2013-11-23T07:23:14Z</dcterms:modified>
</cp:coreProperties>
</file>